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Picker" state="visible" r:id="rId4"/>
    <sheet sheetId="2" name="About" state="visible" r:id="rId5"/>
    <sheet sheetId="3" name="Skills" state="visible" r:id="rId6"/>
    <sheet sheetId="4" name="Armour" state="hidden" r:id="rId7"/>
    <sheet sheetId="5" name="ArmourSkills" state="hidden" r:id="rId8"/>
    <sheet sheetId="6" name="Lists" state="hidden" r:id="rId9"/>
    <sheet sheetId="7" name="Calc" state="hidden" r:id="rId10"/>
  </sheets>
  <calcPr calcId="171027"/>
</workbook>
</file>

<file path=xl/sharedStrings.xml><?xml version="1.0" encoding="utf-8"?>
<sst xmlns="http://schemas.openxmlformats.org/spreadsheetml/2006/main" count="5214" uniqueCount="1291">
  <si>
    <t>Monster Hunter Now — Armour Picker</t>
  </si>
  <si>
    <t>Only the shaded cells are yours to edit. Everything else is a formula.</t>
  </si>
  <si>
    <t>1. Skills you want</t>
  </si>
  <si>
    <t>Wanted skill</t>
  </si>
  <si>
    <t>In build</t>
  </si>
  <si>
    <t>Cap</t>
  </si>
  <si>
    <t>Ignore all wanted skills →</t>
  </si>
  <si>
    <t>No</t>
  </si>
  <si>
    <t>2. Matching armour (best matches first)</t>
  </si>
  <si>
    <t>Head</t>
  </si>
  <si>
    <t>Chest</t>
  </si>
  <si>
    <t>Arms</t>
  </si>
  <si>
    <t>Waist</t>
  </si>
  <si>
    <t>Legs</t>
  </si>
  <si>
    <t>3. Your build — pick one piece per slot</t>
  </si>
  <si>
    <t>Slot</t>
  </si>
  <si>
    <t>Piece</t>
  </si>
  <si>
    <t>Defence</t>
  </si>
  <si>
    <t>Drift slots</t>
  </si>
  <si>
    <t>Total</t>
  </si>
  <si>
    <t>4. Combined skills (levels of the same skill are added up)</t>
  </si>
  <si>
    <t>Skill</t>
  </si>
  <si>
    <t>Effective</t>
  </si>
  <si>
    <t>Wasted</t>
  </si>
  <si>
    <t/>
  </si>
  <si>
    <t>How to use it</t>
  </si>
  <si>
    <t>1. On the Picker tab, choose up to 5 skills in the shaded cells (section 1).</t>
  </si>
  <si>
    <t>2. Section 2 lists the armour in each slot carrying at least one of those skills,</t>
  </si>
  <si>
    <t xml:space="preserve">   best matches first, shown as "Name — Skill (level), Skill (level)".</t>
  </si>
  <si>
    <t>3. In section 3, pick one piece per slot from the shaded dropdowns.</t>
  </si>
  <si>
    <t>4. Section 4 adds up the skills across the five pieces you picked.</t>
  </si>
  <si>
    <t>Clearing your choices</t>
  </si>
  <si>
    <t>To clear ONE skill, pick "(none)" — it is the first entry in the same dropdown.</t>
  </si>
  <si>
    <t>A dropdown built from a list offers no blank entry, which is why the sentinel exists.</t>
  </si>
  <si>
    <t>To drop them ALL at once, set "Ignore all wanted skills" to Yes. That leaves what you</t>
  </si>
  <si>
    <t>chose in place but stops it filtering, so every piece is listed again. Set it back to No</t>
  </si>
  <si>
    <t>to get your selection working again.</t>
  </si>
  <si>
    <t>(A real clear-all button needs Apps Script, which does not run in the Sheets mobile app.)</t>
  </si>
  <si>
    <t>Only the shaded cells are inputs. Everything else is a formula — do not overwrite them.</t>
  </si>
  <si>
    <t>What the numbers mean</t>
  </si>
  <si>
    <t>Total     — levels of that skill added across your five pieces.</t>
  </si>
  <si>
    <t>Cap       — the highest level the skill actually goes to in game.</t>
  </si>
  <si>
    <t>Effective — Total capped at Cap. This is what you really get.</t>
  </si>
  <si>
    <t>Wasted    — levels above the cap, which do nothing.</t>
  </si>
  <si>
    <t>Notes and limits</t>
  </si>
  <si>
    <t>Armour is shown at each piece's MAX GRADE. A piece's skills differ at lower grades.</t>
  </si>
  <si>
    <t>Matching is ANY of the chosen skills, not all — with five slots to fill you want</t>
  </si>
  <si>
    <t>every candidate per slot.</t>
  </si>
  <si>
    <t>Section 2 shows up to 20 pieces per slot; the line underneath says how many matched.</t>
  </si>
  <si>
    <t>With no skills chosen, every piece is listed, so you can browse.</t>
  </si>
  <si>
    <t>There is no set bonus in Monster Hunter Now — mixing series costs you nothing.</t>
  </si>
  <si>
    <t>The game calls the waist slot TORSO; this workbook calls it Waist.</t>
  </si>
  <si>
    <t>Data</t>
  </si>
  <si>
    <t>Source: monsterhunternow.com official game data, via the mhnow MySQL database.</t>
  </si>
  <si>
    <t>Generated: 2026-08-12</t>
  </si>
  <si>
    <t>Supporting tabs (Skills, Armour, ArmourSkills, Lists, Calc) are reference data</t>
  </si>
  <si>
    <t>and working columns. You can ignore them.</t>
  </si>
  <si>
    <t>Category</t>
  </si>
  <si>
    <t>Max level</t>
  </si>
  <si>
    <t>Advanced Attack Boost</t>
  </si>
  <si>
    <t>Attack</t>
  </si>
  <si>
    <t>Advanced Burst</t>
  </si>
  <si>
    <t>Advanced Dragon Attack</t>
  </si>
  <si>
    <t>Element</t>
  </si>
  <si>
    <t>Advanced Ice Attack</t>
  </si>
  <si>
    <t>Advanced Thunder Attack</t>
  </si>
  <si>
    <t>Advanced Water Attack</t>
  </si>
  <si>
    <t>Aggressive Dodger</t>
  </si>
  <si>
    <t>Ailment Opportunist</t>
  </si>
  <si>
    <t>Artful Dodger</t>
  </si>
  <si>
    <t>Action</t>
  </si>
  <si>
    <t>Artillery</t>
  </si>
  <si>
    <t>Attack Boost</t>
  </si>
  <si>
    <t>Attack Efficacy</t>
  </si>
  <si>
    <t>Ballistics</t>
  </si>
  <si>
    <t>Blast Attack</t>
  </si>
  <si>
    <t>Blast Resistance</t>
  </si>
  <si>
    <t>Defense/Resistance</t>
  </si>
  <si>
    <t>Bleeding Edge</t>
  </si>
  <si>
    <t>Bleeding Resistance</t>
  </si>
  <si>
    <t>Blood Cloak</t>
  </si>
  <si>
    <t>Blunt Force</t>
  </si>
  <si>
    <t>Bubbly Dance</t>
  </si>
  <si>
    <t>Buildup Boost</t>
  </si>
  <si>
    <t>Burst</t>
  </si>
  <si>
    <t>Chameleos Venomist</t>
  </si>
  <si>
    <t>Charge Master</t>
  </si>
  <si>
    <t>Coalescence</t>
  </si>
  <si>
    <t>Combo Master</t>
  </si>
  <si>
    <t>Concentration</t>
  </si>
  <si>
    <t>Critical Boost</t>
  </si>
  <si>
    <t>Critical Element</t>
  </si>
  <si>
    <t>Critical Eye</t>
  </si>
  <si>
    <t>Critical Ferocity</t>
  </si>
  <si>
    <t>Critical Range Boost</t>
  </si>
  <si>
    <t>Critical Strength</t>
  </si>
  <si>
    <t>Dauntless</t>
  </si>
  <si>
    <t>Defense Boost</t>
  </si>
  <si>
    <t>Defensive Loading</t>
  </si>
  <si>
    <t>Divine Blessing</t>
  </si>
  <si>
    <t>Dragon Attack</t>
  </si>
  <si>
    <t>Dragon Resistance</t>
  </si>
  <si>
    <t>Earplugs</t>
  </si>
  <si>
    <t>Elemental Release</t>
  </si>
  <si>
    <t>Evade Extender</t>
  </si>
  <si>
    <t>Evading Reload</t>
  </si>
  <si>
    <t>Evasive Concentration</t>
  </si>
  <si>
    <t>Fighting Spirit</t>
  </si>
  <si>
    <t>Final Shot</t>
  </si>
  <si>
    <t>Fire Attack</t>
  </si>
  <si>
    <t>Fire Resistance</t>
  </si>
  <si>
    <t>Firm Foothold</t>
  </si>
  <si>
    <t>Focus</t>
  </si>
  <si>
    <t>Fortify</t>
  </si>
  <si>
    <t>Guard</t>
  </si>
  <si>
    <t>Guard Concentration</t>
  </si>
  <si>
    <t>Guard Up</t>
  </si>
  <si>
    <t>Guts</t>
  </si>
  <si>
    <t>Headstrong</t>
  </si>
  <si>
    <t>Health Boost</t>
  </si>
  <si>
    <t>Hellfire Cloak</t>
  </si>
  <si>
    <t>Heroics</t>
  </si>
  <si>
    <t>Hunter's Unity</t>
  </si>
  <si>
    <t>Ice Attack</t>
  </si>
  <si>
    <t>Ice Resistance</t>
  </si>
  <si>
    <t>Kirin Flashstorm</t>
  </si>
  <si>
    <t>Kushala Frostwind</t>
  </si>
  <si>
    <t>Last Stand</t>
  </si>
  <si>
    <t>Latent Power</t>
  </si>
  <si>
    <t>Litheness</t>
  </si>
  <si>
    <t>Lock On</t>
  </si>
  <si>
    <t>Malzeno Crimsonblood</t>
  </si>
  <si>
    <t>Meditation</t>
  </si>
  <si>
    <t>Morph Attack Boost</t>
  </si>
  <si>
    <t>Morph Boost</t>
  </si>
  <si>
    <t>Namielle Electrowave</t>
  </si>
  <si>
    <t>Nergigante Avidity</t>
  </si>
  <si>
    <t>Normal/Element Ammo Boost</t>
  </si>
  <si>
    <t>Offensive Dodger</t>
  </si>
  <si>
    <t>Offensive Guard</t>
  </si>
  <si>
    <t>Paralysis Attack</t>
  </si>
  <si>
    <t>Paralysis Exploit</t>
  </si>
  <si>
    <t>Paralysis Resistance</t>
  </si>
  <si>
    <t>Parry Concentration</t>
  </si>
  <si>
    <t>Partbreaker</t>
  </si>
  <si>
    <t>Peak Performance</t>
  </si>
  <si>
    <t>Perfectionist</t>
  </si>
  <si>
    <t>Poison Attack</t>
  </si>
  <si>
    <t>Poison Exploit</t>
  </si>
  <si>
    <t>Poison Resistance</t>
  </si>
  <si>
    <t>Power Prolonger</t>
  </si>
  <si>
    <t>Pursuit</t>
  </si>
  <si>
    <t>Quick Work</t>
  </si>
  <si>
    <t>Raw Power</t>
  </si>
  <si>
    <t>Reckless</t>
  </si>
  <si>
    <t>Recoil Down</t>
  </si>
  <si>
    <t>Reflection</t>
  </si>
  <si>
    <t>Reload Speed</t>
  </si>
  <si>
    <t>Resentment</t>
  </si>
  <si>
    <t>Resuscitate</t>
  </si>
  <si>
    <t>Retaliation</t>
  </si>
  <si>
    <t>Rising Tide</t>
  </si>
  <si>
    <t>Rude Awakener</t>
  </si>
  <si>
    <t>Shared Shield</t>
  </si>
  <si>
    <t>Shared Sword</t>
  </si>
  <si>
    <t>Skyward Striker</t>
  </si>
  <si>
    <t>Sleep Attack</t>
  </si>
  <si>
    <t>Sleep Resistance</t>
  </si>
  <si>
    <t>Slicing Ammo Boost</t>
  </si>
  <si>
    <t>Slugger</t>
  </si>
  <si>
    <t>Sneak Attack</t>
  </si>
  <si>
    <t>Spare Shot</t>
  </si>
  <si>
    <t>Special Boost</t>
  </si>
  <si>
    <t>Special Insurance</t>
  </si>
  <si>
    <t>Special Partbreaker</t>
  </si>
  <si>
    <t>Status Sneak Attack</t>
  </si>
  <si>
    <t>Stunning Impact</t>
  </si>
  <si>
    <t>Tail Partbreaker</t>
  </si>
  <si>
    <t>Teostra Blastpowder</t>
  </si>
  <si>
    <t>Thunder Attack</t>
  </si>
  <si>
    <t>Thunder Resistance</t>
  </si>
  <si>
    <t>Timed Charger</t>
  </si>
  <si>
    <t>Tremor Resistance</t>
  </si>
  <si>
    <t>Valor</t>
  </si>
  <si>
    <t>Velkhana Aegis</t>
  </si>
  <si>
    <t>Vital Dragon</t>
  </si>
  <si>
    <t>Vital Fire</t>
  </si>
  <si>
    <t>Vital Ice</t>
  </si>
  <si>
    <t>Vital Thunder</t>
  </si>
  <si>
    <t>Vital Water</t>
  </si>
  <si>
    <t>Water Attack</t>
  </si>
  <si>
    <t>Water Resistance</t>
  </si>
  <si>
    <t>Weakness Exploit</t>
  </si>
  <si>
    <t>Windproof</t>
  </si>
  <si>
    <t>Name</t>
  </si>
  <si>
    <t>Series</t>
  </si>
  <si>
    <t>Grade</t>
  </si>
  <si>
    <t>Skills</t>
  </si>
  <si>
    <t>Display</t>
  </si>
  <si>
    <t>Matches</t>
  </si>
  <si>
    <t>Rank</t>
  </si>
  <si>
    <t>Key</t>
  </si>
  <si>
    <t>Skill 1</t>
  </si>
  <si>
    <t>Lv 1</t>
  </si>
  <si>
    <t>Skill 2</t>
  </si>
  <si>
    <t>Lv 2</t>
  </si>
  <si>
    <t>Skill 3</t>
  </si>
  <si>
    <t>Lv 3</t>
  </si>
  <si>
    <t>Aknosom Helm</t>
  </si>
  <si>
    <t>Aknosom Set</t>
  </si>
  <si>
    <t>Defensive Loading (2)</t>
  </si>
  <si>
    <t>Aknosom Helm — Defensive Loading (2)</t>
  </si>
  <si>
    <t>Alloy Helm</t>
  </si>
  <si>
    <t>Alloy Set</t>
  </si>
  <si>
    <t>Earplugs (3)</t>
  </si>
  <si>
    <t>Alloy Helm — Earplugs (3)</t>
  </si>
  <si>
    <t>Almudron Helm</t>
  </si>
  <si>
    <t>Almudron Set</t>
  </si>
  <si>
    <t>Water Attack (1), Sneak Attack (1), Advanced Water Attack (1)</t>
  </si>
  <si>
    <t>Almudron Helm — Water Attack (1), Sneak Attack (1), Advanced Water Attack (1)</t>
  </si>
  <si>
    <t>Anja Helm</t>
  </si>
  <si>
    <t>Anjanath Set</t>
  </si>
  <si>
    <t>Fire Resistance (1), Fire Attack (2)</t>
  </si>
  <si>
    <t>Anja Helm — Fire Resistance (1), Fire Attack (2)</t>
  </si>
  <si>
    <t>Arzuros Helm</t>
  </si>
  <si>
    <t>Arzuros Set</t>
  </si>
  <si>
    <t>Shared Shield (1), Shared Sword (1)</t>
  </si>
  <si>
    <t>Arzuros Helm — Shared Shield (1), Shared Sword (1)</t>
  </si>
  <si>
    <t>Astalos Helm</t>
  </si>
  <si>
    <t>Astalos Set</t>
  </si>
  <si>
    <t>Thunder Attack (1), Reload Speed (1), Advanced Thunder Attack (1)</t>
  </si>
  <si>
    <t>Astalos Helm — Thunder Attack (1), Reload Speed (1), Advanced Thunder Attack (1)</t>
  </si>
  <si>
    <t>Baan Helm</t>
  </si>
  <si>
    <t>Radobaan Set</t>
  </si>
  <si>
    <t>Guard (2)</t>
  </si>
  <si>
    <t>Baan Helm — Guard (2)</t>
  </si>
  <si>
    <t>Banbaro Helm</t>
  </si>
  <si>
    <t>Banbaro Set</t>
  </si>
  <si>
    <t>Recoil Down (1), Tremor Resistance (1)</t>
  </si>
  <si>
    <t>Banbaro Helm — Recoil Down (1), Tremor Resistance (1)</t>
  </si>
  <si>
    <t>Barioth Helm</t>
  </si>
  <si>
    <t>Barioth Set</t>
  </si>
  <si>
    <t>Evade Extender (1), Skyward Striker (2)</t>
  </si>
  <si>
    <t>Barioth Helm — Evade Extender (1), Skyward Striker (2)</t>
  </si>
  <si>
    <t>Barroth Helm</t>
  </si>
  <si>
    <t>Barroth Set</t>
  </si>
  <si>
    <t>Defense Boost (1), Offensive Guard (2)</t>
  </si>
  <si>
    <t>Barroth Helm — Defense Boost (1), Offensive Guard (2)</t>
  </si>
  <si>
    <t>Basarios Helm</t>
  </si>
  <si>
    <t>Basarios Set</t>
  </si>
  <si>
    <t>Sleep Resistance (2)</t>
  </si>
  <si>
    <t>Basarios Helm — Sleep Resistance (2)</t>
  </si>
  <si>
    <t>Bazelgeuse Helm</t>
  </si>
  <si>
    <t>Bazelgeuse Set</t>
  </si>
  <si>
    <t>Reload Speed (2), Artillery (1)</t>
  </si>
  <si>
    <t>Bazelgeuse Helm — Reload Speed (2), Artillery (1)</t>
  </si>
  <si>
    <t>Beotodus Helm</t>
  </si>
  <si>
    <t>Beotodus Set</t>
  </si>
  <si>
    <t>Peak Performance (3)</t>
  </si>
  <si>
    <t>Beotodus Helm — Peak Performance (3)</t>
  </si>
  <si>
    <t>Bishaten Helm</t>
  </si>
  <si>
    <t>Bishaten Set</t>
  </si>
  <si>
    <t>Paralysis Exploit (2)</t>
  </si>
  <si>
    <t>Bishaten Helm — Paralysis Exploit (2)</t>
  </si>
  <si>
    <t>Ceanataur Helm</t>
  </si>
  <si>
    <t>Ceanataur Set</t>
  </si>
  <si>
    <t>Pursuit (1), Vital Water (1)</t>
  </si>
  <si>
    <t>Ceanataur Helm — Pursuit (1), Vital Water (1)</t>
  </si>
  <si>
    <t>Chatacabra Helm</t>
  </si>
  <si>
    <t>Chatacabra Set</t>
  </si>
  <si>
    <t>Sneak Attack (2), Litheness (1)</t>
  </si>
  <si>
    <t>Chatacabra Helm — Sneak Attack (2), Litheness (1)</t>
  </si>
  <si>
    <t>Death Garon Helm</t>
  </si>
  <si>
    <t>Death Garon Set</t>
  </si>
  <si>
    <t>Resuscitate (1), Bleeding Edge (1)</t>
  </si>
  <si>
    <t>Death Garon Helm — Resuscitate (1), Bleeding Edge (1)</t>
  </si>
  <si>
    <t>Diablos Helm</t>
  </si>
  <si>
    <t>Diablos Set</t>
  </si>
  <si>
    <t>Heroics (2)</t>
  </si>
  <si>
    <t>Diablos Helm — Heroics (2)</t>
  </si>
  <si>
    <t>Diablos Nero Helm</t>
  </si>
  <si>
    <t>Black Diablos Set</t>
  </si>
  <si>
    <t>Partbreaker (2), Resentment (1)</t>
  </si>
  <si>
    <t>Diablos Nero Helm — Partbreaker (2), Resentment (1)</t>
  </si>
  <si>
    <t>Espinas Brain</t>
  </si>
  <si>
    <t>Espinas Set</t>
  </si>
  <si>
    <t>Health Boost (1), Vital Fire (1)</t>
  </si>
  <si>
    <t>Espinas Brain — Health Boost (1), Vital Fire (1)</t>
  </si>
  <si>
    <t>Fulgur Helm</t>
  </si>
  <si>
    <t>Fulgur Set</t>
  </si>
  <si>
    <t>Special Boost (1), Special Partbreaker (2)</t>
  </si>
  <si>
    <t>Fulgur Helm — Special Boost (1), Special Partbreaker (2)</t>
  </si>
  <si>
    <t>Girros Mask</t>
  </si>
  <si>
    <t>Girros Set</t>
  </si>
  <si>
    <t>Paralysis Resistance (3)</t>
  </si>
  <si>
    <t>Girros Mask — Paralysis Resistance (3)</t>
  </si>
  <si>
    <t>Glavenus Helm</t>
  </si>
  <si>
    <t>Glavenus Set</t>
  </si>
  <si>
    <t>Raw Power (2)</t>
  </si>
  <si>
    <t>Glavenus Helm — Raw Power (2)</t>
  </si>
  <si>
    <t>Golden Headdress</t>
  </si>
  <si>
    <t>Golden Set</t>
  </si>
  <si>
    <t>Thunder Resistance (3)</t>
  </si>
  <si>
    <t>Golden Headdress — Thunder Resistance (3)</t>
  </si>
  <si>
    <t>Golden Lunehelm</t>
  </si>
  <si>
    <t>Golden Lune Set</t>
  </si>
  <si>
    <t>Divine Blessing (2), Resentment (1)</t>
  </si>
  <si>
    <t>Golden Lunehelm — Divine Blessing (2), Resentment (1)</t>
  </si>
  <si>
    <t>Golm Helm</t>
  </si>
  <si>
    <t>Garangolm Set</t>
  </si>
  <si>
    <t>Critical Ferocity (2)</t>
  </si>
  <si>
    <t>Golm Helm — Critical Ferocity (2)</t>
  </si>
  <si>
    <t>Goss Harag Helm</t>
  </si>
  <si>
    <t>Goss Harag Set</t>
  </si>
  <si>
    <t>Morph Boost (1), Morph Attack Boost (1)</t>
  </si>
  <si>
    <t>Goss Harag Helm — Morph Boost (1), Morph Attack Boost (1)</t>
  </si>
  <si>
    <t>Jagras Helm</t>
  </si>
  <si>
    <t>Jagras Set</t>
  </si>
  <si>
    <t>Firm Foothold (2)</t>
  </si>
  <si>
    <t>Jagras Helm — Firm Foothold (2)</t>
  </si>
  <si>
    <t>Jyura Helm</t>
  </si>
  <si>
    <t>Jyuratodus Set</t>
  </si>
  <si>
    <t>Water Resistance (1), Last Stand (1)</t>
  </si>
  <si>
    <t>Jyura Helm — Water Resistance (1), Last Stand (1)</t>
  </si>
  <si>
    <t>Kadachi Helm</t>
  </si>
  <si>
    <t>Kadachi Set</t>
  </si>
  <si>
    <t>Reload Speed (1), Artful Dodger (2)</t>
  </si>
  <si>
    <t>Kadachi Helm — Reload Speed (1), Artful Dodger (2)</t>
  </si>
  <si>
    <t>Kaiser Crown</t>
  </si>
  <si>
    <t>Kaiser Set</t>
  </si>
  <si>
    <t>Guts (1), Latent Power (2), Teostra Blastpowder (1)</t>
  </si>
  <si>
    <t>Kaiser Crown — Guts (1), Latent Power (2), Teostra Blastpowder (1)</t>
  </si>
  <si>
    <t>Khezu Helm</t>
  </si>
  <si>
    <t>Khezu Set</t>
  </si>
  <si>
    <t>Paralysis Attack (1), Special Insurance (1)</t>
  </si>
  <si>
    <t>Khezu Helm — Paralysis Attack (1), Special Insurance (1)</t>
  </si>
  <si>
    <t>Kirin Horn</t>
  </si>
  <si>
    <t>Kirin Set</t>
  </si>
  <si>
    <t>Lock On (1), Fighting Spirit (1), Kirin Flashstorm (1)</t>
  </si>
  <si>
    <t>Kirin Horn — Lock On (1), Fighting Spirit (1), Kirin Flashstorm (1)</t>
  </si>
  <si>
    <t>Kulu Headpiece</t>
  </si>
  <si>
    <t>Kulu Set</t>
  </si>
  <si>
    <t>Critical Eye (1), Lock On (1)</t>
  </si>
  <si>
    <t>Kulu Headpiece — Critical Eye (1), Lock On (1)</t>
  </si>
  <si>
    <t>Kushala Glare</t>
  </si>
  <si>
    <t>Kushala Set</t>
  </si>
  <si>
    <t>Earplugs (1), Reload Speed (2), Kushala Frostwind (1)</t>
  </si>
  <si>
    <t>Kushala Glare — Earplugs (1), Reload Speed (2), Kushala Frostwind (1)</t>
  </si>
  <si>
    <t>Lagombi Helm</t>
  </si>
  <si>
    <t>Lagombi Set</t>
  </si>
  <si>
    <t>Evade Extender (1), Special Boost (2)</t>
  </si>
  <si>
    <t>Lagombi Helm — Evade Extender (1), Special Boost (2)</t>
  </si>
  <si>
    <t>Leather Headgear</t>
  </si>
  <si>
    <t>Leather Set</t>
  </si>
  <si>
    <t>Ice Resistance (1), Critical Eye (1)</t>
  </si>
  <si>
    <t>Leather Headgear — Ice Resistance (1), Critical Eye (1)</t>
  </si>
  <si>
    <t>Legiana Helm</t>
  </si>
  <si>
    <t>Legiana Set</t>
  </si>
  <si>
    <t>Ice Attack (1), Divine Blessing (2)</t>
  </si>
  <si>
    <t>Legiana Helm — Ice Attack (1), Divine Blessing (2)</t>
  </si>
  <si>
    <t>Lumu Hat</t>
  </si>
  <si>
    <t>Paolumu Set</t>
  </si>
  <si>
    <t>Concentration (2), Windproof (1)</t>
  </si>
  <si>
    <t>Lumu Hat — Concentration (2), Windproof (1)</t>
  </si>
  <si>
    <t>Lumu Phantasm Hood</t>
  </si>
  <si>
    <t>Nightshade Paolumu Set</t>
  </si>
  <si>
    <t>Rude Awakener (2)</t>
  </si>
  <si>
    <t>Lumu Phantasm Hood — Rude Awakener (2)</t>
  </si>
  <si>
    <t>Lunagaron Helm</t>
  </si>
  <si>
    <t>Lunagaron Set</t>
  </si>
  <si>
    <t>Recoil Down (2), Ballistics (1)</t>
  </si>
  <si>
    <t>Lunagaron Helm — Recoil Down (2), Ballistics (1)</t>
  </si>
  <si>
    <t>Malzeno Helm</t>
  </si>
  <si>
    <t>Malzeno Set</t>
  </si>
  <si>
    <t>Vital Dragon (2), Malzeno Crimsonblood (1)</t>
  </si>
  <si>
    <t>Malzeno Helm — Vital Dragon (2), Malzeno Crimsonblood (1)</t>
  </si>
  <si>
    <t>Mizuha Cap</t>
  </si>
  <si>
    <t>Mizuha Set</t>
  </si>
  <si>
    <t>Status Sneak Attack (1), Poison Exploit (1), Chameleos Venomist (1)</t>
  </si>
  <si>
    <t>Mizuha Cap — Status Sneak Attack (1), Poison Exploit (1), Chameleos Venomist (1)</t>
  </si>
  <si>
    <t>Mizutsune Helm</t>
  </si>
  <si>
    <t>Mizutsune Set</t>
  </si>
  <si>
    <t>Water Attack (2)</t>
  </si>
  <si>
    <t>Mizutsune Helm — Water Attack (2)</t>
  </si>
  <si>
    <t>Nargacuga Helm</t>
  </si>
  <si>
    <t>Nargacuga Set</t>
  </si>
  <si>
    <t>Focus (1), Fighting Spirit (1)</t>
  </si>
  <si>
    <t>Nargacuga Helm — Focus (1), Fighting Spirit (1)</t>
  </si>
  <si>
    <t>Nergigante Helm</t>
  </si>
  <si>
    <t>Nergigante Set</t>
  </si>
  <si>
    <t>Critical Eye (2), Artful Dodger (1), Nergigante Avidity (1)</t>
  </si>
  <si>
    <t>Nergigante Helm — Critical Eye (2), Artful Dodger (1), Nergigante Avidity (1)</t>
  </si>
  <si>
    <t>Odogaron Helm</t>
  </si>
  <si>
    <t>Odogaron Set</t>
  </si>
  <si>
    <t>Quick Work (2)</t>
  </si>
  <si>
    <t>Odogaron Helm — Quick Work (2)</t>
  </si>
  <si>
    <t>Pukei Hood</t>
  </si>
  <si>
    <t>Pukei Set</t>
  </si>
  <si>
    <t>Health Boost (2), Focus (1)</t>
  </si>
  <si>
    <t>Pukei Hood — Health Boost (2), Focus (1)</t>
  </si>
  <si>
    <t>Pukei Lagoon Hat</t>
  </si>
  <si>
    <t>Coral Pukei Set</t>
  </si>
  <si>
    <t>Weakness Exploit (2), Lock On (1)</t>
  </si>
  <si>
    <t>Pukei Lagoon Hat — Weakness Exploit (2), Lock On (1)</t>
  </si>
  <si>
    <t>Quematrice Helm</t>
  </si>
  <si>
    <t>Quematrice Set</t>
  </si>
  <si>
    <t>Lock On (1), Artillery (2)</t>
  </si>
  <si>
    <t>Quematrice Helm — Lock On (1), Artillery (2)</t>
  </si>
  <si>
    <t>Rath Heart Helm</t>
  </si>
  <si>
    <t>Pink Rathian Set</t>
  </si>
  <si>
    <t>Special Boost (1), Windproof (1)</t>
  </si>
  <si>
    <t>Rath Heart Helm — Special Boost (1), Windproof (1)</t>
  </si>
  <si>
    <t>Rath Soul Helm</t>
  </si>
  <si>
    <t>Azure Rathalos Set</t>
  </si>
  <si>
    <t>Focus (2)</t>
  </si>
  <si>
    <t>Rath Soul Helm — Focus (2)</t>
  </si>
  <si>
    <t>Rathalos Helm</t>
  </si>
  <si>
    <t>Rathalos Set</t>
  </si>
  <si>
    <t>Attack Boost (2), Fire Attack (1)</t>
  </si>
  <si>
    <t>Rathalos Helm — Attack Boost (2), Fire Attack (1)</t>
  </si>
  <si>
    <t>Rathian Helm</t>
  </si>
  <si>
    <t>Rathian Set</t>
  </si>
  <si>
    <t>Health Boost (2), Poison Attack (1)</t>
  </si>
  <si>
    <t>Rathian Helm — Health Boost (2), Poison Attack (1)</t>
  </si>
  <si>
    <t>Regios Helm</t>
  </si>
  <si>
    <t>Regios Set</t>
  </si>
  <si>
    <t>Attack Efficacy (1), Critical Strength (1)</t>
  </si>
  <si>
    <t>Regios Helm — Attack Efficacy (1), Critical Strength (1)</t>
  </si>
  <si>
    <t>Rex Roar Helm</t>
  </si>
  <si>
    <t>Rex Roar Set</t>
  </si>
  <si>
    <t>Reckless (2), Advanced Attack Boost (1)</t>
  </si>
  <si>
    <t>Rex Roar Helm — Reckless (2), Advanced Attack Boost (1)</t>
  </si>
  <si>
    <t>Rimeguard Helm</t>
  </si>
  <si>
    <t>Rimeguard Set</t>
  </si>
  <si>
    <t>Ice Attack (2), Velkhana Aegis (1)</t>
  </si>
  <si>
    <t>Rimeguard Helm — Ice Attack (2), Velkhana Aegis (1)</t>
  </si>
  <si>
    <t>Silver Solhelm</t>
  </si>
  <si>
    <t>Silver Sol Set</t>
  </si>
  <si>
    <t>Critical Element (2)</t>
  </si>
  <si>
    <t>Silver Solhelm — Critical Element (2)</t>
  </si>
  <si>
    <t>Sinister Helm</t>
  </si>
  <si>
    <t>Sinister Set</t>
  </si>
  <si>
    <t>Hellfire Cloak (2)</t>
  </si>
  <si>
    <t>Sinister Helm — Hellfire Cloak (2)</t>
  </si>
  <si>
    <t>Somnacanth Helm</t>
  </si>
  <si>
    <t>Somnacanth Set</t>
  </si>
  <si>
    <t>Evade Extender (1), Evading Reload (1)</t>
  </si>
  <si>
    <t>Somnacanth Helm — Evade Extender (1), Evading Reload (1)</t>
  </si>
  <si>
    <t>Stygian Helm</t>
  </si>
  <si>
    <t>Stygian Set</t>
  </si>
  <si>
    <t>Dragon Attack (2), Advanced Dragon Attack (1)</t>
  </si>
  <si>
    <t>Stygian Helm — Dragon Attack (2), Advanced Dragon Attack (1)</t>
  </si>
  <si>
    <t>Tentacle Cowl</t>
  </si>
  <si>
    <t>Tentacle Set</t>
  </si>
  <si>
    <t>Recoil Down (1), Reload Speed (1), Namielle Electrowave (1)</t>
  </si>
  <si>
    <t>Tentacle Cowl — Recoil Down (1), Reload Speed (1), Namielle Electrowave (1)</t>
  </si>
  <si>
    <t>Tigrex Helm</t>
  </si>
  <si>
    <t>Tigrex Set</t>
  </si>
  <si>
    <t>Concentration (1), Critical Ferocity (1)</t>
  </si>
  <si>
    <t>Tigrex Helm — Concentration (1), Critical Ferocity (1)</t>
  </si>
  <si>
    <t>Tzitzi Headgear</t>
  </si>
  <si>
    <t>Tzitzi Set</t>
  </si>
  <si>
    <t>Thunder Attack (2), Evade Extender (1)</t>
  </si>
  <si>
    <t>Tzitzi Headgear — Thunder Attack (2), Evade Extender (1)</t>
  </si>
  <si>
    <t>Vangis Helm</t>
  </si>
  <si>
    <t>Deviljho Set</t>
  </si>
  <si>
    <t>Slugger (2), Dragon Attack (1)</t>
  </si>
  <si>
    <t>Vangis Helm — Slugger (2), Dragon Attack (1)</t>
  </si>
  <si>
    <t>Viper Kadachi Helm</t>
  </si>
  <si>
    <t>Viper Kadachi Set</t>
  </si>
  <si>
    <t>Artful Dodger (1), Advanced Burst (1), Combo Master (1)</t>
  </si>
  <si>
    <t>Viper Kadachi Helm — Artful Dodger (1), Advanced Burst (1), Combo Master (1)</t>
  </si>
  <si>
    <t>Volvidon Helm</t>
  </si>
  <si>
    <t>Volvidon Set</t>
  </si>
  <si>
    <t>Power Prolonger (1), Morph Boost (1)</t>
  </si>
  <si>
    <t>Volvidon Helm — Power Prolonger (1), Morph Boost (1)</t>
  </si>
  <si>
    <t>Wroggi Helm</t>
  </si>
  <si>
    <t>Wroggi Set</t>
  </si>
  <si>
    <t>Power Prolonger (2)</t>
  </si>
  <si>
    <t>Wroggi Helm — Power Prolonger (2)</t>
  </si>
  <si>
    <t>Zinogre Helm</t>
  </si>
  <si>
    <t>Zinogre Set</t>
  </si>
  <si>
    <t>Burst (1), Evasive Concentration (1)</t>
  </si>
  <si>
    <t>Zinogre Helm — Burst (1), Evasive Concentration (1)</t>
  </si>
  <si>
    <t>Aknosom Mail</t>
  </si>
  <si>
    <t>Guard (1), Defensive Loading (1)</t>
  </si>
  <si>
    <t>Aknosom Mail — Guard (1), Defensive Loading (1)</t>
  </si>
  <si>
    <t>Alloy Mail</t>
  </si>
  <si>
    <t>Tremor Resistance (2)</t>
  </si>
  <si>
    <t>Alloy Mail — Tremor Resistance (2)</t>
  </si>
  <si>
    <t>Almudron Mail</t>
  </si>
  <si>
    <t>Water Attack (2), Advanced Water Attack (1)</t>
  </si>
  <si>
    <t>Almudron Mail — Water Attack (2), Advanced Water Attack (1)</t>
  </si>
  <si>
    <t>Anja Mail</t>
  </si>
  <si>
    <t>Special Boost (2)</t>
  </si>
  <si>
    <t>Anja Mail — Special Boost (2)</t>
  </si>
  <si>
    <t>Arzuros Mail</t>
  </si>
  <si>
    <t>Shared Sword (3)</t>
  </si>
  <si>
    <t>Arzuros Mail — Shared Sword (3)</t>
  </si>
  <si>
    <t>Astalos Mail</t>
  </si>
  <si>
    <t>Perfectionist (2), Advanced Thunder Attack (1)</t>
  </si>
  <si>
    <t>Astalos Mail — Perfectionist (2), Advanced Thunder Attack (1)</t>
  </si>
  <si>
    <t>Baan Mail</t>
  </si>
  <si>
    <t>Defense Boost (2), Sleep Attack (1)</t>
  </si>
  <si>
    <t>Baan Mail — Defense Boost (2), Sleep Attack (1)</t>
  </si>
  <si>
    <t>Banbaro Mail</t>
  </si>
  <si>
    <t>Concentration (1), Partbreaker (1)</t>
  </si>
  <si>
    <t>Banbaro Mail — Concentration (1), Partbreaker (1)</t>
  </si>
  <si>
    <t>Barioth Mail</t>
  </si>
  <si>
    <t>Ice Resistance (1), Ice Attack (1)</t>
  </si>
  <si>
    <t>Barioth Mail — Ice Resistance (1), Ice Attack (1)</t>
  </si>
  <si>
    <t>Barroth Mail</t>
  </si>
  <si>
    <t>Offensive Guard (2)</t>
  </si>
  <si>
    <t>Barroth Mail — Offensive Guard (2)</t>
  </si>
  <si>
    <t>Basarios Mail</t>
  </si>
  <si>
    <t>Artillery (2)</t>
  </si>
  <si>
    <t>Basarios Mail — Artillery (2)</t>
  </si>
  <si>
    <t>Bazelgeuse Mail</t>
  </si>
  <si>
    <t>Valor (3)</t>
  </si>
  <si>
    <t>Bazelgeuse Mail — Valor (3)</t>
  </si>
  <si>
    <t>Beotodus Mail</t>
  </si>
  <si>
    <t>Slugger (2), Blunt Force (1)</t>
  </si>
  <si>
    <t>Beotodus Mail — Slugger (2), Blunt Force (1)</t>
  </si>
  <si>
    <t>Bishaten Mail</t>
  </si>
  <si>
    <t>Burst (2), Reload Speed (1)</t>
  </si>
  <si>
    <t>Bishaten Mail — Burst (2), Reload Speed (1)</t>
  </si>
  <si>
    <t>Ceanataur Mail</t>
  </si>
  <si>
    <t>Recoil Down (2), Slicing Ammo Boost (1)</t>
  </si>
  <si>
    <t>Ceanataur Mail — Recoil Down (2), Slicing Ammo Boost (1)</t>
  </si>
  <si>
    <t>Chatacabra Mail</t>
  </si>
  <si>
    <t>Firm Foothold (2), Litheness (1)</t>
  </si>
  <si>
    <t>Chatacabra Mail — Firm Foothold (2), Litheness (1)</t>
  </si>
  <si>
    <t>Death Garon Mail</t>
  </si>
  <si>
    <t>Latent Power (1), Critical Element (1)</t>
  </si>
  <si>
    <t>Death Garon Mail — Latent Power (1), Critical Element (1)</t>
  </si>
  <si>
    <t>Diablos Mail</t>
  </si>
  <si>
    <t>Heroics (1), Slugger (3)</t>
  </si>
  <si>
    <t>Diablos Mail — Heroics (1), Slugger (3)</t>
  </si>
  <si>
    <t>Diablos Nero Mail</t>
  </si>
  <si>
    <t>Firm Foothold (1), Resentment (2)</t>
  </si>
  <si>
    <t>Diablos Nero Mail — Firm Foothold (1), Resentment (2)</t>
  </si>
  <si>
    <t>Espinas Muscle</t>
  </si>
  <si>
    <t>Pursuit (3)</t>
  </si>
  <si>
    <t>Espinas Muscle — Pursuit (3)</t>
  </si>
  <si>
    <t>Fulgur Mail</t>
  </si>
  <si>
    <t>Health Boost (1), Vital Thunder (1)</t>
  </si>
  <si>
    <t>Fulgur Mail — Health Boost (1), Vital Thunder (1)</t>
  </si>
  <si>
    <t>Girros Mail</t>
  </si>
  <si>
    <t>Paralysis Resistance (1), Sneak Attack (2)</t>
  </si>
  <si>
    <t>Girros Mail — Paralysis Resistance (1), Sneak Attack (2)</t>
  </si>
  <si>
    <t>Glavenus Mail</t>
  </si>
  <si>
    <t>Lock On (1), Raw Power (2)</t>
  </si>
  <si>
    <t>Glavenus Mail — Lock On (1), Raw Power (2)</t>
  </si>
  <si>
    <t>Golden Haori</t>
  </si>
  <si>
    <t>Concentration (1), Fighting Spirit (1)</t>
  </si>
  <si>
    <t>Golden Haori — Concentration (1), Fighting Spirit (1)</t>
  </si>
  <si>
    <t>Golden Lunemail</t>
  </si>
  <si>
    <t>Partbreaker (2)</t>
  </si>
  <si>
    <t>Golden Lunemail — Partbreaker (2)</t>
  </si>
  <si>
    <t>Golm Mail</t>
  </si>
  <si>
    <t>Guard (1), Guard Up (1)</t>
  </si>
  <si>
    <t>Golm Mail — Guard (1), Guard Up (1)</t>
  </si>
  <si>
    <t>Goss Harag Mail</t>
  </si>
  <si>
    <t>Ice Attack (2), Advanced Ice Attack (1)</t>
  </si>
  <si>
    <t>Goss Harag Mail — Ice Attack (2), Advanced Ice Attack (1)</t>
  </si>
  <si>
    <t>Jagras Mail</t>
  </si>
  <si>
    <t>Rising Tide (2)</t>
  </si>
  <si>
    <t>Jagras Mail — Rising Tide (2)</t>
  </si>
  <si>
    <t>Jyura Mail</t>
  </si>
  <si>
    <t>Water Attack (1), Last Stand (1)</t>
  </si>
  <si>
    <t>Jyura Mail — Water Attack (1), Last Stand (1)</t>
  </si>
  <si>
    <t>Kadachi Mail</t>
  </si>
  <si>
    <t>Thunder Attack (1), Evade Extender (1)</t>
  </si>
  <si>
    <t>Kadachi Mail — Thunder Attack (1), Evade Extender (1)</t>
  </si>
  <si>
    <t>Kaiser Mail</t>
  </si>
  <si>
    <t>Critical Eye (2), Artful Dodger (1), Teostra Blastpowder (1)</t>
  </si>
  <si>
    <t>Kaiser Mail — Critical Eye (2), Artful Dodger (1), Teostra Blastpowder (1)</t>
  </si>
  <si>
    <t>Khezu Mail</t>
  </si>
  <si>
    <t>Thunder Attack (2)</t>
  </si>
  <si>
    <t>Khezu Mail — Thunder Attack (2)</t>
  </si>
  <si>
    <t>Kirin Jacket</t>
  </si>
  <si>
    <t>Critical Eye (1), Critical Boost (1), Kirin Flashstorm (1)</t>
  </si>
  <si>
    <t>Kirin Jacket — Critical Eye (1), Critical Boost (1), Kirin Flashstorm (1)</t>
  </si>
  <si>
    <t>Kulu Mail</t>
  </si>
  <si>
    <t>Guts (2)</t>
  </si>
  <si>
    <t>Kulu Mail — Guts (2)</t>
  </si>
  <si>
    <t>Kushala Cista</t>
  </si>
  <si>
    <t>Health Boost (1), Partbreaker (1), Kushala Frostwind (1)</t>
  </si>
  <si>
    <t>Kushala Cista — Health Boost (1), Partbreaker (1), Kushala Frostwind (1)</t>
  </si>
  <si>
    <t>Lagombi Mail</t>
  </si>
  <si>
    <t>Attack Boost (3)</t>
  </si>
  <si>
    <t>Lagombi Mail — Attack Boost (3)</t>
  </si>
  <si>
    <t>Leather Mail</t>
  </si>
  <si>
    <t>Attack Boost (1), Fire Resistance (1)</t>
  </si>
  <si>
    <t>Leather Mail — Attack Boost (1), Fire Resistance (1)</t>
  </si>
  <si>
    <t>Legiana Mail</t>
  </si>
  <si>
    <t>Divine Blessing (2), Windproof (1)</t>
  </si>
  <si>
    <t>Legiana Mail — Divine Blessing (2), Windproof (1)</t>
  </si>
  <si>
    <t>Lumu Mail</t>
  </si>
  <si>
    <t>Recoil Down (2), Windproof (1)</t>
  </si>
  <si>
    <t>Lumu Mail — Recoil Down (2), Windproof (1)</t>
  </si>
  <si>
    <t>Lumu Phantasm Mail</t>
  </si>
  <si>
    <t>Focus (2), Sleep Resistance (1)</t>
  </si>
  <si>
    <t>Lumu Phantasm Mail — Focus (2), Sleep Resistance (1)</t>
  </si>
  <si>
    <t>Lunagaron Mail</t>
  </si>
  <si>
    <t>Vital Ice (2)</t>
  </si>
  <si>
    <t>Lunagaron Mail — Vital Ice (2)</t>
  </si>
  <si>
    <t>Malzeno Mail</t>
  </si>
  <si>
    <t>Malzeno Crimsonblood (1), Blood Cloak (2)</t>
  </si>
  <si>
    <t>Malzeno Mail — Malzeno Crimsonblood (1), Blood Cloak (2)</t>
  </si>
  <si>
    <t>Mizuha Guards</t>
  </si>
  <si>
    <t>Focus (2), Chameleos Venomist (1)</t>
  </si>
  <si>
    <t>Mizuha Guards — Focus (2), Chameleos Venomist (1)</t>
  </si>
  <si>
    <t>Mizutsune Mail</t>
  </si>
  <si>
    <t>Bubbly Dance (2)</t>
  </si>
  <si>
    <t>Mizutsune Mail — Bubbly Dance (2)</t>
  </si>
  <si>
    <t>Nargacuga Mail</t>
  </si>
  <si>
    <t>Critical Boost (2), Lock On (1)</t>
  </si>
  <si>
    <t>Nargacuga Mail — Critical Boost (2), Lock On (1)</t>
  </si>
  <si>
    <t>Nergigante Mail</t>
  </si>
  <si>
    <t>Evade Extender (1), Sneak Attack (2), Nergigante Avidity (1)</t>
  </si>
  <si>
    <t>Nergigante Mail — Evade Extender (1), Sneak Attack (2), Nergigante Avidity (1)</t>
  </si>
  <si>
    <t>Odogaron Mail</t>
  </si>
  <si>
    <t>Critical Eye (2), Bleeding Resistance (1)</t>
  </si>
  <si>
    <t>Odogaron Mail — Critical Eye (2), Bleeding Resistance (1)</t>
  </si>
  <si>
    <t>Pukei Lagoon Mail</t>
  </si>
  <si>
    <t>Rising Tide (1), Power Prolonger (2)</t>
  </si>
  <si>
    <t>Pukei Lagoon Mail — Rising Tide (1), Power Prolonger (2)</t>
  </si>
  <si>
    <t>Pukei Mail</t>
  </si>
  <si>
    <t>Poison Resistance (1), Focus (2)</t>
  </si>
  <si>
    <t>Pukei Mail — Poison Resistance (1), Focus (2)</t>
  </si>
  <si>
    <t>Quematrice Mail</t>
  </si>
  <si>
    <t>Spare Shot (1), Normal/Element Ammo Boost (2)</t>
  </si>
  <si>
    <t>Quematrice Mail — Spare Shot (1), Normal/Element Ammo Boost (2)</t>
  </si>
  <si>
    <t>Rath Heart Mail</t>
  </si>
  <si>
    <t>Focus (1), Dragon Attack (1)</t>
  </si>
  <si>
    <t>Rath Heart Mail — Focus (1), Dragon Attack (1)</t>
  </si>
  <si>
    <t>Rath Soul Mail</t>
  </si>
  <si>
    <t>Fire Attack (1), Earplugs (2)</t>
  </si>
  <si>
    <t>Rath Soul Mail — Fire Attack (1), Earplugs (2)</t>
  </si>
  <si>
    <t>Rathalos Mail</t>
  </si>
  <si>
    <t>Weakness Exploit (2)</t>
  </si>
  <si>
    <t>Rathalos Mail — Weakness Exploit (2)</t>
  </si>
  <si>
    <t>Rathian Mail</t>
  </si>
  <si>
    <t>Poison Attack (2)</t>
  </si>
  <si>
    <t>Rathian Mail — Poison Attack (2)</t>
  </si>
  <si>
    <t>Regios Mail</t>
  </si>
  <si>
    <t>Burst (1), Attack Efficacy (1)</t>
  </si>
  <si>
    <t>Regios Mail — Burst (1), Attack Efficacy (1)</t>
  </si>
  <si>
    <t>Rex Roar Mail</t>
  </si>
  <si>
    <t>Attack Boost (1), Lock On (1), Advanced Attack Boost (1)</t>
  </si>
  <si>
    <t>Rex Roar Mail — Attack Boost (1), Lock On (1), Advanced Attack Boost (1)</t>
  </si>
  <si>
    <t>Rimeguard Mail</t>
  </si>
  <si>
    <t>Meditation (2), Velkhana Aegis (1)</t>
  </si>
  <si>
    <t>Rimeguard Mail — Meditation (2), Velkhana Aegis (1)</t>
  </si>
  <si>
    <t>Silver Solmail</t>
  </si>
  <si>
    <t>Fire Attack (1), Critical Boost (1)</t>
  </si>
  <si>
    <t>Silver Solmail — Fire Attack (1), Critical Boost (1)</t>
  </si>
  <si>
    <t>Sinister Garb</t>
  </si>
  <si>
    <t>Reload Speed (2), Blast Resistance (1)</t>
  </si>
  <si>
    <t>Sinister Garb — Reload Speed (2), Blast Resistance (1)</t>
  </si>
  <si>
    <t>Somnacanth Mail</t>
  </si>
  <si>
    <t>Skyward Striker (2)</t>
  </si>
  <si>
    <t>Somnacanth Mail — Skyward Striker (2)</t>
  </si>
  <si>
    <t>Stygian Mail</t>
  </si>
  <si>
    <t>Advanced Dragon Attack (1), Elemental Release (2)</t>
  </si>
  <si>
    <t>Stygian Mail — Advanced Dragon Attack (1), Elemental Release (2)</t>
  </si>
  <si>
    <t>Tentacle Cloak</t>
  </si>
  <si>
    <t>Critical Boost (1), Latent Power (1), Namielle Electrowave (1)</t>
  </si>
  <si>
    <t>Tentacle Cloak — Critical Boost (1), Latent Power (1), Namielle Electrowave (1)</t>
  </si>
  <si>
    <t>Tigrex Mail</t>
  </si>
  <si>
    <t>Guts (1), Heroics (2)</t>
  </si>
  <si>
    <t>Tigrex Mail — Guts (1), Heroics (2)</t>
  </si>
  <si>
    <t>Tzitzi Mail</t>
  </si>
  <si>
    <t>Artful Dodger (1), Status Sneak Attack (1)</t>
  </si>
  <si>
    <t>Tzitzi Mail — Artful Dodger (1), Status Sneak Attack (1)</t>
  </si>
  <si>
    <t>Vangis Mail</t>
  </si>
  <si>
    <t>Latent Power (2)</t>
  </si>
  <si>
    <t>Vangis Mail — Latent Power (2)</t>
  </si>
  <si>
    <t>Viper Kadachi Mail</t>
  </si>
  <si>
    <t>Combo Master (2)</t>
  </si>
  <si>
    <t>Viper Kadachi Mail — Combo Master (2)</t>
  </si>
  <si>
    <t>Volvidon Mail</t>
  </si>
  <si>
    <t>Paralysis Attack (2)</t>
  </si>
  <si>
    <t>Volvidon Mail — Paralysis Attack (2)</t>
  </si>
  <si>
    <t>Wroggi Mail</t>
  </si>
  <si>
    <t>Recoil Down (1), Final Shot (1)</t>
  </si>
  <si>
    <t>Wroggi Mail — Recoil Down (1), Final Shot (1)</t>
  </si>
  <si>
    <t>Zinogre Mail</t>
  </si>
  <si>
    <t>Thunder Resistance (1), Evasive Concentration (2)</t>
  </si>
  <si>
    <t>Zinogre Mail — Thunder Resistance (1), Evasive Concentration (2)</t>
  </si>
  <si>
    <t>Aknosom Braces</t>
  </si>
  <si>
    <t>Quick Work (1), Power Prolonger (1)</t>
  </si>
  <si>
    <t>Aknosom Braces — Quick Work (1), Power Prolonger (1)</t>
  </si>
  <si>
    <t>Alloy Vambraces</t>
  </si>
  <si>
    <t>Health Boost (3)</t>
  </si>
  <si>
    <t>Alloy Vambraces — Health Boost (3)</t>
  </si>
  <si>
    <t>Almudron Vambraces</t>
  </si>
  <si>
    <t>Artful Dodger (1), Ballistics (1)</t>
  </si>
  <si>
    <t>Almudron Vambraces — Artful Dodger (1), Ballistics (1)</t>
  </si>
  <si>
    <t>Anja Vambraces</t>
  </si>
  <si>
    <t>Fire Attack (2)</t>
  </si>
  <si>
    <t>Anja Vambraces — Fire Attack (2)</t>
  </si>
  <si>
    <t>Arzuros Vambraces</t>
  </si>
  <si>
    <t>Concentration (1), Focus (2)</t>
  </si>
  <si>
    <t>Arzuros Vambraces — Concentration (1), Focus (2)</t>
  </si>
  <si>
    <t>Astalos Braces</t>
  </si>
  <si>
    <t>Perfectionist (1), Offensive Dodger (1), Advanced Thunder Attack (1)</t>
  </si>
  <si>
    <t>Astalos Braces — Perfectionist (1), Offensive Dodger (1), Advanced Thunder Attack (1)</t>
  </si>
  <si>
    <t>Baan Vambraces</t>
  </si>
  <si>
    <t>Slugger (1), Sleep Resistance (1)</t>
  </si>
  <si>
    <t>Baan Vambraces — Slugger (1), Sleep Resistance (1)</t>
  </si>
  <si>
    <t>Banbaro Vambraces</t>
  </si>
  <si>
    <t>Offensive Guard (2), Tremor Resistance (1)</t>
  </si>
  <si>
    <t>Banbaro Vambraces — Offensive Guard (2), Tremor Resistance (1)</t>
  </si>
  <si>
    <t>Barioth Vambraces</t>
  </si>
  <si>
    <t>Ice Attack (2)</t>
  </si>
  <si>
    <t>Barioth Vambraces — Ice Attack (2)</t>
  </si>
  <si>
    <t>Barroth Vambraces</t>
  </si>
  <si>
    <t>Barroth Vambraces — Guard (2)</t>
  </si>
  <si>
    <t>Basarios Vambraces</t>
  </si>
  <si>
    <t>Recoil Down (2)</t>
  </si>
  <si>
    <t>Basarios Vambraces — Recoil Down (2)</t>
  </si>
  <si>
    <t>Bazelgeuse Vambraces</t>
  </si>
  <si>
    <t>Bazelgeuse Vambraces — Critical Ferocity (2)</t>
  </si>
  <si>
    <t>Beotodus Vambraces</t>
  </si>
  <si>
    <t>Focus (2), Lock On (1)</t>
  </si>
  <si>
    <t>Beotodus Vambraces — Focus (2), Lock On (1)</t>
  </si>
  <si>
    <t>Bishaten Vambraces</t>
  </si>
  <si>
    <t>Slugger (2), Skyward Striker (1)</t>
  </si>
  <si>
    <t>Bishaten Vambraces — Slugger (2), Skyward Striker (1)</t>
  </si>
  <si>
    <t>Ceanataur Vambraces</t>
  </si>
  <si>
    <t>Water Attack (1), Lock On (1), Advanced Water Attack (1)</t>
  </si>
  <si>
    <t>Ceanataur Vambraces — Water Attack (1), Lock On (1), Advanced Water Attack (1)</t>
  </si>
  <si>
    <t>Chatacabra Vambraces</t>
  </si>
  <si>
    <t>Litheness (2)</t>
  </si>
  <si>
    <t>Chatacabra Vambraces — Litheness (2)</t>
  </si>
  <si>
    <t>Death Garon Braces</t>
  </si>
  <si>
    <t>Bleeding Edge (2)</t>
  </si>
  <si>
    <t>Death Garon Braces — Bleeding Edge (2)</t>
  </si>
  <si>
    <t>Diablos Nero Braces</t>
  </si>
  <si>
    <t>Focus (1), Resentment (1)</t>
  </si>
  <si>
    <t>Diablos Nero Braces — Focus (1), Resentment (1)</t>
  </si>
  <si>
    <t>Diablos Vambraces</t>
  </si>
  <si>
    <t>Partbreaker (1), Heroics (2)</t>
  </si>
  <si>
    <t>Diablos Vambraces — Partbreaker (1), Heroics (2)</t>
  </si>
  <si>
    <t>Espinas Vambraces</t>
  </si>
  <si>
    <t>Lock On (1), Special Partbreaker (2)</t>
  </si>
  <si>
    <t>Espinas Vambraces — Lock On (1), Special Partbreaker (2)</t>
  </si>
  <si>
    <t>Fulgur Vambraces</t>
  </si>
  <si>
    <t>Vital Thunder (2)</t>
  </si>
  <si>
    <t>Fulgur Vambraces — Vital Thunder (2)</t>
  </si>
  <si>
    <t>Girros Vambraces</t>
  </si>
  <si>
    <t>Earplugs (1), Sneak Attack (1)</t>
  </si>
  <si>
    <t>Girros Vambraces — Earplugs (1), Sneak Attack (1)</t>
  </si>
  <si>
    <t>Glavenus Vambraces</t>
  </si>
  <si>
    <t>Glavenus Vambraces — Weakness Exploit (2)</t>
  </si>
  <si>
    <t>Golden Kote</t>
  </si>
  <si>
    <t>Fighting Spirit (2)</t>
  </si>
  <si>
    <t>Golden Kote — Fighting Spirit (2)</t>
  </si>
  <si>
    <t>Golden Lunebraces</t>
  </si>
  <si>
    <t>Poison Exploit (2)</t>
  </si>
  <si>
    <t>Golden Lunebraces — Poison Exploit (2)</t>
  </si>
  <si>
    <t>Golm Vambraces</t>
  </si>
  <si>
    <t>Reckless (2)</t>
  </si>
  <si>
    <t>Golm Vambraces — Reckless (2)</t>
  </si>
  <si>
    <t>Goss Harag Braces</t>
  </si>
  <si>
    <t>Divine Blessing (1), Advanced Ice Attack (1)</t>
  </si>
  <si>
    <t>Goss Harag Braces — Divine Blessing (1), Advanced Ice Attack (1)</t>
  </si>
  <si>
    <t>Jagras Vambraces</t>
  </si>
  <si>
    <t>Water Attack (1), Firm Foothold (2)</t>
  </si>
  <si>
    <t>Jagras Vambraces — Water Attack (1), Firm Foothold (2)</t>
  </si>
  <si>
    <t>Jyura Vambraces</t>
  </si>
  <si>
    <t>Jyura Vambraces — Water Attack (2)</t>
  </si>
  <si>
    <t>Kadachi Vambraces</t>
  </si>
  <si>
    <t>Evade Extender (2), Artful Dodger (1)</t>
  </si>
  <si>
    <t>Kadachi Vambraces — Evade Extender (2), Artful Dodger (1)</t>
  </si>
  <si>
    <t>Kaiser Vambraces</t>
  </si>
  <si>
    <t>Guard (1), Artillery (2), Teostra Blastpowder (1)</t>
  </si>
  <si>
    <t>Kaiser Vambraces — Guard (1), Artillery (2), Teostra Blastpowder (1)</t>
  </si>
  <si>
    <t>Khezu Vambraces</t>
  </si>
  <si>
    <t>Fortify (1), Special Insurance (2)</t>
  </si>
  <si>
    <t>Khezu Vambraces — Fortify (1), Special Insurance (2)</t>
  </si>
  <si>
    <t>Kirin Longarms</t>
  </si>
  <si>
    <t>Weakness Exploit (1), Critical Boost (1), Kirin Flashstorm (1)</t>
  </si>
  <si>
    <t>Kirin Longarms — Weakness Exploit (1), Critical Boost (1), Kirin Flashstorm (1)</t>
  </si>
  <si>
    <t>Kulu Vambraces</t>
  </si>
  <si>
    <t>Critical Eye (1), Last Stand (1)</t>
  </si>
  <si>
    <t>Kulu Vambraces — Critical Eye (1), Last Stand (1)</t>
  </si>
  <si>
    <t>Kushala Grip</t>
  </si>
  <si>
    <t>Evade Extender (1), Focus (2), Kushala Frostwind (1)</t>
  </si>
  <si>
    <t>Kushala Grip — Evade Extender (1), Focus (2), Kushala Frostwind (1)</t>
  </si>
  <si>
    <t>Lagombi Vambraces</t>
  </si>
  <si>
    <t>Resentment (1), Shared Shield (1)</t>
  </si>
  <si>
    <t>Lagombi Vambraces — Resentment (1), Shared Shield (1)</t>
  </si>
  <si>
    <t>Leather Gloves</t>
  </si>
  <si>
    <t>Defense Boost (1), Thunder Resistance (1)</t>
  </si>
  <si>
    <t>Leather Gloves — Defense Boost (1), Thunder Resistance (1)</t>
  </si>
  <si>
    <t>Legiana Vambraces</t>
  </si>
  <si>
    <t>Reload Speed (2)</t>
  </si>
  <si>
    <t>Legiana Vambraces — Reload Speed (2)</t>
  </si>
  <si>
    <t>Lumu Phantasm Arms</t>
  </si>
  <si>
    <t>Sleep Attack (2)</t>
  </si>
  <si>
    <t>Lumu Phantasm Arms — Sleep Attack (2)</t>
  </si>
  <si>
    <t>Lumu Vambraces</t>
  </si>
  <si>
    <t>Concentration (2), Divine Blessing (1)</t>
  </si>
  <si>
    <t>Lumu Vambraces — Concentration (2), Divine Blessing (1)</t>
  </si>
  <si>
    <t>Lunagaron Vambraces</t>
  </si>
  <si>
    <t>Blunt Force (2)</t>
  </si>
  <si>
    <t>Lunagaron Vambraces — Blunt Force (2)</t>
  </si>
  <si>
    <t>Malzeno Vambraces</t>
  </si>
  <si>
    <t>Resuscitate (1), Malzeno Crimsonblood (1), Blood Cloak (1)</t>
  </si>
  <si>
    <t>Malzeno Vambraces — Resuscitate (1), Malzeno Crimsonblood (1), Blood Cloak (1)</t>
  </si>
  <si>
    <t>Mizuha Sleeves</t>
  </si>
  <si>
    <t>Valor (2), Chameleos Venomist (1)</t>
  </si>
  <si>
    <t>Mizuha Sleeves — Valor (2), Chameleos Venomist (1)</t>
  </si>
  <si>
    <t>Mizutsune Braces</t>
  </si>
  <si>
    <t>Bubbly Dance (1), Resuscitate (1)</t>
  </si>
  <si>
    <t>Mizutsune Braces — Bubbly Dance (1), Resuscitate (1)</t>
  </si>
  <si>
    <t>Nargacuga Vambraces</t>
  </si>
  <si>
    <t>Buildup Boost (3)</t>
  </si>
  <si>
    <t>Nargacuga Vambraces — Buildup Boost (3)</t>
  </si>
  <si>
    <t>Nergigante Vambraces</t>
  </si>
  <si>
    <t>Offensive Guard (1), Guard (1), Nergigante Avidity (1)</t>
  </si>
  <si>
    <t>Nergigante Vambraces — Offensive Guard (1), Guard (1), Nergigante Avidity (1)</t>
  </si>
  <si>
    <t>Odogaron Vambraces</t>
  </si>
  <si>
    <t>Bleeding Resistance (2), Quick Work (1)</t>
  </si>
  <si>
    <t>Odogaron Vambraces — Bleeding Resistance (2), Quick Work (1)</t>
  </si>
  <si>
    <t>Pukei Lagoon Braces</t>
  </si>
  <si>
    <t>Rising Tide (1), Skyward Striker (1)</t>
  </si>
  <si>
    <t>Pukei Lagoon Braces — Rising Tide (1), Skyward Striker (1)</t>
  </si>
  <si>
    <t>Pukei Vambraces</t>
  </si>
  <si>
    <t>Poison Resistance (1), Poison Attack (2)</t>
  </si>
  <si>
    <t>Pukei Vambraces — Poison Resistance (1), Poison Attack (2)</t>
  </si>
  <si>
    <t>Quematrice Braces</t>
  </si>
  <si>
    <t>Recoil Down (1), Spare Shot (1)</t>
  </si>
  <si>
    <t>Quematrice Braces — Recoil Down (1), Spare Shot (1)</t>
  </si>
  <si>
    <t>Rath Heart Braces</t>
  </si>
  <si>
    <t>Critical Eye (1), Windproof (2)</t>
  </si>
  <si>
    <t>Rath Heart Braces — Critical Eye (1), Windproof (2)</t>
  </si>
  <si>
    <t>Rath Soul Braces</t>
  </si>
  <si>
    <t>Critical Boost (2)</t>
  </si>
  <si>
    <t>Rath Soul Braces — Critical Boost (2)</t>
  </si>
  <si>
    <t>Rathalos Vambraces</t>
  </si>
  <si>
    <t>Attack Boost (2), Fire Resistance (1)</t>
  </si>
  <si>
    <t>Rathalos Vambraces — Attack Boost (2), Fire Resistance (1)</t>
  </si>
  <si>
    <t>Rathian Vambraces</t>
  </si>
  <si>
    <t>Burst (2), Lock On (1)</t>
  </si>
  <si>
    <t>Rathian Vambraces — Burst (2), Lock On (1)</t>
  </si>
  <si>
    <t>Regios Vambraces</t>
  </si>
  <si>
    <t>Attack Boost (2), Attack Efficacy (1)</t>
  </si>
  <si>
    <t>Regios Vambraces — Attack Boost (2), Attack Efficacy (1)</t>
  </si>
  <si>
    <t>Rex Roar Braces</t>
  </si>
  <si>
    <t>Recoil Down (1), Reload Speed (1), Advanced Attack Boost (1)</t>
  </si>
  <si>
    <t>Rex Roar Braces — Recoil Down (1), Reload Speed (1), Advanced Attack Boost (1)</t>
  </si>
  <si>
    <t>Rimeguard Vambraces</t>
  </si>
  <si>
    <t>Lock On (1), Meditation (1), Velkhana Aegis (1)</t>
  </si>
  <si>
    <t>Rimeguard Vambraces — Lock On (1), Meditation (1), Velkhana Aegis (1)</t>
  </si>
  <si>
    <t>Silver Solbraces</t>
  </si>
  <si>
    <t>Silver Solbraces — Latent Power (2)</t>
  </si>
  <si>
    <t>Sinister Gauntlets</t>
  </si>
  <si>
    <t>Blast Attack (2)</t>
  </si>
  <si>
    <t>Sinister Gauntlets — Blast Attack (2)</t>
  </si>
  <si>
    <t>Somnacanth Vambraces</t>
  </si>
  <si>
    <t>Evading Reload (2)</t>
  </si>
  <si>
    <t>Somnacanth Vambraces — Evading Reload (2)</t>
  </si>
  <si>
    <t>Stygian Vambraces</t>
  </si>
  <si>
    <t>Lock On (1), Dragon Attack (1), Advanced Dragon Attack (1)</t>
  </si>
  <si>
    <t>Stygian Vambraces — Lock On (1), Dragon Attack (1), Advanced Dragon Attack (1)</t>
  </si>
  <si>
    <t>Tentacle Gloves</t>
  </si>
  <si>
    <t>Critical Eye (1), Weakness Exploit (1), Namielle Electrowave (1)</t>
  </si>
  <si>
    <t>Tentacle Gloves — Critical Eye (1), Weakness Exploit (1), Namielle Electrowave (1)</t>
  </si>
  <si>
    <t>Tigrex Vambraces</t>
  </si>
  <si>
    <t>Earplugs (2)</t>
  </si>
  <si>
    <t>Tigrex Vambraces — Earplugs (2)</t>
  </si>
  <si>
    <t>Tzitzi Vambraces</t>
  </si>
  <si>
    <t>Status Sneak Attack (2)</t>
  </si>
  <si>
    <t>Tzitzi Vambraces — Status Sneak Attack (2)</t>
  </si>
  <si>
    <t>Vangis Vambraces</t>
  </si>
  <si>
    <t>Peak Performance (2), Dragon Attack (1)</t>
  </si>
  <si>
    <t>Vangis Vambraces — Peak Performance (2), Dragon Attack (1)</t>
  </si>
  <si>
    <t>Viper Kadachi Braces</t>
  </si>
  <si>
    <t>Paralysis Attack (1), Paralysis Exploit (1), Advanced Burst (1)</t>
  </si>
  <si>
    <t>Viper Kadachi Braces — Paralysis Attack (1), Paralysis Exploit (1), Advanced Burst (1)</t>
  </si>
  <si>
    <t>Volvidon Vambraces</t>
  </si>
  <si>
    <t>Morph Boost (2)</t>
  </si>
  <si>
    <t>Volvidon Vambraces — Morph Boost (2)</t>
  </si>
  <si>
    <t>Wroggi Vambraces</t>
  </si>
  <si>
    <t>Critical Eye (2)</t>
  </si>
  <si>
    <t>Wroggi Vambraces — Critical Eye (2)</t>
  </si>
  <si>
    <t>Zinogre Braces</t>
  </si>
  <si>
    <t>Zinogre Braces — Thunder Attack (2)</t>
  </si>
  <si>
    <t>Aknosom Coil</t>
  </si>
  <si>
    <t>Critical Eye (1), Peak Performance (1)</t>
  </si>
  <si>
    <t>Aknosom Coil — Critical Eye (1), Peak Performance (1)</t>
  </si>
  <si>
    <t>Alloy Coil</t>
  </si>
  <si>
    <t>Defense Boost (3)</t>
  </si>
  <si>
    <t>Alloy Coil — Defense Boost (3)</t>
  </si>
  <si>
    <t>Almudron Coil</t>
  </si>
  <si>
    <t>Reload Speed (1), Spare Shot (1), Advanced Water Attack (1)</t>
  </si>
  <si>
    <t>Almudron Coil — Reload Speed (1), Spare Shot (1), Advanced Water Attack (1)</t>
  </si>
  <si>
    <t>Anja Coil</t>
  </si>
  <si>
    <t>Fire Resistance (3), Special Boost (1)</t>
  </si>
  <si>
    <t>Anja Coil — Fire Resistance (3), Special Boost (1)</t>
  </si>
  <si>
    <t>Arzuros Coil</t>
  </si>
  <si>
    <t>Arzuros Coil — Morph Boost (2)</t>
  </si>
  <si>
    <t>Astalos Coil</t>
  </si>
  <si>
    <t>Critical Eye (1), Critical Element (1), Advanced Thunder Attack (1)</t>
  </si>
  <si>
    <t>Astalos Coil — Critical Eye (1), Critical Element (1), Advanced Thunder Attack (1)</t>
  </si>
  <si>
    <t>Baan Coil</t>
  </si>
  <si>
    <t>Baan Coil — Sleep Attack (2)</t>
  </si>
  <si>
    <t>Banbaro Coil</t>
  </si>
  <si>
    <t>Attack Boost (2), Firm Foothold (1)</t>
  </si>
  <si>
    <t>Banbaro Coil — Attack Boost (2), Firm Foothold (1)</t>
  </si>
  <si>
    <t>Barioth Faulds</t>
  </si>
  <si>
    <t>Ice Resistance (1), Skyward Striker (1)</t>
  </si>
  <si>
    <t>Barioth Faulds — Ice Resistance (1), Skyward Striker (1)</t>
  </si>
  <si>
    <t>Barroth Coil</t>
  </si>
  <si>
    <t>Defense Boost (2), Guard (1)</t>
  </si>
  <si>
    <t>Barroth Coil — Defense Boost (2), Guard (1)</t>
  </si>
  <si>
    <t>Basarios Coil</t>
  </si>
  <si>
    <t>Basarios Coil — Fire Attack (2)</t>
  </si>
  <si>
    <t>Bazelgeuse Coil</t>
  </si>
  <si>
    <t>Bazelgeuse Coil — Artillery (2)</t>
  </si>
  <si>
    <t>Beotodus Coil</t>
  </si>
  <si>
    <t>Ice Attack (1), Defensive Loading (2)</t>
  </si>
  <si>
    <t>Beotodus Coil — Ice Attack (1), Defensive Loading (2)</t>
  </si>
  <si>
    <t>Bishaten Coil</t>
  </si>
  <si>
    <t>Shared Sword (2), Paralysis Exploit (1)</t>
  </si>
  <si>
    <t>Bishaten Coil — Shared Sword (2), Paralysis Exploit (1)</t>
  </si>
  <si>
    <t>Ceanataur Coil</t>
  </si>
  <si>
    <t>Advanced Water Attack (1), Tail Partbreaker (1)</t>
  </si>
  <si>
    <t>Ceanataur Coil — Advanced Water Attack (1), Tail Partbreaker (1)</t>
  </si>
  <si>
    <t>Chatacabra Coil</t>
  </si>
  <si>
    <t>Resentment (2), Litheness (1)</t>
  </si>
  <si>
    <t>Chatacabra Coil — Resentment (2), Litheness (1)</t>
  </si>
  <si>
    <t>Death Garon Coil</t>
  </si>
  <si>
    <t>Critical Boost (2), Evasive Concentration (1)</t>
  </si>
  <si>
    <t>Death Garon Coil — Critical Boost (2), Evasive Concentration (1)</t>
  </si>
  <si>
    <t>Diablos Coil</t>
  </si>
  <si>
    <t>Partbreaker (1), Offensive Guard (2)</t>
  </si>
  <si>
    <t>Diablos Coil — Partbreaker (1), Offensive Guard (2)</t>
  </si>
  <si>
    <t>Diablos Nero Coil</t>
  </si>
  <si>
    <t>Heroics (1), Lock On (1)</t>
  </si>
  <si>
    <t>Diablos Nero Coil — Heroics (1), Lock On (1)</t>
  </si>
  <si>
    <t>Espinas Bowels</t>
  </si>
  <si>
    <t>Partbreaker (1), Pursuit (2)</t>
  </si>
  <si>
    <t>Espinas Bowels — Partbreaker (1), Pursuit (2)</t>
  </si>
  <si>
    <t>Fulgur Coil</t>
  </si>
  <si>
    <t>Special Boost (2), Lock On (1)</t>
  </si>
  <si>
    <t>Fulgur Coil — Special Boost (2), Lock On (1)</t>
  </si>
  <si>
    <t>Girros Coil</t>
  </si>
  <si>
    <t>Paralysis Attack (1), Earplugs (2)</t>
  </si>
  <si>
    <t>Girros Coil — Paralysis Attack (1), Earplugs (2)</t>
  </si>
  <si>
    <t>Glavenus Coil</t>
  </si>
  <si>
    <t>Sneak Attack (1), Quick Work (2)</t>
  </si>
  <si>
    <t>Glavenus Coil — Sneak Attack (1), Quick Work (2)</t>
  </si>
  <si>
    <t>Golden Lunecoil</t>
  </si>
  <si>
    <t>Lock On (1), Resuscitate (1)</t>
  </si>
  <si>
    <t>Golden Lunecoil — Lock On (1), Resuscitate (1)</t>
  </si>
  <si>
    <t>Golden Obi</t>
  </si>
  <si>
    <t>Focus (3)</t>
  </si>
  <si>
    <t>Golden Obi — Focus (3)</t>
  </si>
  <si>
    <t>Golm Faulds</t>
  </si>
  <si>
    <t>Reload Speed (2), Reckless (1)</t>
  </si>
  <si>
    <t>Golm Faulds — Reload Speed (2), Reckless (1)</t>
  </si>
  <si>
    <t>Goss Harag Coil</t>
  </si>
  <si>
    <t>Advanced Ice Attack (1), Morph Attack Boost (2)</t>
  </si>
  <si>
    <t>Goss Harag Coil — Advanced Ice Attack (1), Morph Attack Boost (2)</t>
  </si>
  <si>
    <t>Jagras Coil</t>
  </si>
  <si>
    <t>Rising Tide (1), Fortify (2)</t>
  </si>
  <si>
    <t>Jagras Coil — Rising Tide (1), Fortify (2)</t>
  </si>
  <si>
    <t>Jyura Coil</t>
  </si>
  <si>
    <t>Water Resistance (3)</t>
  </si>
  <si>
    <t>Jyura Coil — Water Resistance (3)</t>
  </si>
  <si>
    <t>Kadachi Coil</t>
  </si>
  <si>
    <t>Kadachi Coil — Thunder Attack (2)</t>
  </si>
  <si>
    <t>Kaiser Coil</t>
  </si>
  <si>
    <t>Burst (2), Power Prolonger (1), Teostra Blastpowder (1)</t>
  </si>
  <si>
    <t>Kaiser Coil — Burst (2), Power Prolonger (1), Teostra Blastpowder (1)</t>
  </si>
  <si>
    <t>Khezu Coil</t>
  </si>
  <si>
    <t>Paralysis Resistance (2)</t>
  </si>
  <si>
    <t>Khezu Coil — Paralysis Resistance (2)</t>
  </si>
  <si>
    <t>Kirin Hoop</t>
  </si>
  <si>
    <t>Critical Boost (1), Latent Power (1), Kirin Flashstorm (1)</t>
  </si>
  <si>
    <t>Kirin Hoop — Critical Boost (1), Latent Power (1), Kirin Flashstorm (1)</t>
  </si>
  <si>
    <t>Kulu Coil</t>
  </si>
  <si>
    <t>Evade Extender (1), Last Stand (1)</t>
  </si>
  <si>
    <t>Kulu Coil — Evade Extender (1), Last Stand (1)</t>
  </si>
  <si>
    <t>Kushala Cocoon</t>
  </si>
  <si>
    <t>Weakness Exploit (2), Windproof (1), Kushala Frostwind (1)</t>
  </si>
  <si>
    <t>Kushala Cocoon — Weakness Exploit (2), Windproof (1), Kushala Frostwind (1)</t>
  </si>
  <si>
    <t>Lagombi Coil</t>
  </si>
  <si>
    <t>Shared Shield (2)</t>
  </si>
  <si>
    <t>Lagombi Coil — Shared Shield (2)</t>
  </si>
  <si>
    <t>Leather Belt</t>
  </si>
  <si>
    <t>Health Boost (1), Water Resistance (1)</t>
  </si>
  <si>
    <t>Leather Belt — Health Boost (1), Water Resistance (1)</t>
  </si>
  <si>
    <t>Legiana Coil</t>
  </si>
  <si>
    <t>Ice Attack (2), Windproof (1)</t>
  </si>
  <si>
    <t>Legiana Coil — Ice Attack (2), Windproof (1)</t>
  </si>
  <si>
    <t>Lumu Coil</t>
  </si>
  <si>
    <t>Divine Blessing (2)</t>
  </si>
  <si>
    <t>Lumu Coil — Divine Blessing (2)</t>
  </si>
  <si>
    <t>Lumu Phantasm Coil</t>
  </si>
  <si>
    <t>Evade Extender (1), Sneak Attack (2)</t>
  </si>
  <si>
    <t>Lumu Phantasm Coil — Evade Extender (1), Sneak Attack (2)</t>
  </si>
  <si>
    <t>Lunagaron Coil</t>
  </si>
  <si>
    <t>Lunagaron Coil — Health Boost (3)</t>
  </si>
  <si>
    <t>Malzeno Coil</t>
  </si>
  <si>
    <t>Fighting Spirit (2), Malzeno Crimsonblood (1)</t>
  </si>
  <si>
    <t>Malzeno Coil — Fighting Spirit (2), Malzeno Crimsonblood (1)</t>
  </si>
  <si>
    <t>Mizuha Sash</t>
  </si>
  <si>
    <t>Poison Exploit (2), Chameleos Venomist (1)</t>
  </si>
  <si>
    <t>Mizuha Sash — Poison Exploit (2), Chameleos Venomist (1)</t>
  </si>
  <si>
    <t>Mizutsune Coil</t>
  </si>
  <si>
    <t>Evasive Concentration (2)</t>
  </si>
  <si>
    <t>Mizutsune Coil — Evasive Concentration (2)</t>
  </si>
  <si>
    <t>Nargacuga Faulds</t>
  </si>
  <si>
    <t>Peak Performance (1), Evading Reload (2)</t>
  </si>
  <si>
    <t>Nargacuga Faulds — Peak Performance (1), Evading Reload (2)</t>
  </si>
  <si>
    <t>Nergigante Coil</t>
  </si>
  <si>
    <t>Attack Boost (2), Partbreaker (1), Nergigante Avidity (1)</t>
  </si>
  <si>
    <t>Nergigante Coil — Attack Boost (2), Partbreaker (1), Nergigante Avidity (1)</t>
  </si>
  <si>
    <t>Odogaron Coil</t>
  </si>
  <si>
    <t>Critical Eye (1), Evasive Concentration (1)</t>
  </si>
  <si>
    <t>Odogaron Coil — Critical Eye (1), Evasive Concentration (1)</t>
  </si>
  <si>
    <t>Pukei Coil</t>
  </si>
  <si>
    <t>Pukei Coil — Poison Attack (2)</t>
  </si>
  <si>
    <t>Pukei Lagoon Coil</t>
  </si>
  <si>
    <t>Recoil Down (1), Reload Speed (1)</t>
  </si>
  <si>
    <t>Pukei Lagoon Coil — Recoil Down (1), Reload Speed (1)</t>
  </si>
  <si>
    <t>Quematrice Coil</t>
  </si>
  <si>
    <t>Concentration (1), Dauntless (2)</t>
  </si>
  <si>
    <t>Quematrice Coil — Concentration (1), Dauntless (2)</t>
  </si>
  <si>
    <t>Rath Heart Coil</t>
  </si>
  <si>
    <t>Rath Heart Coil — Critical Eye (2)</t>
  </si>
  <si>
    <t>Rath Soul Coil</t>
  </si>
  <si>
    <t>Critical Boost (1), Special Boost (1)</t>
  </si>
  <si>
    <t>Rath Soul Coil — Critical Boost (1), Special Boost (1)</t>
  </si>
  <si>
    <t>Rathalos Coil</t>
  </si>
  <si>
    <t>Fire Attack (1), Focus (2)</t>
  </si>
  <si>
    <t>Rathalos Coil — Fire Attack (1), Focus (2)</t>
  </si>
  <si>
    <t>Rathian Coil</t>
  </si>
  <si>
    <t>Poison Resistance (3), Burst (1)</t>
  </si>
  <si>
    <t>Rathian Coil — Poison Resistance (3), Burst (1)</t>
  </si>
  <si>
    <t>Regios Tassets</t>
  </si>
  <si>
    <t>Normal/Element Ammo Boost (1), Ballistics (1), Attack Efficacy (1)</t>
  </si>
  <si>
    <t>Regios Tassets — Normal/Element Ammo Boost (1), Ballistics (1), Attack Efficacy (1)</t>
  </si>
  <si>
    <t>Rex Roar Coil</t>
  </si>
  <si>
    <t>Attack Boost (2), Advanced Attack Boost (1)</t>
  </si>
  <si>
    <t>Rex Roar Coil — Attack Boost (2), Advanced Attack Boost (1)</t>
  </si>
  <si>
    <t>Rimeguard Coil</t>
  </si>
  <si>
    <t>Vital Ice (1), Meditation (1), Velkhana Aegis (1)</t>
  </si>
  <si>
    <t>Rimeguard Coil — Vital Ice (1), Meditation (1), Velkhana Aegis (1)</t>
  </si>
  <si>
    <t>Silver Solcoil</t>
  </si>
  <si>
    <t>Windproof (2)</t>
  </si>
  <si>
    <t>Silver Solcoil — Windproof (2)</t>
  </si>
  <si>
    <t>Sinister Tassets</t>
  </si>
  <si>
    <t>Blast Resistance (1), Hellfire Cloak (1)</t>
  </si>
  <si>
    <t>Sinister Tassets — Blast Resistance (1), Hellfire Cloak (1)</t>
  </si>
  <si>
    <t>Somnacanth Coil</t>
  </si>
  <si>
    <t>Sleep Attack (1), Rude Awakener (1)</t>
  </si>
  <si>
    <t>Somnacanth Coil — Sleep Attack (1), Rude Awakener (1)</t>
  </si>
  <si>
    <t>Stygian Coil</t>
  </si>
  <si>
    <t>Fighting Spirit (1), Vital Dragon (1)</t>
  </si>
  <si>
    <t>Stygian Coil — Fighting Spirit (1), Vital Dragon (1)</t>
  </si>
  <si>
    <t>Tentacle Coil</t>
  </si>
  <si>
    <t>Water Attack (2), Namielle Electrowave (1)</t>
  </si>
  <si>
    <t>Tentacle Coil — Water Attack (2), Namielle Electrowave (1)</t>
  </si>
  <si>
    <t>Tigrex Coil</t>
  </si>
  <si>
    <t>Tigrex Coil — Critical Ferocity (2)</t>
  </si>
  <si>
    <t>Tzitzi Coil</t>
  </si>
  <si>
    <t>Evade Extender (1), Status Sneak Attack (1)</t>
  </si>
  <si>
    <t>Tzitzi Coil — Evade Extender (1), Status Sneak Attack (1)</t>
  </si>
  <si>
    <t>Vangis Coil</t>
  </si>
  <si>
    <t>Dragon Attack (2), Tremor Resistance (1)</t>
  </si>
  <si>
    <t>Vangis Coil — Dragon Attack (2), Tremor Resistance (1)</t>
  </si>
  <si>
    <t>Viper Kadachi Coil</t>
  </si>
  <si>
    <t>Burst (2), Advanced Burst (1)</t>
  </si>
  <si>
    <t>Viper Kadachi Coil — Burst (2), Advanced Burst (1)</t>
  </si>
  <si>
    <t>Volvidon Coil</t>
  </si>
  <si>
    <t>Special Insurance (2), Fighting Spirit (1)</t>
  </si>
  <si>
    <t>Volvidon Coil — Special Insurance (2), Fighting Spirit (1)</t>
  </si>
  <si>
    <t>Wroggi Coil</t>
  </si>
  <si>
    <t>Wroggi Coil — Guard (2)</t>
  </si>
  <si>
    <t>Zinogre Coil</t>
  </si>
  <si>
    <t>Reload Speed (1), Artful Dodger (1)</t>
  </si>
  <si>
    <t>Zinogre Coil — Reload Speed (1), Artful Dodger (1)</t>
  </si>
  <si>
    <t>Aknosom Greaves</t>
  </si>
  <si>
    <t>Aknosom Greaves — Fire Attack (2)</t>
  </si>
  <si>
    <t>Alloy Greaves</t>
  </si>
  <si>
    <t>Windproof (1), Lock On (1)</t>
  </si>
  <si>
    <t>Alloy Greaves — Windproof (1), Lock On (1)</t>
  </si>
  <si>
    <t>Almudron Greaves</t>
  </si>
  <si>
    <t>Lock On (1), Quick Work (2)</t>
  </si>
  <si>
    <t>Almudron Greaves — Lock On (1), Quick Work (2)</t>
  </si>
  <si>
    <t>Anja Greaves</t>
  </si>
  <si>
    <t>Peak Performance (2)</t>
  </si>
  <si>
    <t>Anja Greaves — Peak Performance (2)</t>
  </si>
  <si>
    <t>Arzuros Greaves</t>
  </si>
  <si>
    <t>Special Boost (1), Critical Ferocity (1)</t>
  </si>
  <si>
    <t>Arzuros Greaves — Special Boost (1), Critical Ferocity (1)</t>
  </si>
  <si>
    <t>Astalos Greaves</t>
  </si>
  <si>
    <t>Thunder Attack (2), Advanced Thunder Attack (1)</t>
  </si>
  <si>
    <t>Astalos Greaves — Thunder Attack (2), Advanced Thunder Attack (1)</t>
  </si>
  <si>
    <t>Baan Greaves</t>
  </si>
  <si>
    <t>Guard (1), Sleep Resistance (1)</t>
  </si>
  <si>
    <t>Baan Greaves — Guard (1), Sleep Resistance (1)</t>
  </si>
  <si>
    <t>Banbaro Greaves</t>
  </si>
  <si>
    <t>Concentration (1), Divine Blessing (1)</t>
  </si>
  <si>
    <t>Banbaro Greaves — Concentration (1), Divine Blessing (1)</t>
  </si>
  <si>
    <t>Barioth Greaves</t>
  </si>
  <si>
    <t>Evade Extender (1), Sneak Attack (1)</t>
  </si>
  <si>
    <t>Barioth Greaves — Evade Extender (1), Sneak Attack (1)</t>
  </si>
  <si>
    <t>Barroth Greaves</t>
  </si>
  <si>
    <t>Defense Boost (2), Recoil Down (1)</t>
  </si>
  <si>
    <t>Barroth Greaves — Defense Boost (2), Recoil Down (1)</t>
  </si>
  <si>
    <t>Basarios Greaves</t>
  </si>
  <si>
    <t>Guard (1), Artillery (1)</t>
  </si>
  <si>
    <t>Basarios Greaves — Guard (1), Artillery (1)</t>
  </si>
  <si>
    <t>Bazelgeuse Greaves</t>
  </si>
  <si>
    <t>Blast Attack (1), Valor (2)</t>
  </si>
  <si>
    <t>Bazelgeuse Greaves — Blast Attack (1), Valor (2)</t>
  </si>
  <si>
    <t>Beotodus Greaves</t>
  </si>
  <si>
    <t>Beotodus Greaves — Blunt Force (2)</t>
  </si>
  <si>
    <t>Bishaten Greaves</t>
  </si>
  <si>
    <t>Focus (2), Quick Work (1)</t>
  </si>
  <si>
    <t>Bishaten Greaves — Focus (2), Quick Work (1)</t>
  </si>
  <si>
    <t>Ceanataur Greaves</t>
  </si>
  <si>
    <t>Advanced Water Attack (1), Slicing Ammo Boost (2)</t>
  </si>
  <si>
    <t>Ceanataur Greaves — Advanced Water Attack (1), Slicing Ammo Boost (2)</t>
  </si>
  <si>
    <t>Chatacabra Greaves</t>
  </si>
  <si>
    <t>Evading Reload (2), Litheness (1)</t>
  </si>
  <si>
    <t>Chatacabra Greaves — Evading Reload (2), Litheness (1)</t>
  </si>
  <si>
    <t>Death Garon Greaves</t>
  </si>
  <si>
    <t>Evade Extender (1), Dragon Attack (2)</t>
  </si>
  <si>
    <t>Death Garon Greaves — Evade Extender (1), Dragon Attack (2)</t>
  </si>
  <si>
    <t>Diablos Greaves</t>
  </si>
  <si>
    <t>Partbreaker (1), Slugger (2)</t>
  </si>
  <si>
    <t>Diablos Greaves — Partbreaker (1), Slugger (2)</t>
  </si>
  <si>
    <t>Diablos Nero Greaves</t>
  </si>
  <si>
    <t>Offensive Guard (1), Heroics (1)</t>
  </si>
  <si>
    <t>Diablos Nero Greaves — Offensive Guard (1), Heroics (1)</t>
  </si>
  <si>
    <t>Espinas Heel</t>
  </si>
  <si>
    <t>Vital Fire (2)</t>
  </si>
  <si>
    <t>Espinas Heel — Vital Fire (2)</t>
  </si>
  <si>
    <t>Fulgur Greaves</t>
  </si>
  <si>
    <t>Concentration (2), Raw Power (1)</t>
  </si>
  <si>
    <t>Fulgur Greaves — Concentration (2), Raw Power (1)</t>
  </si>
  <si>
    <t>Girros Greaves</t>
  </si>
  <si>
    <t>Girros Greaves — Paralysis Attack (2)</t>
  </si>
  <si>
    <t>Glavenus Greaves</t>
  </si>
  <si>
    <t>Burst (2), Artful Dodger (1)</t>
  </si>
  <si>
    <t>Glavenus Greaves — Burst (2), Artful Dodger (1)</t>
  </si>
  <si>
    <t>Golden Hakama</t>
  </si>
  <si>
    <t>Resentment (2), Tremor Resistance (1)</t>
  </si>
  <si>
    <t>Golden Hakama — Resentment (2), Tremor Resistance (1)</t>
  </si>
  <si>
    <t>Golden Lunegreaves</t>
  </si>
  <si>
    <t>Poison Attack (1), Poison Exploit (1)</t>
  </si>
  <si>
    <t>Golden Lunegreaves — Poison Attack (1), Poison Exploit (1)</t>
  </si>
  <si>
    <t>Golm Greaves</t>
  </si>
  <si>
    <t>Lock On (1), Reckless (1)</t>
  </si>
  <si>
    <t>Golm Greaves — Lock On (1), Reckless (1)</t>
  </si>
  <si>
    <t>Goss Harag Greaves</t>
  </si>
  <si>
    <t>Lock On (1), Morph Boost (2)</t>
  </si>
  <si>
    <t>Goss Harag Greaves — Lock On (1), Morph Boost (2)</t>
  </si>
  <si>
    <t>Jagras Greaves</t>
  </si>
  <si>
    <t>Jagras Greaves — Water Attack (2)</t>
  </si>
  <si>
    <t>Jyura Greaves</t>
  </si>
  <si>
    <t>Focus (2), Last Stand (1)</t>
  </si>
  <si>
    <t>Jyura Greaves — Focus (2), Last Stand (1)</t>
  </si>
  <si>
    <t>Kadachi Greaves</t>
  </si>
  <si>
    <t>Thunder Resistance (3), Artful Dodger (1)</t>
  </si>
  <si>
    <t>Kadachi Greaves — Thunder Resistance (3), Artful Dodger (1)</t>
  </si>
  <si>
    <t>Kaiser Greaves</t>
  </si>
  <si>
    <t>Evade Extender (1), Critical Boost (2), Teostra Blastpowder (1)</t>
  </si>
  <si>
    <t>Kaiser Greaves — Evade Extender (1), Critical Boost (2), Teostra Blastpowder (1)</t>
  </si>
  <si>
    <t>Khezu Greaves</t>
  </si>
  <si>
    <t>Focus (1), Slugger (1)</t>
  </si>
  <si>
    <t>Khezu Greaves — Focus (1), Slugger (1)</t>
  </si>
  <si>
    <t>Kirin Leg Guards</t>
  </si>
  <si>
    <t>Recoil Down (2), Kirin Flashstorm (1)</t>
  </si>
  <si>
    <t>Kirin Leg Guards — Recoil Down (2), Kirin Flashstorm (1)</t>
  </si>
  <si>
    <t>Kulu Greaves</t>
  </si>
  <si>
    <t>Kulu Greaves — Critical Eye (2)</t>
  </si>
  <si>
    <t>Kushala Crus</t>
  </si>
  <si>
    <t>Artful Dodger (1), Skyward Striker (2), Kushala Frostwind (1)</t>
  </si>
  <si>
    <t>Kushala Crus — Artful Dodger (1), Skyward Striker (2), Kushala Frostwind (1)</t>
  </si>
  <si>
    <t>Lagombi Greaves</t>
  </si>
  <si>
    <t>Lagombi Greaves — Ice Attack (2)</t>
  </si>
  <si>
    <t>Leather Trousers</t>
  </si>
  <si>
    <t>Poison Resistance (1), Paralysis Resistance (1)</t>
  </si>
  <si>
    <t>Leather Trousers — Poison Resistance (1), Paralysis Resistance (1)</t>
  </si>
  <si>
    <t>Legiana Greaves</t>
  </si>
  <si>
    <t>Ice Resistance (1), Reload Speed (2)</t>
  </si>
  <si>
    <t>Legiana Greaves — Ice Resistance (1), Reload Speed (2)</t>
  </si>
  <si>
    <t>Lumu Greaves</t>
  </si>
  <si>
    <t>Windproof (3)</t>
  </si>
  <si>
    <t>Lumu Greaves — Windproof (3)</t>
  </si>
  <si>
    <t>Lumu Phantasm Greaves</t>
  </si>
  <si>
    <t>Status Sneak Attack (1), Rude Awakener (1)</t>
  </si>
  <si>
    <t>Lumu Phantasm Greaves — Status Sneak Attack (1), Rude Awakener (1)</t>
  </si>
  <si>
    <t>Lunagaron Greaves</t>
  </si>
  <si>
    <t>Burst (1), Ballistics (2)</t>
  </si>
  <si>
    <t>Lunagaron Greaves — Burst (1), Ballistics (2)</t>
  </si>
  <si>
    <t>Malzeno Greaves</t>
  </si>
  <si>
    <t>Pursuit (2), Malzeno Crimsonblood (1)</t>
  </si>
  <si>
    <t>Malzeno Greaves — Pursuit (2), Malzeno Crimsonblood (1)</t>
  </si>
  <si>
    <t>Mizuha Gaiters</t>
  </si>
  <si>
    <t>Offensive Guard (1), Guard (1), Chameleos Venomist (1)</t>
  </si>
  <si>
    <t>Mizuha Gaiters — Offensive Guard (1), Guard (1), Chameleos Venomist (1)</t>
  </si>
  <si>
    <t>Mizutsune Greaves</t>
  </si>
  <si>
    <t>Resuscitate (2)</t>
  </si>
  <si>
    <t>Mizutsune Greaves — Resuscitate (2)</t>
  </si>
  <si>
    <t>Nargacuga Greaves</t>
  </si>
  <si>
    <t>Artful Dodger (1), Buildup Boost (2)</t>
  </si>
  <si>
    <t>Nargacuga Greaves — Artful Dodger (1), Buildup Boost (2)</t>
  </si>
  <si>
    <t>Nergigante Greaves</t>
  </si>
  <si>
    <t>Recoil Down (1), Reload Speed (1), Nergigante Avidity (1)</t>
  </si>
  <si>
    <t>Nergigante Greaves — Recoil Down (1), Reload Speed (1), Nergigante Avidity (1)</t>
  </si>
  <si>
    <t>Odogaron Greaves</t>
  </si>
  <si>
    <t>Odogaron Greaves — Evasive Concentration (2)</t>
  </si>
  <si>
    <t>Pukei Greaves</t>
  </si>
  <si>
    <t>Health Boost (1), Poison Resistance (2)</t>
  </si>
  <si>
    <t>Pukei Greaves — Health Boost (1), Poison Resistance (2)</t>
  </si>
  <si>
    <t>Pukei Lagoon Greaves</t>
  </si>
  <si>
    <t>Weakness Exploit (1), Power Prolonger (1)</t>
  </si>
  <si>
    <t>Pukei Lagoon Greaves — Weakness Exploit (1), Power Prolonger (1)</t>
  </si>
  <si>
    <t>Quematrice Greaves</t>
  </si>
  <si>
    <t>Quematrice Greaves — Attack Boost (3)</t>
  </si>
  <si>
    <t>Rath Heart Greaves</t>
  </si>
  <si>
    <t>Special Boost (2), Dragon Attack (1)</t>
  </si>
  <si>
    <t>Rath Heart Greaves — Special Boost (2), Dragon Attack (1)</t>
  </si>
  <si>
    <t>Rath Soul Greaves</t>
  </si>
  <si>
    <t>Fire Attack (1), Reload Speed (2)</t>
  </si>
  <si>
    <t>Rath Soul Greaves — Fire Attack (1), Reload Speed (2)</t>
  </si>
  <si>
    <t>Rathalos Greaves</t>
  </si>
  <si>
    <t>Fire Resistance (3), Weakness Exploit (1)</t>
  </si>
  <si>
    <t>Rathalos Greaves — Fire Resistance (3), Weakness Exploit (1)</t>
  </si>
  <si>
    <t>Rathian Greaves</t>
  </si>
  <si>
    <t>Health Boost (2)</t>
  </si>
  <si>
    <t>Rathian Greaves — Health Boost (2)</t>
  </si>
  <si>
    <t>Regios Greaves</t>
  </si>
  <si>
    <t>Offensive Guard (1), Lock On (1), Attack Efficacy (1)</t>
  </si>
  <si>
    <t>Regios Greaves — Offensive Guard (1), Lock On (1), Attack Efficacy (1)</t>
  </si>
  <si>
    <t>Rex Roar Greaves</t>
  </si>
  <si>
    <t>Offensive Dodger (2), Advanced Attack Boost (1)</t>
  </si>
  <si>
    <t>Rex Roar Greaves — Offensive Dodger (2), Advanced Attack Boost (1)</t>
  </si>
  <si>
    <t>Rimeguard Greaves</t>
  </si>
  <si>
    <t>Recoil Down (1), Reload Speed (1), Velkhana Aegis (1)</t>
  </si>
  <si>
    <t>Rimeguard Greaves — Recoil Down (1), Reload Speed (1), Velkhana Aegis (1)</t>
  </si>
  <si>
    <t>Silver Solgreaves</t>
  </si>
  <si>
    <t>Weakness Exploit (1), Critical Element (1)</t>
  </si>
  <si>
    <t>Silver Solgreaves — Weakness Exploit (1), Critical Element (1)</t>
  </si>
  <si>
    <t>Sinister Greaves</t>
  </si>
  <si>
    <t>Sneak Attack (1), Blast Attack (1)</t>
  </si>
  <si>
    <t>Sinister Greaves — Sneak Attack (1), Blast Attack (1)</t>
  </si>
  <si>
    <t>Somnacanth Greaves</t>
  </si>
  <si>
    <t>Somnacanth Greaves — Status Sneak Attack (2)</t>
  </si>
  <si>
    <t>Stygian Greaves</t>
  </si>
  <si>
    <t>Elemental Release (3)</t>
  </si>
  <si>
    <t>Stygian Greaves — Elemental Release (3)</t>
  </si>
  <si>
    <t>Tentacle Greaves</t>
  </si>
  <si>
    <t>Aggressive Dodger (2), Namielle Electrowave (1)</t>
  </si>
  <si>
    <t>Tentacle Greaves — Aggressive Dodger (2), Namielle Electrowave (1)</t>
  </si>
  <si>
    <t>Tigrex Greaves</t>
  </si>
  <si>
    <t>Partbreaker (2), Lock On (1)</t>
  </si>
  <si>
    <t>Tigrex Greaves — Partbreaker (2), Lock On (1)</t>
  </si>
  <si>
    <t>Tzitzi Greaves</t>
  </si>
  <si>
    <t>Fortify (2)</t>
  </si>
  <si>
    <t>Tzitzi Greaves — Fortify (2)</t>
  </si>
  <si>
    <t>Vangis Greaves</t>
  </si>
  <si>
    <t>Guts (2), Latent Power (1)</t>
  </si>
  <si>
    <t>Vangis Greaves — Guts (2), Latent Power (1)</t>
  </si>
  <si>
    <t>Viper Kadachi Greaves</t>
  </si>
  <si>
    <t>Poison Exploit (2), Advanced Burst (1)</t>
  </si>
  <si>
    <t>Viper Kadachi Greaves — Poison Exploit (2), Advanced Burst (1)</t>
  </si>
  <si>
    <t>Volvidon Greaves</t>
  </si>
  <si>
    <t>Volvidon Greaves — Paralysis Resistance (3)</t>
  </si>
  <si>
    <t>Wroggi Greaves</t>
  </si>
  <si>
    <t>Final Shot (2)</t>
  </si>
  <si>
    <t>Wroggi Greaves — Final Shot (2)</t>
  </si>
  <si>
    <t>Zinogre Greaves</t>
  </si>
  <si>
    <t>Thunder Attack (1), Burst (1)</t>
  </si>
  <si>
    <t>Zinogre Greaves — Thunder Attack (1), Burst (1)</t>
  </si>
  <si>
    <t>Armour</t>
  </si>
  <si>
    <t>Level</t>
  </si>
  <si>
    <t>Skill choice</t>
  </si>
  <si>
    <t>(none)</t>
  </si>
  <si>
    <t>Total in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</si>
</sst>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F2430"/>
      <sz val="15"/>
      <name val="Arial"/>
    </font>
    <font>
      <i/>
      <color rgb="FF6B7280"/>
      <sz val="9"/>
      <name val="Arial"/>
    </font>
    <font>
      <b/>
      <color rgb="FF8A6D1F"/>
      <sz val="11"/>
      <name val="Arial"/>
    </font>
    <font>
      <b/>
      <color rgb="FFFFFFFF"/>
      <sz val="10"/>
      <name val="Arial"/>
    </font>
    <font>
      <color rgb="FF1F2430"/>
      <sz val="10"/>
      <name val="Arial"/>
    </font>
    <font>
      <i/>
      <color rgb="FF6B7280"/>
      <sz val="10"/>
      <name val="Arial"/>
    </font>
    <font>
      <sz val="9"/>
      <name val="Arial"/>
    </font>
    <font>
      <i/>
      <color rgb="FF6B7280"/>
      <sz val="8"/>
      <name val="Arial"/>
    </font>
    <font>
      <b/>
      <sz val="10"/>
      <name val="Arial"/>
    </font>
    <font>
      <color rgb="FF6B7280"/>
      <sz val="10"/>
      <name val="Arial"/>
    </font>
    <font>
      <b/>
      <color rgb="FF1F2430"/>
      <sz val="12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3542"/>
      </patternFill>
    </fill>
    <fill>
      <patternFill patternType="solid">
        <fgColor rgb="FFFFF2C2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  <xf numFmtId="0" fontId="0" fillId="3" borderId="0" xfId="0" applyFill="1"/>
    <xf numFmtId="0" fontId="5" fillId="0" borderId="0" xfId="0" applyFont="1"/>
    <xf numFmtId="0" fontId="6" fillId="0" borderId="0" xfId="0" applyFont="1" applyAlignment="1">
      <alignment horizontal="right"/>
    </xf>
    <xf numFmtId="0" fontId="5" fillId="3" borderId="0" xfId="0" applyFont="1" applyFill="1"/>
    <xf numFmtId="0" fontId="7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5" fillId="4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FormatPr defaultRowHeight="15" outlineLevelRow="0" outlineLevelCol="0" x14ac:dyDescent="55"/>
  <cols>
    <col min="1" max="5" width="34" customWidth="1"/>
    <col min="6" max="6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3" x14ac:dyDescent="0.25">
      <c r="A4" s="4" t="s">
        <v>3</v>
      </c>
      <c r="B4" s="4" t="s">
        <v>4</v>
      </c>
      <c r="C4" s="4" t="s">
        <v>5</v>
      </c>
    </row>
    <row r="5" spans="1:3" x14ac:dyDescent="0.25">
      <c r="A5" s="5"/>
      <c r="B5" s="6">
        <f>IF(OR($A5="",$A5="(none)"),"",IFERROR(INDEX(Calc!$B$2:$B$132,MATCH($A5,Calc!$A$2:$A$132,0)),0))</f>
      </c>
      <c r="C5" s="6">
        <f>IF(OR($A5="",$A5="(none)"),"",IFERROR(INDEX(Skills!$C$2:$C$132,MATCH($A5,Skills!$A$2:$A$132,0)),""))</f>
      </c>
    </row>
    <row r="6" spans="1:3" x14ac:dyDescent="0.25">
      <c r="A6" s="5"/>
      <c r="B6" s="6">
        <f>IF(OR($A6="",$A6="(none)"),"",IFERROR(INDEX(Calc!$B$2:$B$132,MATCH($A6,Calc!$A$2:$A$132,0)),0))</f>
      </c>
      <c r="C6" s="6">
        <f>IF(OR($A6="",$A6="(none)"),"",IFERROR(INDEX(Skills!$C$2:$C$132,MATCH($A6,Skills!$A$2:$A$132,0)),""))</f>
      </c>
    </row>
    <row r="7" spans="1:3" x14ac:dyDescent="0.25">
      <c r="A7" s="5"/>
      <c r="B7" s="6">
        <f>IF(OR($A7="",$A7="(none)"),"",IFERROR(INDEX(Calc!$B$2:$B$132,MATCH($A7,Calc!$A$2:$A$132,0)),0))</f>
      </c>
      <c r="C7" s="6">
        <f>IF(OR($A7="",$A7="(none)"),"",IFERROR(INDEX(Skills!$C$2:$C$132,MATCH($A7,Skills!$A$2:$A$132,0)),""))</f>
      </c>
    </row>
    <row r="8" spans="1:3" x14ac:dyDescent="0.25">
      <c r="A8" s="5"/>
      <c r="B8" s="6">
        <f>IF(OR($A8="",$A8="(none)"),"",IFERROR(INDEX(Calc!$B$2:$B$132,MATCH($A8,Calc!$A$2:$A$132,0)),0))</f>
      </c>
      <c r="C8" s="6">
        <f>IF(OR($A8="",$A8="(none)"),"",IFERROR(INDEX(Skills!$C$2:$C$132,MATCH($A8,Skills!$A$2:$A$132,0)),""))</f>
      </c>
    </row>
    <row r="9" spans="1:3" x14ac:dyDescent="0.25">
      <c r="A9" s="5"/>
      <c r="B9" s="6">
        <f>IF(OR($A9="",$A9="(none)"),"",IFERROR(INDEX(Calc!$B$2:$B$132,MATCH($A9,Calc!$A$2:$A$132,0)),0))</f>
      </c>
      <c r="C9" s="6">
        <f>IF(OR($A9="",$A9="(none)"),"",IFERROR(INDEX(Skills!$C$2:$C$132,MATCH($A9,Skills!$A$2:$A$132,0)),""))</f>
      </c>
    </row>
    <row r="10" spans="1:3" x14ac:dyDescent="0.25">
      <c r="A10" s="7" t="s">
        <v>6</v>
      </c>
      <c r="B10" s="8" t="s">
        <v>7</v>
      </c>
      <c r="C10" s="2">
        <f>IF($B$10="Yes","all skills ignored — showing every piece","")</f>
      </c>
    </row>
    <row r="12" spans="1:1" x14ac:dyDescent="0.25">
      <c r="A12" s="3" t="s">
        <v>8</v>
      </c>
    </row>
    <row r="13" spans="1:5" x14ac:dyDescent="0.25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</row>
    <row r="14" spans="1:5" x14ac:dyDescent="0.25">
      <c r="A14" s="9">
        <f>IFERROR(INDEX(Armour!$H$2:$H$346,MATCH(A$13&amp;"#"&amp;1,Armour!$K$2:$K$346,0)),"")</f>
      </c>
      <c r="B14" s="9">
        <f>IFERROR(INDEX(Armour!$H$2:$H$346,MATCH(B$13&amp;"#"&amp;1,Armour!$K$2:$K$346,0)),"")</f>
      </c>
      <c r="C14" s="9">
        <f>IFERROR(INDEX(Armour!$H$2:$H$346,MATCH(C$13&amp;"#"&amp;1,Armour!$K$2:$K$346,0)),"")</f>
      </c>
      <c r="D14" s="9">
        <f>IFERROR(INDEX(Armour!$H$2:$H$346,MATCH(D$13&amp;"#"&amp;1,Armour!$K$2:$K$346,0)),"")</f>
      </c>
      <c r="E14" s="9">
        <f>IFERROR(INDEX(Armour!$H$2:$H$346,MATCH(E$13&amp;"#"&amp;1,Armour!$K$2:$K$346,0)),"")</f>
      </c>
    </row>
    <row r="15" spans="1:5" x14ac:dyDescent="0.25">
      <c r="A15" s="10">
        <f>IFERROR(INDEX(Armour!$H$2:$H$346,MATCH(A$13&amp;"#"&amp;2,Armour!$K$2:$K$346,0)),"")</f>
      </c>
      <c r="B15" s="10">
        <f>IFERROR(INDEX(Armour!$H$2:$H$346,MATCH(B$13&amp;"#"&amp;2,Armour!$K$2:$K$346,0)),"")</f>
      </c>
      <c r="C15" s="10">
        <f>IFERROR(INDEX(Armour!$H$2:$H$346,MATCH(C$13&amp;"#"&amp;2,Armour!$K$2:$K$346,0)),"")</f>
      </c>
      <c r="D15" s="10">
        <f>IFERROR(INDEX(Armour!$H$2:$H$346,MATCH(D$13&amp;"#"&amp;2,Armour!$K$2:$K$346,0)),"")</f>
      </c>
      <c r="E15" s="10">
        <f>IFERROR(INDEX(Armour!$H$2:$H$346,MATCH(E$13&amp;"#"&amp;2,Armour!$K$2:$K$346,0)),"")</f>
      </c>
    </row>
    <row r="16" spans="1:5" x14ac:dyDescent="0.25">
      <c r="A16" s="9">
        <f>IFERROR(INDEX(Armour!$H$2:$H$346,MATCH(A$13&amp;"#"&amp;3,Armour!$K$2:$K$346,0)),"")</f>
      </c>
      <c r="B16" s="9">
        <f>IFERROR(INDEX(Armour!$H$2:$H$346,MATCH(B$13&amp;"#"&amp;3,Armour!$K$2:$K$346,0)),"")</f>
      </c>
      <c r="C16" s="9">
        <f>IFERROR(INDEX(Armour!$H$2:$H$346,MATCH(C$13&amp;"#"&amp;3,Armour!$K$2:$K$346,0)),"")</f>
      </c>
      <c r="D16" s="9">
        <f>IFERROR(INDEX(Armour!$H$2:$H$346,MATCH(D$13&amp;"#"&amp;3,Armour!$K$2:$K$346,0)),"")</f>
      </c>
      <c r="E16" s="9">
        <f>IFERROR(INDEX(Armour!$H$2:$H$346,MATCH(E$13&amp;"#"&amp;3,Armour!$K$2:$K$346,0)),"")</f>
      </c>
    </row>
    <row r="17" spans="1:5" x14ac:dyDescent="0.25">
      <c r="A17" s="10">
        <f>IFERROR(INDEX(Armour!$H$2:$H$346,MATCH(A$13&amp;"#"&amp;4,Armour!$K$2:$K$346,0)),"")</f>
      </c>
      <c r="B17" s="10">
        <f>IFERROR(INDEX(Armour!$H$2:$H$346,MATCH(B$13&amp;"#"&amp;4,Armour!$K$2:$K$346,0)),"")</f>
      </c>
      <c r="C17" s="10">
        <f>IFERROR(INDEX(Armour!$H$2:$H$346,MATCH(C$13&amp;"#"&amp;4,Armour!$K$2:$K$346,0)),"")</f>
      </c>
      <c r="D17" s="10">
        <f>IFERROR(INDEX(Armour!$H$2:$H$346,MATCH(D$13&amp;"#"&amp;4,Armour!$K$2:$K$346,0)),"")</f>
      </c>
      <c r="E17" s="10">
        <f>IFERROR(INDEX(Armour!$H$2:$H$346,MATCH(E$13&amp;"#"&amp;4,Armour!$K$2:$K$346,0)),"")</f>
      </c>
    </row>
    <row r="18" spans="1:5" x14ac:dyDescent="0.25">
      <c r="A18" s="9">
        <f>IFERROR(INDEX(Armour!$H$2:$H$346,MATCH(A$13&amp;"#"&amp;5,Armour!$K$2:$K$346,0)),"")</f>
      </c>
      <c r="B18" s="9">
        <f>IFERROR(INDEX(Armour!$H$2:$H$346,MATCH(B$13&amp;"#"&amp;5,Armour!$K$2:$K$346,0)),"")</f>
      </c>
      <c r="C18" s="9">
        <f>IFERROR(INDEX(Armour!$H$2:$H$346,MATCH(C$13&amp;"#"&amp;5,Armour!$K$2:$K$346,0)),"")</f>
      </c>
      <c r="D18" s="9">
        <f>IFERROR(INDEX(Armour!$H$2:$H$346,MATCH(D$13&amp;"#"&amp;5,Armour!$K$2:$K$346,0)),"")</f>
      </c>
      <c r="E18" s="9">
        <f>IFERROR(INDEX(Armour!$H$2:$H$346,MATCH(E$13&amp;"#"&amp;5,Armour!$K$2:$K$346,0)),"")</f>
      </c>
    </row>
    <row r="19" spans="1:5" x14ac:dyDescent="0.25">
      <c r="A19" s="10">
        <f>IFERROR(INDEX(Armour!$H$2:$H$346,MATCH(A$13&amp;"#"&amp;6,Armour!$K$2:$K$346,0)),"")</f>
      </c>
      <c r="B19" s="10">
        <f>IFERROR(INDEX(Armour!$H$2:$H$346,MATCH(B$13&amp;"#"&amp;6,Armour!$K$2:$K$346,0)),"")</f>
      </c>
      <c r="C19" s="10">
        <f>IFERROR(INDEX(Armour!$H$2:$H$346,MATCH(C$13&amp;"#"&amp;6,Armour!$K$2:$K$346,0)),"")</f>
      </c>
      <c r="D19" s="10">
        <f>IFERROR(INDEX(Armour!$H$2:$H$346,MATCH(D$13&amp;"#"&amp;6,Armour!$K$2:$K$346,0)),"")</f>
      </c>
      <c r="E19" s="10">
        <f>IFERROR(INDEX(Armour!$H$2:$H$346,MATCH(E$13&amp;"#"&amp;6,Armour!$K$2:$K$346,0)),"")</f>
      </c>
    </row>
    <row r="20" spans="1:5" x14ac:dyDescent="0.25">
      <c r="A20" s="9">
        <f>IFERROR(INDEX(Armour!$H$2:$H$346,MATCH(A$13&amp;"#"&amp;7,Armour!$K$2:$K$346,0)),"")</f>
      </c>
      <c r="B20" s="9">
        <f>IFERROR(INDEX(Armour!$H$2:$H$346,MATCH(B$13&amp;"#"&amp;7,Armour!$K$2:$K$346,0)),"")</f>
      </c>
      <c r="C20" s="9">
        <f>IFERROR(INDEX(Armour!$H$2:$H$346,MATCH(C$13&amp;"#"&amp;7,Armour!$K$2:$K$346,0)),"")</f>
      </c>
      <c r="D20" s="9">
        <f>IFERROR(INDEX(Armour!$H$2:$H$346,MATCH(D$13&amp;"#"&amp;7,Armour!$K$2:$K$346,0)),"")</f>
      </c>
      <c r="E20" s="9">
        <f>IFERROR(INDEX(Armour!$H$2:$H$346,MATCH(E$13&amp;"#"&amp;7,Armour!$K$2:$K$346,0)),"")</f>
      </c>
    </row>
    <row r="21" spans="1:5" x14ac:dyDescent="0.25">
      <c r="A21" s="10">
        <f>IFERROR(INDEX(Armour!$H$2:$H$346,MATCH(A$13&amp;"#"&amp;8,Armour!$K$2:$K$346,0)),"")</f>
      </c>
      <c r="B21" s="10">
        <f>IFERROR(INDEX(Armour!$H$2:$H$346,MATCH(B$13&amp;"#"&amp;8,Armour!$K$2:$K$346,0)),"")</f>
      </c>
      <c r="C21" s="10">
        <f>IFERROR(INDEX(Armour!$H$2:$H$346,MATCH(C$13&amp;"#"&amp;8,Armour!$K$2:$K$346,0)),"")</f>
      </c>
      <c r="D21" s="10">
        <f>IFERROR(INDEX(Armour!$H$2:$H$346,MATCH(D$13&amp;"#"&amp;8,Armour!$K$2:$K$346,0)),"")</f>
      </c>
      <c r="E21" s="10">
        <f>IFERROR(INDEX(Armour!$H$2:$H$346,MATCH(E$13&amp;"#"&amp;8,Armour!$K$2:$K$346,0)),"")</f>
      </c>
    </row>
    <row r="22" spans="1:5" x14ac:dyDescent="0.25">
      <c r="A22" s="9">
        <f>IFERROR(INDEX(Armour!$H$2:$H$346,MATCH(A$13&amp;"#"&amp;9,Armour!$K$2:$K$346,0)),"")</f>
      </c>
      <c r="B22" s="9">
        <f>IFERROR(INDEX(Armour!$H$2:$H$346,MATCH(B$13&amp;"#"&amp;9,Armour!$K$2:$K$346,0)),"")</f>
      </c>
      <c r="C22" s="9">
        <f>IFERROR(INDEX(Armour!$H$2:$H$346,MATCH(C$13&amp;"#"&amp;9,Armour!$K$2:$K$346,0)),"")</f>
      </c>
      <c r="D22" s="9">
        <f>IFERROR(INDEX(Armour!$H$2:$H$346,MATCH(D$13&amp;"#"&amp;9,Armour!$K$2:$K$346,0)),"")</f>
      </c>
      <c r="E22" s="9">
        <f>IFERROR(INDEX(Armour!$H$2:$H$346,MATCH(E$13&amp;"#"&amp;9,Armour!$K$2:$K$346,0)),"")</f>
      </c>
    </row>
    <row r="23" spans="1:5" x14ac:dyDescent="0.25">
      <c r="A23" s="10">
        <f>IFERROR(INDEX(Armour!$H$2:$H$346,MATCH(A$13&amp;"#"&amp;10,Armour!$K$2:$K$346,0)),"")</f>
      </c>
      <c r="B23" s="10">
        <f>IFERROR(INDEX(Armour!$H$2:$H$346,MATCH(B$13&amp;"#"&amp;10,Armour!$K$2:$K$346,0)),"")</f>
      </c>
      <c r="C23" s="10">
        <f>IFERROR(INDEX(Armour!$H$2:$H$346,MATCH(C$13&amp;"#"&amp;10,Armour!$K$2:$K$346,0)),"")</f>
      </c>
      <c r="D23" s="10">
        <f>IFERROR(INDEX(Armour!$H$2:$H$346,MATCH(D$13&amp;"#"&amp;10,Armour!$K$2:$K$346,0)),"")</f>
      </c>
      <c r="E23" s="10">
        <f>IFERROR(INDEX(Armour!$H$2:$H$346,MATCH(E$13&amp;"#"&amp;10,Armour!$K$2:$K$346,0)),"")</f>
      </c>
    </row>
    <row r="24" spans="1:5" x14ac:dyDescent="0.25">
      <c r="A24" s="9">
        <f>IFERROR(INDEX(Armour!$H$2:$H$346,MATCH(A$13&amp;"#"&amp;11,Armour!$K$2:$K$346,0)),"")</f>
      </c>
      <c r="B24" s="9">
        <f>IFERROR(INDEX(Armour!$H$2:$H$346,MATCH(B$13&amp;"#"&amp;11,Armour!$K$2:$K$346,0)),"")</f>
      </c>
      <c r="C24" s="9">
        <f>IFERROR(INDEX(Armour!$H$2:$H$346,MATCH(C$13&amp;"#"&amp;11,Armour!$K$2:$K$346,0)),"")</f>
      </c>
      <c r="D24" s="9">
        <f>IFERROR(INDEX(Armour!$H$2:$H$346,MATCH(D$13&amp;"#"&amp;11,Armour!$K$2:$K$346,0)),"")</f>
      </c>
      <c r="E24" s="9">
        <f>IFERROR(INDEX(Armour!$H$2:$H$346,MATCH(E$13&amp;"#"&amp;11,Armour!$K$2:$K$346,0)),"")</f>
      </c>
    </row>
    <row r="25" spans="1:5" x14ac:dyDescent="0.25">
      <c r="A25" s="10">
        <f>IFERROR(INDEX(Armour!$H$2:$H$346,MATCH(A$13&amp;"#"&amp;12,Armour!$K$2:$K$346,0)),"")</f>
      </c>
      <c r="B25" s="10">
        <f>IFERROR(INDEX(Armour!$H$2:$H$346,MATCH(B$13&amp;"#"&amp;12,Armour!$K$2:$K$346,0)),"")</f>
      </c>
      <c r="C25" s="10">
        <f>IFERROR(INDEX(Armour!$H$2:$H$346,MATCH(C$13&amp;"#"&amp;12,Armour!$K$2:$K$346,0)),"")</f>
      </c>
      <c r="D25" s="10">
        <f>IFERROR(INDEX(Armour!$H$2:$H$346,MATCH(D$13&amp;"#"&amp;12,Armour!$K$2:$K$346,0)),"")</f>
      </c>
      <c r="E25" s="10">
        <f>IFERROR(INDEX(Armour!$H$2:$H$346,MATCH(E$13&amp;"#"&amp;12,Armour!$K$2:$K$346,0)),"")</f>
      </c>
    </row>
    <row r="26" spans="1:5" x14ac:dyDescent="0.25">
      <c r="A26" s="9">
        <f>IFERROR(INDEX(Armour!$H$2:$H$346,MATCH(A$13&amp;"#"&amp;13,Armour!$K$2:$K$346,0)),"")</f>
      </c>
      <c r="B26" s="9">
        <f>IFERROR(INDEX(Armour!$H$2:$H$346,MATCH(B$13&amp;"#"&amp;13,Armour!$K$2:$K$346,0)),"")</f>
      </c>
      <c r="C26" s="9">
        <f>IFERROR(INDEX(Armour!$H$2:$H$346,MATCH(C$13&amp;"#"&amp;13,Armour!$K$2:$K$346,0)),"")</f>
      </c>
      <c r="D26" s="9">
        <f>IFERROR(INDEX(Armour!$H$2:$H$346,MATCH(D$13&amp;"#"&amp;13,Armour!$K$2:$K$346,0)),"")</f>
      </c>
      <c r="E26" s="9">
        <f>IFERROR(INDEX(Armour!$H$2:$H$346,MATCH(E$13&amp;"#"&amp;13,Armour!$K$2:$K$346,0)),"")</f>
      </c>
    </row>
    <row r="27" spans="1:5" x14ac:dyDescent="0.25">
      <c r="A27" s="10">
        <f>IFERROR(INDEX(Armour!$H$2:$H$346,MATCH(A$13&amp;"#"&amp;14,Armour!$K$2:$K$346,0)),"")</f>
      </c>
      <c r="B27" s="10">
        <f>IFERROR(INDEX(Armour!$H$2:$H$346,MATCH(B$13&amp;"#"&amp;14,Armour!$K$2:$K$346,0)),"")</f>
      </c>
      <c r="C27" s="10">
        <f>IFERROR(INDEX(Armour!$H$2:$H$346,MATCH(C$13&amp;"#"&amp;14,Armour!$K$2:$K$346,0)),"")</f>
      </c>
      <c r="D27" s="10">
        <f>IFERROR(INDEX(Armour!$H$2:$H$346,MATCH(D$13&amp;"#"&amp;14,Armour!$K$2:$K$346,0)),"")</f>
      </c>
      <c r="E27" s="10">
        <f>IFERROR(INDEX(Armour!$H$2:$H$346,MATCH(E$13&amp;"#"&amp;14,Armour!$K$2:$K$346,0)),"")</f>
      </c>
    </row>
    <row r="28" spans="1:5" x14ac:dyDescent="0.25">
      <c r="A28" s="9">
        <f>IFERROR(INDEX(Armour!$H$2:$H$346,MATCH(A$13&amp;"#"&amp;15,Armour!$K$2:$K$346,0)),"")</f>
      </c>
      <c r="B28" s="9">
        <f>IFERROR(INDEX(Armour!$H$2:$H$346,MATCH(B$13&amp;"#"&amp;15,Armour!$K$2:$K$346,0)),"")</f>
      </c>
      <c r="C28" s="9">
        <f>IFERROR(INDEX(Armour!$H$2:$H$346,MATCH(C$13&amp;"#"&amp;15,Armour!$K$2:$K$346,0)),"")</f>
      </c>
      <c r="D28" s="9">
        <f>IFERROR(INDEX(Armour!$H$2:$H$346,MATCH(D$13&amp;"#"&amp;15,Armour!$K$2:$K$346,0)),"")</f>
      </c>
      <c r="E28" s="9">
        <f>IFERROR(INDEX(Armour!$H$2:$H$346,MATCH(E$13&amp;"#"&amp;15,Armour!$K$2:$K$346,0)),"")</f>
      </c>
    </row>
    <row r="29" spans="1:5" x14ac:dyDescent="0.25">
      <c r="A29" s="10">
        <f>IFERROR(INDEX(Armour!$H$2:$H$346,MATCH(A$13&amp;"#"&amp;16,Armour!$K$2:$K$346,0)),"")</f>
      </c>
      <c r="B29" s="10">
        <f>IFERROR(INDEX(Armour!$H$2:$H$346,MATCH(B$13&amp;"#"&amp;16,Armour!$K$2:$K$346,0)),"")</f>
      </c>
      <c r="C29" s="10">
        <f>IFERROR(INDEX(Armour!$H$2:$H$346,MATCH(C$13&amp;"#"&amp;16,Armour!$K$2:$K$346,0)),"")</f>
      </c>
      <c r="D29" s="10">
        <f>IFERROR(INDEX(Armour!$H$2:$H$346,MATCH(D$13&amp;"#"&amp;16,Armour!$K$2:$K$346,0)),"")</f>
      </c>
      <c r="E29" s="10">
        <f>IFERROR(INDEX(Armour!$H$2:$H$346,MATCH(E$13&amp;"#"&amp;16,Armour!$K$2:$K$346,0)),"")</f>
      </c>
    </row>
    <row r="30" spans="1:5" x14ac:dyDescent="0.25">
      <c r="A30" s="9">
        <f>IFERROR(INDEX(Armour!$H$2:$H$346,MATCH(A$13&amp;"#"&amp;17,Armour!$K$2:$K$346,0)),"")</f>
      </c>
      <c r="B30" s="9">
        <f>IFERROR(INDEX(Armour!$H$2:$H$346,MATCH(B$13&amp;"#"&amp;17,Armour!$K$2:$K$346,0)),"")</f>
      </c>
      <c r="C30" s="9">
        <f>IFERROR(INDEX(Armour!$H$2:$H$346,MATCH(C$13&amp;"#"&amp;17,Armour!$K$2:$K$346,0)),"")</f>
      </c>
      <c r="D30" s="9">
        <f>IFERROR(INDEX(Armour!$H$2:$H$346,MATCH(D$13&amp;"#"&amp;17,Armour!$K$2:$K$346,0)),"")</f>
      </c>
      <c r="E30" s="9">
        <f>IFERROR(INDEX(Armour!$H$2:$H$346,MATCH(E$13&amp;"#"&amp;17,Armour!$K$2:$K$346,0)),"")</f>
      </c>
    </row>
    <row r="31" spans="1:5" x14ac:dyDescent="0.25">
      <c r="A31" s="10">
        <f>IFERROR(INDEX(Armour!$H$2:$H$346,MATCH(A$13&amp;"#"&amp;18,Armour!$K$2:$K$346,0)),"")</f>
      </c>
      <c r="B31" s="10">
        <f>IFERROR(INDEX(Armour!$H$2:$H$346,MATCH(B$13&amp;"#"&amp;18,Armour!$K$2:$K$346,0)),"")</f>
      </c>
      <c r="C31" s="10">
        <f>IFERROR(INDEX(Armour!$H$2:$H$346,MATCH(C$13&amp;"#"&amp;18,Armour!$K$2:$K$346,0)),"")</f>
      </c>
      <c r="D31" s="10">
        <f>IFERROR(INDEX(Armour!$H$2:$H$346,MATCH(D$13&amp;"#"&amp;18,Armour!$K$2:$K$346,0)),"")</f>
      </c>
      <c r="E31" s="10">
        <f>IFERROR(INDEX(Armour!$H$2:$H$346,MATCH(E$13&amp;"#"&amp;18,Armour!$K$2:$K$346,0)),"")</f>
      </c>
    </row>
    <row r="32" spans="1:5" x14ac:dyDescent="0.25">
      <c r="A32" s="9">
        <f>IFERROR(INDEX(Armour!$H$2:$H$346,MATCH(A$13&amp;"#"&amp;19,Armour!$K$2:$K$346,0)),"")</f>
      </c>
      <c r="B32" s="9">
        <f>IFERROR(INDEX(Armour!$H$2:$H$346,MATCH(B$13&amp;"#"&amp;19,Armour!$K$2:$K$346,0)),"")</f>
      </c>
      <c r="C32" s="9">
        <f>IFERROR(INDEX(Armour!$H$2:$H$346,MATCH(C$13&amp;"#"&amp;19,Armour!$K$2:$K$346,0)),"")</f>
      </c>
      <c r="D32" s="9">
        <f>IFERROR(INDEX(Armour!$H$2:$H$346,MATCH(D$13&amp;"#"&amp;19,Armour!$K$2:$K$346,0)),"")</f>
      </c>
      <c r="E32" s="9">
        <f>IFERROR(INDEX(Armour!$H$2:$H$346,MATCH(E$13&amp;"#"&amp;19,Armour!$K$2:$K$346,0)),"")</f>
      </c>
    </row>
    <row r="33" spans="1:5" x14ac:dyDescent="0.25">
      <c r="A33" s="10">
        <f>IFERROR(INDEX(Armour!$H$2:$H$346,MATCH(A$13&amp;"#"&amp;20,Armour!$K$2:$K$346,0)),"")</f>
      </c>
      <c r="B33" s="10">
        <f>IFERROR(INDEX(Armour!$H$2:$H$346,MATCH(B$13&amp;"#"&amp;20,Armour!$K$2:$K$346,0)),"")</f>
      </c>
      <c r="C33" s="10">
        <f>IFERROR(INDEX(Armour!$H$2:$H$346,MATCH(C$13&amp;"#"&amp;20,Armour!$K$2:$K$346,0)),"")</f>
      </c>
      <c r="D33" s="10">
        <f>IFERROR(INDEX(Armour!$H$2:$H$346,MATCH(D$13&amp;"#"&amp;20,Armour!$K$2:$K$346,0)),"")</f>
      </c>
      <c r="E33" s="10">
        <f>IFERROR(INDEX(Armour!$H$2:$H$346,MATCH(E$13&amp;"#"&amp;20,Armour!$K$2:$K$346,0)),"")</f>
      </c>
    </row>
    <row r="34" spans="1:5" x14ac:dyDescent="0.25">
      <c r="A34" s="11">
        <f>"— "&amp;COUNTIFS(Armour!$B$2:$B$346,A$13,Armour!$I$2:$I$346,"&gt;0")&amp;" match; showing up to 20"</f>
      </c>
      <c r="B34" s="11">
        <f>"— "&amp;COUNTIFS(Armour!$B$2:$B$346,B$13,Armour!$I$2:$I$346,"&gt;0")&amp;" match; showing up to 20"</f>
      </c>
      <c r="C34" s="11">
        <f>"— "&amp;COUNTIFS(Armour!$B$2:$B$346,C$13,Armour!$I$2:$I$346,"&gt;0")&amp;" match; showing up to 20"</f>
      </c>
      <c r="D34" s="11">
        <f>"— "&amp;COUNTIFS(Armour!$B$2:$B$346,D$13,Armour!$I$2:$I$346,"&gt;0")&amp;" match; showing up to 20"</f>
      </c>
      <c r="E34" s="11">
        <f>"— "&amp;COUNTIFS(Armour!$B$2:$B$346,E$13,Armour!$I$2:$I$346,"&gt;0")&amp;" match; showing up to 20"</f>
      </c>
    </row>
    <row r="36" spans="1:1" x14ac:dyDescent="0.25">
      <c r="A36" s="3" t="s">
        <v>14</v>
      </c>
    </row>
    <row r="37" spans="1:4" x14ac:dyDescent="0.25">
      <c r="A37" s="4" t="s">
        <v>15</v>
      </c>
      <c r="B37" s="4" t="s">
        <v>16</v>
      </c>
      <c r="C37" s="4" t="s">
        <v>17</v>
      </c>
      <c r="D37" s="4" t="s">
        <v>18</v>
      </c>
    </row>
    <row r="38" spans="1:4" x14ac:dyDescent="0.25">
      <c r="A38" s="6" t="s">
        <v>9</v>
      </c>
      <c r="B38" s="5"/>
      <c r="C38" s="6">
        <f>IF($B38="","",IFERROR(INDEX(Armour!$D$2:$D$346,MATCH($B38,Armour!$A$2:$A$346,0)),""))</f>
      </c>
      <c r="D38" s="6">
        <f>IF($B38="","",IFERROR(INDEX(Armour!$E$2:$E$346,MATCH($B38,Armour!$A$2:$A$346,0)),""))</f>
      </c>
    </row>
    <row r="39" spans="1:4" x14ac:dyDescent="0.25">
      <c r="A39" s="6" t="s">
        <v>10</v>
      </c>
      <c r="B39" s="5"/>
      <c r="C39" s="6">
        <f>IF($B39="","",IFERROR(INDEX(Armour!$D$2:$D$346,MATCH($B39,Armour!$A$2:$A$346,0)),""))</f>
      </c>
      <c r="D39" s="6">
        <f>IF($B39="","",IFERROR(INDEX(Armour!$E$2:$E$346,MATCH($B39,Armour!$A$2:$A$346,0)),""))</f>
      </c>
    </row>
    <row r="40" spans="1:4" x14ac:dyDescent="0.25">
      <c r="A40" s="6" t="s">
        <v>11</v>
      </c>
      <c r="B40" s="5"/>
      <c r="C40" s="6">
        <f>IF($B40="","",IFERROR(INDEX(Armour!$D$2:$D$346,MATCH($B40,Armour!$A$2:$A$346,0)),""))</f>
      </c>
      <c r="D40" s="6">
        <f>IF($B40="","",IFERROR(INDEX(Armour!$E$2:$E$346,MATCH($B40,Armour!$A$2:$A$346,0)),""))</f>
      </c>
    </row>
    <row r="41" spans="1:4" x14ac:dyDescent="0.25">
      <c r="A41" s="6" t="s">
        <v>12</v>
      </c>
      <c r="B41" s="5"/>
      <c r="C41" s="6">
        <f>IF($B41="","",IFERROR(INDEX(Armour!$D$2:$D$346,MATCH($B41,Armour!$A$2:$A$346,0)),""))</f>
      </c>
      <c r="D41" s="6">
        <f>IF($B41="","",IFERROR(INDEX(Armour!$E$2:$E$346,MATCH($B41,Armour!$A$2:$A$346,0)),""))</f>
      </c>
    </row>
    <row r="42" spans="1:4" x14ac:dyDescent="0.25">
      <c r="A42" s="6" t="s">
        <v>13</v>
      </c>
      <c r="B42" s="5"/>
      <c r="C42" s="6">
        <f>IF($B42="","",IFERROR(INDEX(Armour!$D$2:$D$346,MATCH($B42,Armour!$A$2:$A$346,0)),""))</f>
      </c>
      <c r="D42" s="6">
        <f>IF($B42="","",IFERROR(INDEX(Armour!$E$2:$E$346,MATCH($B42,Armour!$A$2:$A$346,0)),""))</f>
      </c>
    </row>
    <row r="43" spans="1:4" x14ac:dyDescent="0.25">
      <c r="A43" s="12" t="s">
        <v>19</v>
      </c>
      <c r="B43" s="12">
        <f>COUNTA($B$38:$B$42)&amp;" / 5 pieces"</f>
      </c>
      <c r="C43" s="12">
        <f>SUM($C$38:$C$42)</f>
      </c>
      <c r="D43" s="12">
        <f>SUM($D$38:$D$42)</f>
      </c>
    </row>
    <row r="45" spans="1:1" x14ac:dyDescent="0.25">
      <c r="A45" s="3" t="s">
        <v>20</v>
      </c>
    </row>
    <row r="46" spans="1:5" x14ac:dyDescent="0.25">
      <c r="A46" s="4" t="s">
        <v>21</v>
      </c>
      <c r="B46" s="4" t="s">
        <v>19</v>
      </c>
      <c r="C46" s="4" t="s">
        <v>5</v>
      </c>
      <c r="D46" s="4" t="s">
        <v>22</v>
      </c>
      <c r="E46" s="4" t="s">
        <v>23</v>
      </c>
    </row>
    <row r="47" spans="1:5" x14ac:dyDescent="0.25">
      <c r="A47" s="6">
        <f>IFERROR(INDEX(Calc!$A$2:$A$132,MATCH(1,Calc!$C$2:$C$132,0)),"")</f>
      </c>
      <c r="B47" s="6">
        <f>IF($A47="","",INDEX(Calc!$B$2:$B$132,MATCH($A47,Calc!$A$2:$A$132,0)))</f>
      </c>
      <c r="C47" s="6">
        <f>IF($A47="","",IFERROR(INDEX(Skills!$C$2:$C$132,MATCH($A47,Skills!$A$2:$A$132,0)),""))</f>
      </c>
      <c r="D47" s="6">
        <f>IF($A47="","",MIN($B47,$C47))</f>
      </c>
      <c r="E47" s="6">
        <f>IF($A47="","",MAX(0,$B47-$C47))</f>
      </c>
    </row>
    <row r="48" spans="1:5" x14ac:dyDescent="0.25">
      <c r="A48" s="13">
        <f>IFERROR(INDEX(Calc!$A$2:$A$132,MATCH(2,Calc!$C$2:$C$132,0)),"")</f>
      </c>
      <c r="B48" s="13">
        <f>IF($A48="","",INDEX(Calc!$B$2:$B$132,MATCH($A48,Calc!$A$2:$A$132,0)))</f>
      </c>
      <c r="C48" s="13">
        <f>IF($A48="","",IFERROR(INDEX(Skills!$C$2:$C$132,MATCH($A48,Skills!$A$2:$A$132,0)),""))</f>
      </c>
      <c r="D48" s="13">
        <f>IF($A48="","",MIN($B48,$C48))</f>
      </c>
      <c r="E48" s="13">
        <f>IF($A48="","",MAX(0,$B48-$C48))</f>
      </c>
    </row>
    <row r="49" spans="1:5" x14ac:dyDescent="0.25">
      <c r="A49" s="6">
        <f>IFERROR(INDEX(Calc!$A$2:$A$132,MATCH(3,Calc!$C$2:$C$132,0)),"")</f>
      </c>
      <c r="B49" s="6">
        <f>IF($A49="","",INDEX(Calc!$B$2:$B$132,MATCH($A49,Calc!$A$2:$A$132,0)))</f>
      </c>
      <c r="C49" s="6">
        <f>IF($A49="","",IFERROR(INDEX(Skills!$C$2:$C$132,MATCH($A49,Skills!$A$2:$A$132,0)),""))</f>
      </c>
      <c r="D49" s="6">
        <f>IF($A49="","",MIN($B49,$C49))</f>
      </c>
      <c r="E49" s="6">
        <f>IF($A49="","",MAX(0,$B49-$C49))</f>
      </c>
    </row>
    <row r="50" spans="1:5" x14ac:dyDescent="0.25">
      <c r="A50" s="13">
        <f>IFERROR(INDEX(Calc!$A$2:$A$132,MATCH(4,Calc!$C$2:$C$132,0)),"")</f>
      </c>
      <c r="B50" s="13">
        <f>IF($A50="","",INDEX(Calc!$B$2:$B$132,MATCH($A50,Calc!$A$2:$A$132,0)))</f>
      </c>
      <c r="C50" s="13">
        <f>IF($A50="","",IFERROR(INDEX(Skills!$C$2:$C$132,MATCH($A50,Skills!$A$2:$A$132,0)),""))</f>
      </c>
      <c r="D50" s="13">
        <f>IF($A50="","",MIN($B50,$C50))</f>
      </c>
      <c r="E50" s="13">
        <f>IF($A50="","",MAX(0,$B50-$C50))</f>
      </c>
    </row>
    <row r="51" spans="1:5" x14ac:dyDescent="0.25">
      <c r="A51" s="6">
        <f>IFERROR(INDEX(Calc!$A$2:$A$132,MATCH(5,Calc!$C$2:$C$132,0)),"")</f>
      </c>
      <c r="B51" s="6">
        <f>IF($A51="","",INDEX(Calc!$B$2:$B$132,MATCH($A51,Calc!$A$2:$A$132,0)))</f>
      </c>
      <c r="C51" s="6">
        <f>IF($A51="","",IFERROR(INDEX(Skills!$C$2:$C$132,MATCH($A51,Skills!$A$2:$A$132,0)),""))</f>
      </c>
      <c r="D51" s="6">
        <f>IF($A51="","",MIN($B51,$C51))</f>
      </c>
      <c r="E51" s="6">
        <f>IF($A51="","",MAX(0,$B51-$C51))</f>
      </c>
    </row>
    <row r="52" spans="1:5" x14ac:dyDescent="0.25">
      <c r="A52" s="13">
        <f>IFERROR(INDEX(Calc!$A$2:$A$132,MATCH(6,Calc!$C$2:$C$132,0)),"")</f>
      </c>
      <c r="B52" s="13">
        <f>IF($A52="","",INDEX(Calc!$B$2:$B$132,MATCH($A52,Calc!$A$2:$A$132,0)))</f>
      </c>
      <c r="C52" s="13">
        <f>IF($A52="","",IFERROR(INDEX(Skills!$C$2:$C$132,MATCH($A52,Skills!$A$2:$A$132,0)),""))</f>
      </c>
      <c r="D52" s="13">
        <f>IF($A52="","",MIN($B52,$C52))</f>
      </c>
      <c r="E52" s="13">
        <f>IF($A52="","",MAX(0,$B52-$C52))</f>
      </c>
    </row>
    <row r="53" spans="1:5" x14ac:dyDescent="0.25">
      <c r="A53" s="6">
        <f>IFERROR(INDEX(Calc!$A$2:$A$132,MATCH(7,Calc!$C$2:$C$132,0)),"")</f>
      </c>
      <c r="B53" s="6">
        <f>IF($A53="","",INDEX(Calc!$B$2:$B$132,MATCH($A53,Calc!$A$2:$A$132,0)))</f>
      </c>
      <c r="C53" s="6">
        <f>IF($A53="","",IFERROR(INDEX(Skills!$C$2:$C$132,MATCH($A53,Skills!$A$2:$A$132,0)),""))</f>
      </c>
      <c r="D53" s="6">
        <f>IF($A53="","",MIN($B53,$C53))</f>
      </c>
      <c r="E53" s="6">
        <f>IF($A53="","",MAX(0,$B53-$C53))</f>
      </c>
    </row>
    <row r="54" spans="1:5" x14ac:dyDescent="0.25">
      <c r="A54" s="13">
        <f>IFERROR(INDEX(Calc!$A$2:$A$132,MATCH(8,Calc!$C$2:$C$132,0)),"")</f>
      </c>
      <c r="B54" s="13">
        <f>IF($A54="","",INDEX(Calc!$B$2:$B$132,MATCH($A54,Calc!$A$2:$A$132,0)))</f>
      </c>
      <c r="C54" s="13">
        <f>IF($A54="","",IFERROR(INDEX(Skills!$C$2:$C$132,MATCH($A54,Skills!$A$2:$A$132,0)),""))</f>
      </c>
      <c r="D54" s="13">
        <f>IF($A54="","",MIN($B54,$C54))</f>
      </c>
      <c r="E54" s="13">
        <f>IF($A54="","",MAX(0,$B54-$C54))</f>
      </c>
    </row>
    <row r="55" spans="1:5" x14ac:dyDescent="0.25">
      <c r="A55" s="6">
        <f>IFERROR(INDEX(Calc!$A$2:$A$132,MATCH(9,Calc!$C$2:$C$132,0)),"")</f>
      </c>
      <c r="B55" s="6">
        <f>IF($A55="","",INDEX(Calc!$B$2:$B$132,MATCH($A55,Calc!$A$2:$A$132,0)))</f>
      </c>
      <c r="C55" s="6">
        <f>IF($A55="","",IFERROR(INDEX(Skills!$C$2:$C$132,MATCH($A55,Skills!$A$2:$A$132,0)),""))</f>
      </c>
      <c r="D55" s="6">
        <f>IF($A55="","",MIN($B55,$C55))</f>
      </c>
      <c r="E55" s="6">
        <f>IF($A55="","",MAX(0,$B55-$C55))</f>
      </c>
    </row>
    <row r="56" spans="1:5" x14ac:dyDescent="0.25">
      <c r="A56" s="13">
        <f>IFERROR(INDEX(Calc!$A$2:$A$132,MATCH(10,Calc!$C$2:$C$132,0)),"")</f>
      </c>
      <c r="B56" s="13">
        <f>IF($A56="","",INDEX(Calc!$B$2:$B$132,MATCH($A56,Calc!$A$2:$A$132,0)))</f>
      </c>
      <c r="C56" s="13">
        <f>IF($A56="","",IFERROR(INDEX(Skills!$C$2:$C$132,MATCH($A56,Skills!$A$2:$A$132,0)),""))</f>
      </c>
      <c r="D56" s="13">
        <f>IF($A56="","",MIN($B56,$C56))</f>
      </c>
      <c r="E56" s="13">
        <f>IF($A56="","",MAX(0,$B56-$C56))</f>
      </c>
    </row>
    <row r="57" spans="1:5" x14ac:dyDescent="0.25">
      <c r="A57" s="6">
        <f>IFERROR(INDEX(Calc!$A$2:$A$132,MATCH(11,Calc!$C$2:$C$132,0)),"")</f>
      </c>
      <c r="B57" s="6">
        <f>IF($A57="","",INDEX(Calc!$B$2:$B$132,MATCH($A57,Calc!$A$2:$A$132,0)))</f>
      </c>
      <c r="C57" s="6">
        <f>IF($A57="","",IFERROR(INDEX(Skills!$C$2:$C$132,MATCH($A57,Skills!$A$2:$A$132,0)),""))</f>
      </c>
      <c r="D57" s="6">
        <f>IF($A57="","",MIN($B57,$C57))</f>
      </c>
      <c r="E57" s="6">
        <f>IF($A57="","",MAX(0,$B57-$C57))</f>
      </c>
    </row>
    <row r="58" spans="1:5" x14ac:dyDescent="0.25">
      <c r="A58" s="13">
        <f>IFERROR(INDEX(Calc!$A$2:$A$132,MATCH(12,Calc!$C$2:$C$132,0)),"")</f>
      </c>
      <c r="B58" s="13">
        <f>IF($A58="","",INDEX(Calc!$B$2:$B$132,MATCH($A58,Calc!$A$2:$A$132,0)))</f>
      </c>
      <c r="C58" s="13">
        <f>IF($A58="","",IFERROR(INDEX(Skills!$C$2:$C$132,MATCH($A58,Skills!$A$2:$A$132,0)),""))</f>
      </c>
      <c r="D58" s="13">
        <f>IF($A58="","",MIN($B58,$C58))</f>
      </c>
      <c r="E58" s="13">
        <f>IF($A58="","",MAX(0,$B58-$C58))</f>
      </c>
    </row>
    <row r="59" spans="1:5" x14ac:dyDescent="0.25">
      <c r="A59" s="6">
        <f>IFERROR(INDEX(Calc!$A$2:$A$132,MATCH(13,Calc!$C$2:$C$132,0)),"")</f>
      </c>
      <c r="B59" s="6">
        <f>IF($A59="","",INDEX(Calc!$B$2:$B$132,MATCH($A59,Calc!$A$2:$A$132,0)))</f>
      </c>
      <c r="C59" s="6">
        <f>IF($A59="","",IFERROR(INDEX(Skills!$C$2:$C$132,MATCH($A59,Skills!$A$2:$A$132,0)),""))</f>
      </c>
      <c r="D59" s="6">
        <f>IF($A59="","",MIN($B59,$C59))</f>
      </c>
      <c r="E59" s="6">
        <f>IF($A59="","",MAX(0,$B59-$C59))</f>
      </c>
    </row>
    <row r="60" spans="1:5" x14ac:dyDescent="0.25">
      <c r="A60" s="13">
        <f>IFERROR(INDEX(Calc!$A$2:$A$132,MATCH(14,Calc!$C$2:$C$132,0)),"")</f>
      </c>
      <c r="B60" s="13">
        <f>IF($A60="","",INDEX(Calc!$B$2:$B$132,MATCH($A60,Calc!$A$2:$A$132,0)))</f>
      </c>
      <c r="C60" s="13">
        <f>IF($A60="","",IFERROR(INDEX(Skills!$C$2:$C$132,MATCH($A60,Skills!$A$2:$A$132,0)),""))</f>
      </c>
      <c r="D60" s="13">
        <f>IF($A60="","",MIN($B60,$C60))</f>
      </c>
      <c r="E60" s="13">
        <f>IF($A60="","",MAX(0,$B60-$C60))</f>
      </c>
    </row>
    <row r="61" spans="1:5" x14ac:dyDescent="0.25">
      <c r="A61" s="6">
        <f>IFERROR(INDEX(Calc!$A$2:$A$132,MATCH(15,Calc!$C$2:$C$132,0)),"")</f>
      </c>
      <c r="B61" s="6">
        <f>IF($A61="","",INDEX(Calc!$B$2:$B$132,MATCH($A61,Calc!$A$2:$A$132,0)))</f>
      </c>
      <c r="C61" s="6">
        <f>IF($A61="","",IFERROR(INDEX(Skills!$C$2:$C$132,MATCH($A61,Skills!$A$2:$A$132,0)),""))</f>
      </c>
      <c r="D61" s="6">
        <f>IF($A61="","",MIN($B61,$C61))</f>
      </c>
      <c r="E61" s="6">
        <f>IF($A61="","",MAX(0,$B61-$C61))</f>
      </c>
    </row>
    <row r="62" spans="1:5" x14ac:dyDescent="0.25">
      <c r="A62" s="13">
        <f>IFERROR(INDEX(Calc!$A$2:$A$132,MATCH(16,Calc!$C$2:$C$132,0)),"")</f>
      </c>
      <c r="B62" s="13">
        <f>IF($A62="","",INDEX(Calc!$B$2:$B$132,MATCH($A62,Calc!$A$2:$A$132,0)))</f>
      </c>
      <c r="C62" s="13">
        <f>IF($A62="","",IFERROR(INDEX(Skills!$C$2:$C$132,MATCH($A62,Skills!$A$2:$A$132,0)),""))</f>
      </c>
      <c r="D62" s="13">
        <f>IF($A62="","",MIN($B62,$C62))</f>
      </c>
      <c r="E62" s="13">
        <f>IF($A62="","",MAX(0,$B62-$C62))</f>
      </c>
    </row>
    <row r="63" spans="1:5" x14ac:dyDescent="0.25">
      <c r="A63" s="6">
        <f>IFERROR(INDEX(Calc!$A$2:$A$132,MATCH(17,Calc!$C$2:$C$132,0)),"")</f>
      </c>
      <c r="B63" s="6">
        <f>IF($A63="","",INDEX(Calc!$B$2:$B$132,MATCH($A63,Calc!$A$2:$A$132,0)))</f>
      </c>
      <c r="C63" s="6">
        <f>IF($A63="","",IFERROR(INDEX(Skills!$C$2:$C$132,MATCH($A63,Skills!$A$2:$A$132,0)),""))</f>
      </c>
      <c r="D63" s="6">
        <f>IF($A63="","",MIN($B63,$C63))</f>
      </c>
      <c r="E63" s="6">
        <f>IF($A63="","",MAX(0,$B63-$C63))</f>
      </c>
    </row>
    <row r="64" spans="1:5" x14ac:dyDescent="0.25">
      <c r="A64" s="13">
        <f>IFERROR(INDEX(Calc!$A$2:$A$132,MATCH(18,Calc!$C$2:$C$132,0)),"")</f>
      </c>
      <c r="B64" s="13">
        <f>IF($A64="","",INDEX(Calc!$B$2:$B$132,MATCH($A64,Calc!$A$2:$A$132,0)))</f>
      </c>
      <c r="C64" s="13">
        <f>IF($A64="","",IFERROR(INDEX(Skills!$C$2:$C$132,MATCH($A64,Skills!$A$2:$A$132,0)),""))</f>
      </c>
      <c r="D64" s="13">
        <f>IF($A64="","",MIN($B64,$C64))</f>
      </c>
      <c r="E64" s="13">
        <f>IF($A64="","",MAX(0,$B64-$C64))</f>
      </c>
    </row>
    <row r="65" spans="1:5" x14ac:dyDescent="0.25">
      <c r="A65" s="6">
        <f>IFERROR(INDEX(Calc!$A$2:$A$132,MATCH(19,Calc!$C$2:$C$132,0)),"")</f>
      </c>
      <c r="B65" s="6">
        <f>IF($A65="","",INDEX(Calc!$B$2:$B$132,MATCH($A65,Calc!$A$2:$A$132,0)))</f>
      </c>
      <c r="C65" s="6">
        <f>IF($A65="","",IFERROR(INDEX(Skills!$C$2:$C$132,MATCH($A65,Skills!$A$2:$A$132,0)),""))</f>
      </c>
      <c r="D65" s="6">
        <f>IF($A65="","",MIN($B65,$C65))</f>
      </c>
      <c r="E65" s="6">
        <f>IF($A65="","",MAX(0,$B65-$C65))</f>
      </c>
    </row>
    <row r="66" spans="1:5" x14ac:dyDescent="0.25">
      <c r="A66" s="13">
        <f>IFERROR(INDEX(Calc!$A$2:$A$132,MATCH(20,Calc!$C$2:$C$132,0)),"")</f>
      </c>
      <c r="B66" s="13">
        <f>IF($A66="","",INDEX(Calc!$B$2:$B$132,MATCH($A66,Calc!$A$2:$A$132,0)))</f>
      </c>
      <c r="C66" s="13">
        <f>IF($A66="","",IFERROR(INDEX(Skills!$C$2:$C$132,MATCH($A66,Skills!$A$2:$A$132,0)),""))</f>
      </c>
      <c r="D66" s="13">
        <f>IF($A66="","",MIN($B66,$C66))</f>
      </c>
      <c r="E66" s="13">
        <f>IF($A66="","",MAX(0,$B66-$C66))</f>
      </c>
    </row>
    <row r="67" spans="1:5" x14ac:dyDescent="0.25">
      <c r="A67" s="6">
        <f>IFERROR(INDEX(Calc!$A$2:$A$132,MATCH(21,Calc!$C$2:$C$132,0)),"")</f>
      </c>
      <c r="B67" s="6">
        <f>IF($A67="","",INDEX(Calc!$B$2:$B$132,MATCH($A67,Calc!$A$2:$A$132,0)))</f>
      </c>
      <c r="C67" s="6">
        <f>IF($A67="","",IFERROR(INDEX(Skills!$C$2:$C$132,MATCH($A67,Skills!$A$2:$A$132,0)),""))</f>
      </c>
      <c r="D67" s="6">
        <f>IF($A67="","",MIN($B67,$C67))</f>
      </c>
      <c r="E67" s="6">
        <f>IF($A67="","",MAX(0,$B67-$C67))</f>
      </c>
    </row>
    <row r="68" spans="1:5" x14ac:dyDescent="0.25">
      <c r="A68" s="13">
        <f>IFERROR(INDEX(Calc!$A$2:$A$132,MATCH(22,Calc!$C$2:$C$132,0)),"")</f>
      </c>
      <c r="B68" s="13">
        <f>IF($A68="","",INDEX(Calc!$B$2:$B$132,MATCH($A68,Calc!$A$2:$A$132,0)))</f>
      </c>
      <c r="C68" s="13">
        <f>IF($A68="","",IFERROR(INDEX(Skills!$C$2:$C$132,MATCH($A68,Skills!$A$2:$A$132,0)),""))</f>
      </c>
      <c r="D68" s="13">
        <f>IF($A68="","",MIN($B68,$C68))</f>
      </c>
      <c r="E68" s="13">
        <f>IF($A68="","",MAX(0,$B68-$C68))</f>
      </c>
    </row>
    <row r="69" spans="1:5" x14ac:dyDescent="0.25">
      <c r="A69" s="6">
        <f>IFERROR(INDEX(Calc!$A$2:$A$132,MATCH(23,Calc!$C$2:$C$132,0)),"")</f>
      </c>
      <c r="B69" s="6">
        <f>IF($A69="","",INDEX(Calc!$B$2:$B$132,MATCH($A69,Calc!$A$2:$A$132,0)))</f>
      </c>
      <c r="C69" s="6">
        <f>IF($A69="","",IFERROR(INDEX(Skills!$C$2:$C$132,MATCH($A69,Skills!$A$2:$A$132,0)),""))</f>
      </c>
      <c r="D69" s="6">
        <f>IF($A69="","",MIN($B69,$C69))</f>
      </c>
      <c r="E69" s="6">
        <f>IF($A69="","",MAX(0,$B69-$C69))</f>
      </c>
    </row>
    <row r="70" spans="1:5" x14ac:dyDescent="0.25">
      <c r="A70" s="13">
        <f>IFERROR(INDEX(Calc!$A$2:$A$132,MATCH(24,Calc!$C$2:$C$132,0)),"")</f>
      </c>
      <c r="B70" s="13">
        <f>IF($A70="","",INDEX(Calc!$B$2:$B$132,MATCH($A70,Calc!$A$2:$A$132,0)))</f>
      </c>
      <c r="C70" s="13">
        <f>IF($A70="","",IFERROR(INDEX(Skills!$C$2:$C$132,MATCH($A70,Skills!$A$2:$A$132,0)),""))</f>
      </c>
      <c r="D70" s="13">
        <f>IF($A70="","",MIN($B70,$C70))</f>
      </c>
      <c r="E70" s="13">
        <f>IF($A70="","",MAX(0,$B70-$C70))</f>
      </c>
    </row>
  </sheetData>
  <dataValidations count="7">
    <dataValidation type="list" allowBlank="1" showErrorMessage="1" errorTitle="Unknown skill" error="Pick a skill from the list, or (none) to clear this row." sqref="A5:A9">
      <formula1>Lists!$F$2:$F$133</formula1>
    </dataValidation>
    <dataValidation type="list" allowBlank="1" showErrorMessage="1" errorTitle="Yes or No" error="Choose Yes to ignore every wanted skill, or No to use them." sqref="B10">
      <formula1>"No,Yes"</formula1>
    </dataValidation>
    <dataValidation type="list" allowBlank="1" showErrorMessage="1" errorTitle="Unknown piece" error="Pick a piece from the list for this slot." sqref="B38">
      <formula1>Lists!$A$2:$A$70</formula1>
    </dataValidation>
    <dataValidation type="list" allowBlank="1" showErrorMessage="1" errorTitle="Unknown piece" error="Pick a piece from the list for this slot." sqref="B39">
      <formula1>Lists!$B$2:$B$70</formula1>
    </dataValidation>
    <dataValidation type="list" allowBlank="1" showErrorMessage="1" errorTitle="Unknown piece" error="Pick a piece from the list for this slot." sqref="B40">
      <formula1>Lists!$C$2:$C$70</formula1>
    </dataValidation>
    <dataValidation type="list" allowBlank="1" showErrorMessage="1" errorTitle="Unknown piece" error="Pick a piece from the list for this slot." sqref="B41">
      <formula1>Lists!$D$2:$D$70</formula1>
    </dataValidation>
    <dataValidation type="list" allowBlank="1" showErrorMessage="1" errorTitle="Unknown piece" error="Pick a piece from the list for this slot." sqref="B42">
      <formula1>Lists!$E$2:$E$70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14" t="s">
        <v>24</v>
      </c>
    </row>
    <row r="3" spans="1:1" x14ac:dyDescent="0.25">
      <c r="A3" s="15" t="s">
        <v>25</v>
      </c>
    </row>
    <row r="4" spans="1:1" x14ac:dyDescent="0.25">
      <c r="A4" s="14" t="s">
        <v>26</v>
      </c>
    </row>
    <row r="5" spans="1:1" x14ac:dyDescent="0.25">
      <c r="A5" s="14" t="s">
        <v>27</v>
      </c>
    </row>
    <row r="6" spans="1:1" x14ac:dyDescent="0.25">
      <c r="A6" s="14" t="s">
        <v>28</v>
      </c>
    </row>
    <row r="7" spans="1:1" x14ac:dyDescent="0.25">
      <c r="A7" s="14" t="s">
        <v>29</v>
      </c>
    </row>
    <row r="8" spans="1:1" x14ac:dyDescent="0.25">
      <c r="A8" s="14" t="s">
        <v>30</v>
      </c>
    </row>
    <row r="9" spans="1:1" x14ac:dyDescent="0.25">
      <c r="A9" s="14" t="s">
        <v>24</v>
      </c>
    </row>
    <row r="10" spans="1:1" x14ac:dyDescent="0.25">
      <c r="A10" s="15" t="s">
        <v>31</v>
      </c>
    </row>
    <row r="11" spans="1:1" x14ac:dyDescent="0.25">
      <c r="A11" s="14" t="s">
        <v>32</v>
      </c>
    </row>
    <row r="12" spans="1:1" x14ac:dyDescent="0.25">
      <c r="A12" s="14" t="s">
        <v>33</v>
      </c>
    </row>
    <row r="13" spans="1:1" x14ac:dyDescent="0.25">
      <c r="A13" s="14" t="s">
        <v>34</v>
      </c>
    </row>
    <row r="14" spans="1:1" x14ac:dyDescent="0.25">
      <c r="A14" s="14" t="s">
        <v>35</v>
      </c>
    </row>
    <row r="15" spans="1:1" x14ac:dyDescent="0.25">
      <c r="A15" s="14" t="s">
        <v>36</v>
      </c>
    </row>
    <row r="16" spans="1:1" x14ac:dyDescent="0.25">
      <c r="A16" s="14" t="s">
        <v>37</v>
      </c>
    </row>
    <row r="17" spans="1:1" x14ac:dyDescent="0.25">
      <c r="A17" s="14" t="s">
        <v>24</v>
      </c>
    </row>
    <row r="18" spans="1:1" x14ac:dyDescent="0.25">
      <c r="A18" s="14" t="s">
        <v>38</v>
      </c>
    </row>
    <row r="19" spans="1:1" x14ac:dyDescent="0.25">
      <c r="A19" s="14" t="s">
        <v>24</v>
      </c>
    </row>
    <row r="20" spans="1:1" x14ac:dyDescent="0.25">
      <c r="A20" s="15" t="s">
        <v>39</v>
      </c>
    </row>
    <row r="21" spans="1:1" x14ac:dyDescent="0.25">
      <c r="A21" s="14" t="s">
        <v>40</v>
      </c>
    </row>
    <row r="22" spans="1:1" x14ac:dyDescent="0.25">
      <c r="A22" s="14" t="s">
        <v>41</v>
      </c>
    </row>
    <row r="23" spans="1:1" x14ac:dyDescent="0.25">
      <c r="A23" s="14" t="s">
        <v>42</v>
      </c>
    </row>
    <row r="24" spans="1:1" x14ac:dyDescent="0.25">
      <c r="A24" s="14" t="s">
        <v>43</v>
      </c>
    </row>
    <row r="25" spans="1:1" x14ac:dyDescent="0.25">
      <c r="A25" s="14" t="s">
        <v>24</v>
      </c>
    </row>
    <row r="26" spans="1:1" x14ac:dyDescent="0.25">
      <c r="A26" s="15" t="s">
        <v>44</v>
      </c>
    </row>
    <row r="27" spans="1:1" x14ac:dyDescent="0.25">
      <c r="A27" s="14" t="s">
        <v>45</v>
      </c>
    </row>
    <row r="28" spans="1:1" x14ac:dyDescent="0.25">
      <c r="A28" s="14" t="s">
        <v>46</v>
      </c>
    </row>
    <row r="29" spans="1:1" x14ac:dyDescent="0.25">
      <c r="A29" s="14" t="s">
        <v>47</v>
      </c>
    </row>
    <row r="30" spans="1:1" x14ac:dyDescent="0.25">
      <c r="A30" s="14" t="s">
        <v>48</v>
      </c>
    </row>
    <row r="31" spans="1:1" x14ac:dyDescent="0.25">
      <c r="A31" s="14" t="s">
        <v>49</v>
      </c>
    </row>
    <row r="32" spans="1:1" x14ac:dyDescent="0.25">
      <c r="A32" s="14" t="s">
        <v>50</v>
      </c>
    </row>
    <row r="33" spans="1:1" x14ac:dyDescent="0.25">
      <c r="A33" s="14" t="s">
        <v>51</v>
      </c>
    </row>
    <row r="34" spans="1:1" x14ac:dyDescent="0.25">
      <c r="A34" s="14" t="s">
        <v>24</v>
      </c>
    </row>
    <row r="35" spans="1:1" x14ac:dyDescent="0.25">
      <c r="A35" s="15" t="s">
        <v>52</v>
      </c>
    </row>
    <row r="36" spans="1:1" x14ac:dyDescent="0.25">
      <c r="A36" s="14" t="s">
        <v>53</v>
      </c>
    </row>
    <row r="37" spans="1:1" x14ac:dyDescent="0.25">
      <c r="A37" s="14" t="s">
        <v>54</v>
      </c>
    </row>
    <row r="38" spans="1:1" x14ac:dyDescent="0.25">
      <c r="A38" s="14" t="s">
        <v>55</v>
      </c>
    </row>
    <row r="39" spans="1:1" x14ac:dyDescent="0.25">
      <c r="A39" s="1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11" customWidth="1"/>
  </cols>
  <sheetData>
    <row r="1" spans="1:3" x14ac:dyDescent="0.25">
      <c r="A1" s="4" t="s">
        <v>21</v>
      </c>
      <c r="B1" s="4" t="s">
        <v>57</v>
      </c>
      <c r="C1" s="4" t="s">
        <v>58</v>
      </c>
    </row>
    <row r="2" spans="1:3" x14ac:dyDescent="0.25">
      <c r="A2" s="16" t="s">
        <v>59</v>
      </c>
      <c r="B2" s="16" t="s">
        <v>60</v>
      </c>
      <c r="C2" s="16">
        <v>2</v>
      </c>
    </row>
    <row r="3" spans="1:3" x14ac:dyDescent="0.25">
      <c r="A3" s="16" t="s">
        <v>61</v>
      </c>
      <c r="B3" s="16" t="s">
        <v>60</v>
      </c>
      <c r="C3" s="16">
        <v>2</v>
      </c>
    </row>
    <row r="4" spans="1:3" x14ac:dyDescent="0.25">
      <c r="A4" s="16" t="s">
        <v>62</v>
      </c>
      <c r="B4" s="16" t="s">
        <v>63</v>
      </c>
      <c r="C4" s="16">
        <v>2</v>
      </c>
    </row>
    <row r="5" spans="1:3" x14ac:dyDescent="0.25">
      <c r="A5" s="16" t="s">
        <v>64</v>
      </c>
      <c r="B5" s="16" t="s">
        <v>63</v>
      </c>
      <c r="C5" s="16">
        <v>2</v>
      </c>
    </row>
    <row r="6" spans="1:3" x14ac:dyDescent="0.25">
      <c r="A6" s="16" t="s">
        <v>65</v>
      </c>
      <c r="B6" s="16" t="s">
        <v>63</v>
      </c>
      <c r="C6" s="16">
        <v>2</v>
      </c>
    </row>
    <row r="7" spans="1:3" x14ac:dyDescent="0.25">
      <c r="A7" s="16" t="s">
        <v>66</v>
      </c>
      <c r="B7" s="16" t="s">
        <v>63</v>
      </c>
      <c r="C7" s="16">
        <v>2</v>
      </c>
    </row>
    <row r="8" spans="1:3" x14ac:dyDescent="0.25">
      <c r="A8" s="16" t="s">
        <v>67</v>
      </c>
      <c r="B8" s="16" t="s">
        <v>60</v>
      </c>
      <c r="C8" s="16">
        <v>5</v>
      </c>
    </row>
    <row r="9" spans="1:3" x14ac:dyDescent="0.25">
      <c r="A9" s="16" t="s">
        <v>68</v>
      </c>
      <c r="B9" s="16" t="s">
        <v>63</v>
      </c>
      <c r="C9" s="16">
        <v>5</v>
      </c>
    </row>
    <row r="10" spans="1:3" x14ac:dyDescent="0.25">
      <c r="A10" s="16" t="s">
        <v>69</v>
      </c>
      <c r="B10" s="16" t="s">
        <v>70</v>
      </c>
      <c r="C10" s="16">
        <v>3</v>
      </c>
    </row>
    <row r="11" spans="1:3" x14ac:dyDescent="0.25">
      <c r="A11" s="16" t="s">
        <v>71</v>
      </c>
      <c r="B11" s="16" t="s">
        <v>60</v>
      </c>
      <c r="C11" s="16">
        <v>5</v>
      </c>
    </row>
    <row r="12" spans="1:3" x14ac:dyDescent="0.25">
      <c r="A12" s="16" t="s">
        <v>72</v>
      </c>
      <c r="B12" s="16" t="s">
        <v>60</v>
      </c>
      <c r="C12" s="16">
        <v>5</v>
      </c>
    </row>
    <row r="13" spans="1:3" x14ac:dyDescent="0.25">
      <c r="A13" s="16" t="s">
        <v>73</v>
      </c>
      <c r="B13" s="16" t="s">
        <v>60</v>
      </c>
      <c r="C13" s="16">
        <v>3</v>
      </c>
    </row>
    <row r="14" spans="1:3" x14ac:dyDescent="0.25">
      <c r="A14" s="16" t="s">
        <v>74</v>
      </c>
      <c r="B14" s="16" t="s">
        <v>70</v>
      </c>
      <c r="C14" s="16">
        <v>3</v>
      </c>
    </row>
    <row r="15" spans="1:3" x14ac:dyDescent="0.25">
      <c r="A15" s="16" t="s">
        <v>75</v>
      </c>
      <c r="B15" s="16" t="s">
        <v>63</v>
      </c>
      <c r="C15" s="16">
        <v>5</v>
      </c>
    </row>
    <row r="16" spans="1:3" x14ac:dyDescent="0.25">
      <c r="A16" s="16" t="s">
        <v>76</v>
      </c>
      <c r="B16" s="16" t="s">
        <v>77</v>
      </c>
      <c r="C16" s="16">
        <v>3</v>
      </c>
    </row>
    <row r="17" spans="1:3" x14ac:dyDescent="0.25">
      <c r="A17" s="16" t="s">
        <v>78</v>
      </c>
      <c r="B17" s="16" t="s">
        <v>60</v>
      </c>
      <c r="C17" s="16">
        <v>3</v>
      </c>
    </row>
    <row r="18" spans="1:3" x14ac:dyDescent="0.25">
      <c r="A18" s="16" t="s">
        <v>79</v>
      </c>
      <c r="B18" s="16" t="s">
        <v>77</v>
      </c>
      <c r="C18" s="16">
        <v>3</v>
      </c>
    </row>
    <row r="19" spans="1:3" x14ac:dyDescent="0.25">
      <c r="A19" s="16" t="s">
        <v>80</v>
      </c>
      <c r="B19" s="16" t="s">
        <v>60</v>
      </c>
      <c r="C19" s="16">
        <v>3</v>
      </c>
    </row>
    <row r="20" spans="1:3" x14ac:dyDescent="0.25">
      <c r="A20" s="16" t="s">
        <v>81</v>
      </c>
      <c r="B20" s="16" t="s">
        <v>60</v>
      </c>
      <c r="C20" s="16">
        <v>5</v>
      </c>
    </row>
    <row r="21" spans="1:3" x14ac:dyDescent="0.25">
      <c r="A21" s="16" t="s">
        <v>82</v>
      </c>
      <c r="B21" s="16" t="s">
        <v>70</v>
      </c>
      <c r="C21" s="16">
        <v>3</v>
      </c>
    </row>
    <row r="22" spans="1:3" x14ac:dyDescent="0.25">
      <c r="A22" s="16" t="s">
        <v>83</v>
      </c>
      <c r="B22" s="16" t="s">
        <v>60</v>
      </c>
      <c r="C22" s="16">
        <v>5</v>
      </c>
    </row>
    <row r="23" spans="1:3" x14ac:dyDescent="0.25">
      <c r="A23" s="16" t="s">
        <v>84</v>
      </c>
      <c r="B23" s="16" t="s">
        <v>60</v>
      </c>
      <c r="C23" s="16">
        <v>5</v>
      </c>
    </row>
    <row r="24" spans="1:3" x14ac:dyDescent="0.25">
      <c r="A24" s="16" t="s">
        <v>85</v>
      </c>
      <c r="B24" s="16" t="s">
        <v>63</v>
      </c>
      <c r="C24" s="16">
        <v>3</v>
      </c>
    </row>
    <row r="25" spans="1:3" x14ac:dyDescent="0.25">
      <c r="A25" s="16" t="s">
        <v>86</v>
      </c>
      <c r="B25" s="16" t="s">
        <v>63</v>
      </c>
      <c r="C25" s="16">
        <v>5</v>
      </c>
    </row>
    <row r="26" spans="1:3" x14ac:dyDescent="0.25">
      <c r="A26" s="16" t="s">
        <v>87</v>
      </c>
      <c r="B26" s="16" t="s">
        <v>60</v>
      </c>
      <c r="C26" s="16">
        <v>5</v>
      </c>
    </row>
    <row r="27" spans="1:3" x14ac:dyDescent="0.25">
      <c r="A27" s="16" t="s">
        <v>88</v>
      </c>
      <c r="B27" s="16" t="s">
        <v>60</v>
      </c>
      <c r="C27" s="16">
        <v>3</v>
      </c>
    </row>
    <row r="28" spans="1:3" x14ac:dyDescent="0.25">
      <c r="A28" s="16" t="s">
        <v>89</v>
      </c>
      <c r="B28" s="16" t="s">
        <v>70</v>
      </c>
      <c r="C28" s="16">
        <v>3</v>
      </c>
    </row>
    <row r="29" spans="1:3" x14ac:dyDescent="0.25">
      <c r="A29" s="16" t="s">
        <v>90</v>
      </c>
      <c r="B29" s="16" t="s">
        <v>60</v>
      </c>
      <c r="C29" s="16">
        <v>5</v>
      </c>
    </row>
    <row r="30" spans="1:3" x14ac:dyDescent="0.25">
      <c r="A30" s="16" t="s">
        <v>91</v>
      </c>
      <c r="B30" s="16" t="s">
        <v>63</v>
      </c>
      <c r="C30" s="16">
        <v>5</v>
      </c>
    </row>
    <row r="31" spans="1:3" x14ac:dyDescent="0.25">
      <c r="A31" s="16" t="s">
        <v>92</v>
      </c>
      <c r="B31" s="16" t="s">
        <v>60</v>
      </c>
      <c r="C31" s="16">
        <v>5</v>
      </c>
    </row>
    <row r="32" spans="1:3" x14ac:dyDescent="0.25">
      <c r="A32" s="16" t="s">
        <v>93</v>
      </c>
      <c r="B32" s="16" t="s">
        <v>60</v>
      </c>
      <c r="C32" s="16">
        <v>5</v>
      </c>
    </row>
    <row r="33" spans="1:3" x14ac:dyDescent="0.25">
      <c r="A33" s="16" t="s">
        <v>94</v>
      </c>
      <c r="B33" s="16" t="s">
        <v>60</v>
      </c>
      <c r="C33" s="16">
        <v>5</v>
      </c>
    </row>
    <row r="34" spans="1:3" x14ac:dyDescent="0.25">
      <c r="A34" s="16" t="s">
        <v>95</v>
      </c>
      <c r="B34" s="16" t="s">
        <v>60</v>
      </c>
      <c r="C34" s="16">
        <v>1</v>
      </c>
    </row>
    <row r="35" spans="1:3" x14ac:dyDescent="0.25">
      <c r="A35" s="16" t="s">
        <v>96</v>
      </c>
      <c r="B35" s="16" t="s">
        <v>60</v>
      </c>
      <c r="C35" s="16">
        <v>5</v>
      </c>
    </row>
    <row r="36" spans="1:3" x14ac:dyDescent="0.25">
      <c r="A36" s="16" t="s">
        <v>97</v>
      </c>
      <c r="B36" s="16" t="s">
        <v>77</v>
      </c>
      <c r="C36" s="16">
        <v>5</v>
      </c>
    </row>
    <row r="37" spans="1:3" x14ac:dyDescent="0.25">
      <c r="A37" s="16" t="s">
        <v>98</v>
      </c>
      <c r="B37" s="16" t="s">
        <v>70</v>
      </c>
      <c r="C37" s="16">
        <v>3</v>
      </c>
    </row>
    <row r="38" spans="1:3" x14ac:dyDescent="0.25">
      <c r="A38" s="16" t="s">
        <v>99</v>
      </c>
      <c r="B38" s="16" t="s">
        <v>77</v>
      </c>
      <c r="C38" s="16">
        <v>5</v>
      </c>
    </row>
    <row r="39" spans="1:3" x14ac:dyDescent="0.25">
      <c r="A39" s="16" t="s">
        <v>100</v>
      </c>
      <c r="B39" s="16" t="s">
        <v>63</v>
      </c>
      <c r="C39" s="16">
        <v>5</v>
      </c>
    </row>
    <row r="40" spans="1:3" x14ac:dyDescent="0.25">
      <c r="A40" s="16" t="s">
        <v>101</v>
      </c>
      <c r="B40" s="16" t="s">
        <v>77</v>
      </c>
      <c r="C40" s="16">
        <v>3</v>
      </c>
    </row>
    <row r="41" spans="1:3" x14ac:dyDescent="0.25">
      <c r="A41" s="16" t="s">
        <v>102</v>
      </c>
      <c r="B41" s="16" t="s">
        <v>77</v>
      </c>
      <c r="C41" s="16">
        <v>3</v>
      </c>
    </row>
    <row r="42" spans="1:3" x14ac:dyDescent="0.25">
      <c r="A42" s="16" t="s">
        <v>103</v>
      </c>
      <c r="B42" s="16" t="s">
        <v>63</v>
      </c>
      <c r="C42" s="16">
        <v>5</v>
      </c>
    </row>
    <row r="43" spans="1:3" x14ac:dyDescent="0.25">
      <c r="A43" s="16" t="s">
        <v>104</v>
      </c>
      <c r="B43" s="16" t="s">
        <v>70</v>
      </c>
      <c r="C43" s="16">
        <v>3</v>
      </c>
    </row>
    <row r="44" spans="1:3" x14ac:dyDescent="0.25">
      <c r="A44" s="16" t="s">
        <v>105</v>
      </c>
      <c r="B44" s="16" t="s">
        <v>70</v>
      </c>
      <c r="C44" s="16">
        <v>5</v>
      </c>
    </row>
    <row r="45" spans="1:3" x14ac:dyDescent="0.25">
      <c r="A45" s="16" t="s">
        <v>106</v>
      </c>
      <c r="B45" s="16" t="s">
        <v>70</v>
      </c>
      <c r="C45" s="16">
        <v>3</v>
      </c>
    </row>
    <row r="46" spans="1:3" x14ac:dyDescent="0.25">
      <c r="A46" s="16" t="s">
        <v>107</v>
      </c>
      <c r="B46" s="16" t="s">
        <v>60</v>
      </c>
      <c r="C46" s="16">
        <v>5</v>
      </c>
    </row>
    <row r="47" spans="1:3" x14ac:dyDescent="0.25">
      <c r="A47" s="16" t="s">
        <v>108</v>
      </c>
      <c r="B47" s="16" t="s">
        <v>60</v>
      </c>
      <c r="C47" s="16">
        <v>5</v>
      </c>
    </row>
    <row r="48" spans="1:3" x14ac:dyDescent="0.25">
      <c r="A48" s="16" t="s">
        <v>109</v>
      </c>
      <c r="B48" s="16" t="s">
        <v>63</v>
      </c>
      <c r="C48" s="16">
        <v>5</v>
      </c>
    </row>
    <row r="49" spans="1:3" x14ac:dyDescent="0.25">
      <c r="A49" s="16" t="s">
        <v>110</v>
      </c>
      <c r="B49" s="16" t="s">
        <v>77</v>
      </c>
      <c r="C49" s="16">
        <v>3</v>
      </c>
    </row>
    <row r="50" spans="1:3" x14ac:dyDescent="0.25">
      <c r="A50" s="16" t="s">
        <v>111</v>
      </c>
      <c r="B50" s="16" t="s">
        <v>70</v>
      </c>
      <c r="C50" s="16">
        <v>3</v>
      </c>
    </row>
    <row r="51" spans="1:3" x14ac:dyDescent="0.25">
      <c r="A51" s="16" t="s">
        <v>112</v>
      </c>
      <c r="B51" s="16" t="s">
        <v>70</v>
      </c>
      <c r="C51" s="16">
        <v>5</v>
      </c>
    </row>
    <row r="52" spans="1:3" x14ac:dyDescent="0.25">
      <c r="A52" s="16" t="s">
        <v>113</v>
      </c>
      <c r="B52" s="16" t="s">
        <v>60</v>
      </c>
      <c r="C52" s="16">
        <v>5</v>
      </c>
    </row>
    <row r="53" spans="1:3" x14ac:dyDescent="0.25">
      <c r="A53" s="16" t="s">
        <v>114</v>
      </c>
      <c r="B53" s="16" t="s">
        <v>77</v>
      </c>
      <c r="C53" s="16">
        <v>5</v>
      </c>
    </row>
    <row r="54" spans="1:3" x14ac:dyDescent="0.25">
      <c r="A54" s="16" t="s">
        <v>115</v>
      </c>
      <c r="B54" s="16" t="s">
        <v>70</v>
      </c>
      <c r="C54" s="16">
        <v>3</v>
      </c>
    </row>
    <row r="55" spans="1:3" x14ac:dyDescent="0.25">
      <c r="A55" s="16" t="s">
        <v>116</v>
      </c>
      <c r="B55" s="16" t="s">
        <v>77</v>
      </c>
      <c r="C55" s="16">
        <v>1</v>
      </c>
    </row>
    <row r="56" spans="1:3" x14ac:dyDescent="0.25">
      <c r="A56" s="16" t="s">
        <v>117</v>
      </c>
      <c r="B56" s="16" t="s">
        <v>77</v>
      </c>
      <c r="C56" s="16">
        <v>5</v>
      </c>
    </row>
    <row r="57" spans="1:3" x14ac:dyDescent="0.25">
      <c r="A57" s="16" t="s">
        <v>118</v>
      </c>
      <c r="B57" s="16" t="s">
        <v>60</v>
      </c>
      <c r="C57" s="16">
        <v>5</v>
      </c>
    </row>
    <row r="58" spans="1:3" x14ac:dyDescent="0.25">
      <c r="A58" s="16" t="s">
        <v>119</v>
      </c>
      <c r="B58" s="16" t="s">
        <v>77</v>
      </c>
      <c r="C58" s="16">
        <v>5</v>
      </c>
    </row>
    <row r="59" spans="1:3" x14ac:dyDescent="0.25">
      <c r="A59" s="16" t="s">
        <v>120</v>
      </c>
      <c r="B59" s="16" t="s">
        <v>60</v>
      </c>
      <c r="C59" s="16">
        <v>3</v>
      </c>
    </row>
    <row r="60" spans="1:3" x14ac:dyDescent="0.25">
      <c r="A60" s="16" t="s">
        <v>121</v>
      </c>
      <c r="B60" s="16" t="s">
        <v>60</v>
      </c>
      <c r="C60" s="16">
        <v>5</v>
      </c>
    </row>
    <row r="61" spans="1:3" x14ac:dyDescent="0.25">
      <c r="A61" s="16" t="s">
        <v>122</v>
      </c>
      <c r="B61" s="16" t="s">
        <v>60</v>
      </c>
      <c r="C61" s="16">
        <v>1</v>
      </c>
    </row>
    <row r="62" spans="1:3" x14ac:dyDescent="0.25">
      <c r="A62" s="16" t="s">
        <v>123</v>
      </c>
      <c r="B62" s="16" t="s">
        <v>63</v>
      </c>
      <c r="C62" s="16">
        <v>5</v>
      </c>
    </row>
    <row r="63" spans="1:3" x14ac:dyDescent="0.25">
      <c r="A63" s="16" t="s">
        <v>124</v>
      </c>
      <c r="B63" s="16" t="s">
        <v>77</v>
      </c>
      <c r="C63" s="16">
        <v>3</v>
      </c>
    </row>
    <row r="64" spans="1:3" x14ac:dyDescent="0.25">
      <c r="A64" s="16" t="s">
        <v>125</v>
      </c>
      <c r="B64" s="16" t="s">
        <v>63</v>
      </c>
      <c r="C64" s="16">
        <v>3</v>
      </c>
    </row>
    <row r="65" spans="1:3" x14ac:dyDescent="0.25">
      <c r="A65" s="16" t="s">
        <v>126</v>
      </c>
      <c r="B65" s="16" t="s">
        <v>63</v>
      </c>
      <c r="C65" s="16">
        <v>3</v>
      </c>
    </row>
    <row r="66" spans="1:3" x14ac:dyDescent="0.25">
      <c r="A66" s="16" t="s">
        <v>127</v>
      </c>
      <c r="B66" s="16" t="s">
        <v>77</v>
      </c>
      <c r="C66" s="16">
        <v>5</v>
      </c>
    </row>
    <row r="67" spans="1:3" x14ac:dyDescent="0.25">
      <c r="A67" s="16" t="s">
        <v>128</v>
      </c>
      <c r="B67" s="16" t="s">
        <v>60</v>
      </c>
      <c r="C67" s="16">
        <v>5</v>
      </c>
    </row>
    <row r="68" spans="1:3" x14ac:dyDescent="0.25">
      <c r="A68" s="16" t="s">
        <v>129</v>
      </c>
      <c r="B68" s="16" t="s">
        <v>77</v>
      </c>
      <c r="C68" s="16">
        <v>3</v>
      </c>
    </row>
    <row r="69" spans="1:3" x14ac:dyDescent="0.25">
      <c r="A69" s="16" t="s">
        <v>130</v>
      </c>
      <c r="B69" s="16" t="s">
        <v>70</v>
      </c>
      <c r="C69" s="16">
        <v>1</v>
      </c>
    </row>
    <row r="70" spans="1:3" x14ac:dyDescent="0.25">
      <c r="A70" s="16" t="s">
        <v>131</v>
      </c>
      <c r="B70" s="16" t="s">
        <v>63</v>
      </c>
      <c r="C70" s="16">
        <v>3</v>
      </c>
    </row>
    <row r="71" spans="1:3" x14ac:dyDescent="0.25">
      <c r="A71" s="16" t="s">
        <v>132</v>
      </c>
      <c r="B71" s="16" t="s">
        <v>60</v>
      </c>
      <c r="C71" s="16">
        <v>5</v>
      </c>
    </row>
    <row r="72" spans="1:3" x14ac:dyDescent="0.25">
      <c r="A72" s="16" t="s">
        <v>133</v>
      </c>
      <c r="B72" s="16" t="s">
        <v>60</v>
      </c>
      <c r="C72" s="16">
        <v>3</v>
      </c>
    </row>
    <row r="73" spans="1:3" x14ac:dyDescent="0.25">
      <c r="A73" s="16" t="s">
        <v>134</v>
      </c>
      <c r="B73" s="16" t="s">
        <v>60</v>
      </c>
      <c r="C73" s="16">
        <v>5</v>
      </c>
    </row>
    <row r="74" spans="1:3" x14ac:dyDescent="0.25">
      <c r="A74" s="16" t="s">
        <v>135</v>
      </c>
      <c r="B74" s="16" t="s">
        <v>63</v>
      </c>
      <c r="C74" s="16">
        <v>3</v>
      </c>
    </row>
    <row r="75" spans="1:3" x14ac:dyDescent="0.25">
      <c r="A75" s="16" t="s">
        <v>136</v>
      </c>
      <c r="B75" s="16" t="s">
        <v>60</v>
      </c>
      <c r="C75" s="16">
        <v>3</v>
      </c>
    </row>
    <row r="76" spans="1:3" x14ac:dyDescent="0.25">
      <c r="A76" s="16" t="s">
        <v>137</v>
      </c>
      <c r="B76" s="16" t="s">
        <v>60</v>
      </c>
      <c r="C76" s="16">
        <v>3</v>
      </c>
    </row>
    <row r="77" spans="1:3" x14ac:dyDescent="0.25">
      <c r="A77" s="16" t="s">
        <v>138</v>
      </c>
      <c r="B77" s="16" t="s">
        <v>60</v>
      </c>
      <c r="C77" s="16">
        <v>5</v>
      </c>
    </row>
    <row r="78" spans="1:3" x14ac:dyDescent="0.25">
      <c r="A78" s="16" t="s">
        <v>139</v>
      </c>
      <c r="B78" s="16" t="s">
        <v>60</v>
      </c>
      <c r="C78" s="16">
        <v>5</v>
      </c>
    </row>
    <row r="79" spans="1:3" x14ac:dyDescent="0.25">
      <c r="A79" s="16" t="s">
        <v>140</v>
      </c>
      <c r="B79" s="16" t="s">
        <v>63</v>
      </c>
      <c r="C79" s="16">
        <v>5</v>
      </c>
    </row>
    <row r="80" spans="1:3" x14ac:dyDescent="0.25">
      <c r="A80" s="16" t="s">
        <v>141</v>
      </c>
      <c r="B80" s="16" t="s">
        <v>60</v>
      </c>
      <c r="C80" s="16">
        <v>5</v>
      </c>
    </row>
    <row r="81" spans="1:3" x14ac:dyDescent="0.25">
      <c r="A81" s="16" t="s">
        <v>142</v>
      </c>
      <c r="B81" s="16" t="s">
        <v>77</v>
      </c>
      <c r="C81" s="16">
        <v>3</v>
      </c>
    </row>
    <row r="82" spans="1:3" x14ac:dyDescent="0.25">
      <c r="A82" s="16" t="s">
        <v>143</v>
      </c>
      <c r="B82" s="16" t="s">
        <v>70</v>
      </c>
      <c r="C82" s="16">
        <v>3</v>
      </c>
    </row>
    <row r="83" spans="1:3" x14ac:dyDescent="0.25">
      <c r="A83" s="16" t="s">
        <v>144</v>
      </c>
      <c r="B83" s="16" t="s">
        <v>60</v>
      </c>
      <c r="C83" s="16">
        <v>5</v>
      </c>
    </row>
    <row r="84" spans="1:3" x14ac:dyDescent="0.25">
      <c r="A84" s="16" t="s">
        <v>145</v>
      </c>
      <c r="B84" s="16" t="s">
        <v>60</v>
      </c>
      <c r="C84" s="16">
        <v>5</v>
      </c>
    </row>
    <row r="85" spans="1:3" x14ac:dyDescent="0.25">
      <c r="A85" s="16" t="s">
        <v>146</v>
      </c>
      <c r="B85" s="16" t="s">
        <v>70</v>
      </c>
      <c r="C85" s="16">
        <v>3</v>
      </c>
    </row>
    <row r="86" spans="1:3" x14ac:dyDescent="0.25">
      <c r="A86" s="16" t="s">
        <v>147</v>
      </c>
      <c r="B86" s="16" t="s">
        <v>63</v>
      </c>
      <c r="C86" s="16">
        <v>5</v>
      </c>
    </row>
    <row r="87" spans="1:3" x14ac:dyDescent="0.25">
      <c r="A87" s="16" t="s">
        <v>148</v>
      </c>
      <c r="B87" s="16" t="s">
        <v>60</v>
      </c>
      <c r="C87" s="16">
        <v>5</v>
      </c>
    </row>
    <row r="88" spans="1:3" x14ac:dyDescent="0.25">
      <c r="A88" s="16" t="s">
        <v>149</v>
      </c>
      <c r="B88" s="16" t="s">
        <v>77</v>
      </c>
      <c r="C88" s="16">
        <v>3</v>
      </c>
    </row>
    <row r="89" spans="1:3" x14ac:dyDescent="0.25">
      <c r="A89" s="16" t="s">
        <v>150</v>
      </c>
      <c r="B89" s="16" t="s">
        <v>70</v>
      </c>
      <c r="C89" s="16">
        <v>3</v>
      </c>
    </row>
    <row r="90" spans="1:3" x14ac:dyDescent="0.25">
      <c r="A90" s="16" t="s">
        <v>151</v>
      </c>
      <c r="B90" s="16" t="s">
        <v>60</v>
      </c>
      <c r="C90" s="16">
        <v>5</v>
      </c>
    </row>
    <row r="91" spans="1:3" x14ac:dyDescent="0.25">
      <c r="A91" s="16" t="s">
        <v>152</v>
      </c>
      <c r="B91" s="16" t="s">
        <v>70</v>
      </c>
      <c r="C91" s="16">
        <v>3</v>
      </c>
    </row>
    <row r="92" spans="1:3" x14ac:dyDescent="0.25">
      <c r="A92" s="16" t="s">
        <v>153</v>
      </c>
      <c r="B92" s="16" t="s">
        <v>60</v>
      </c>
      <c r="C92" s="16">
        <v>5</v>
      </c>
    </row>
    <row r="93" spans="1:3" x14ac:dyDescent="0.25">
      <c r="A93" s="16" t="s">
        <v>154</v>
      </c>
      <c r="B93" s="16" t="s">
        <v>60</v>
      </c>
      <c r="C93" s="16">
        <v>3</v>
      </c>
    </row>
    <row r="94" spans="1:3" x14ac:dyDescent="0.25">
      <c r="A94" s="16" t="s">
        <v>155</v>
      </c>
      <c r="B94" s="16" t="s">
        <v>70</v>
      </c>
      <c r="C94" s="16">
        <v>3</v>
      </c>
    </row>
    <row r="95" spans="1:3" x14ac:dyDescent="0.25">
      <c r="A95" s="16" t="s">
        <v>156</v>
      </c>
      <c r="B95" s="16" t="s">
        <v>60</v>
      </c>
      <c r="C95" s="16">
        <v>5</v>
      </c>
    </row>
    <row r="96" spans="1:3" x14ac:dyDescent="0.25">
      <c r="A96" s="16" t="s">
        <v>157</v>
      </c>
      <c r="B96" s="16" t="s">
        <v>70</v>
      </c>
      <c r="C96" s="16">
        <v>3</v>
      </c>
    </row>
    <row r="97" spans="1:3" x14ac:dyDescent="0.25">
      <c r="A97" s="16" t="s">
        <v>158</v>
      </c>
      <c r="B97" s="16" t="s">
        <v>60</v>
      </c>
      <c r="C97" s="16">
        <v>5</v>
      </c>
    </row>
    <row r="98" spans="1:3" x14ac:dyDescent="0.25">
      <c r="A98" s="16" t="s">
        <v>159</v>
      </c>
      <c r="B98" s="16" t="s">
        <v>60</v>
      </c>
      <c r="C98" s="16">
        <v>5</v>
      </c>
    </row>
    <row r="99" spans="1:3" x14ac:dyDescent="0.25">
      <c r="A99" s="16" t="s">
        <v>160</v>
      </c>
      <c r="B99" s="16" t="s">
        <v>60</v>
      </c>
      <c r="C99" s="16">
        <v>5</v>
      </c>
    </row>
    <row r="100" spans="1:3" x14ac:dyDescent="0.25">
      <c r="A100" s="16" t="s">
        <v>161</v>
      </c>
      <c r="B100" s="16" t="s">
        <v>60</v>
      </c>
      <c r="C100" s="16">
        <v>5</v>
      </c>
    </row>
    <row r="101" spans="1:3" x14ac:dyDescent="0.25">
      <c r="A101" s="16" t="s">
        <v>162</v>
      </c>
      <c r="B101" s="16" t="s">
        <v>60</v>
      </c>
      <c r="C101" s="16">
        <v>3</v>
      </c>
    </row>
    <row r="102" spans="1:3" x14ac:dyDescent="0.25">
      <c r="A102" s="16" t="s">
        <v>163</v>
      </c>
      <c r="B102" s="16" t="s">
        <v>77</v>
      </c>
      <c r="C102" s="16">
        <v>5</v>
      </c>
    </row>
    <row r="103" spans="1:3" x14ac:dyDescent="0.25">
      <c r="A103" s="16" t="s">
        <v>164</v>
      </c>
      <c r="B103" s="16" t="s">
        <v>60</v>
      </c>
      <c r="C103" s="16">
        <v>5</v>
      </c>
    </row>
    <row r="104" spans="1:3" x14ac:dyDescent="0.25">
      <c r="A104" s="16" t="s">
        <v>165</v>
      </c>
      <c r="B104" s="16" t="s">
        <v>60</v>
      </c>
      <c r="C104" s="16">
        <v>5</v>
      </c>
    </row>
    <row r="105" spans="1:3" x14ac:dyDescent="0.25">
      <c r="A105" s="16" t="s">
        <v>166</v>
      </c>
      <c r="B105" s="16" t="s">
        <v>63</v>
      </c>
      <c r="C105" s="16">
        <v>5</v>
      </c>
    </row>
    <row r="106" spans="1:3" x14ac:dyDescent="0.25">
      <c r="A106" s="16" t="s">
        <v>167</v>
      </c>
      <c r="B106" s="16" t="s">
        <v>77</v>
      </c>
      <c r="C106" s="16">
        <v>3</v>
      </c>
    </row>
    <row r="107" spans="1:3" x14ac:dyDescent="0.25">
      <c r="A107" s="16" t="s">
        <v>168</v>
      </c>
      <c r="B107" s="16" t="s">
        <v>60</v>
      </c>
      <c r="C107" s="16">
        <v>3</v>
      </c>
    </row>
    <row r="108" spans="1:3" x14ac:dyDescent="0.25">
      <c r="A108" s="16" t="s">
        <v>169</v>
      </c>
      <c r="B108" s="16" t="s">
        <v>60</v>
      </c>
      <c r="C108" s="16">
        <v>5</v>
      </c>
    </row>
    <row r="109" spans="1:3" x14ac:dyDescent="0.25">
      <c r="A109" s="16" t="s">
        <v>170</v>
      </c>
      <c r="B109" s="16" t="s">
        <v>60</v>
      </c>
      <c r="C109" s="16">
        <v>5</v>
      </c>
    </row>
    <row r="110" spans="1:3" x14ac:dyDescent="0.25">
      <c r="A110" s="16" t="s">
        <v>171</v>
      </c>
      <c r="B110" s="16" t="s">
        <v>70</v>
      </c>
      <c r="C110" s="16">
        <v>3</v>
      </c>
    </row>
    <row r="111" spans="1:3" x14ac:dyDescent="0.25">
      <c r="A111" s="16" t="s">
        <v>172</v>
      </c>
      <c r="B111" s="16" t="s">
        <v>60</v>
      </c>
      <c r="C111" s="16">
        <v>5</v>
      </c>
    </row>
    <row r="112" spans="1:3" x14ac:dyDescent="0.25">
      <c r="A112" s="16" t="s">
        <v>173</v>
      </c>
      <c r="B112" s="16" t="s">
        <v>77</v>
      </c>
      <c r="C112" s="16">
        <v>3</v>
      </c>
    </row>
    <row r="113" spans="1:3" x14ac:dyDescent="0.25">
      <c r="A113" s="16" t="s">
        <v>174</v>
      </c>
      <c r="B113" s="16" t="s">
        <v>60</v>
      </c>
      <c r="C113" s="16">
        <v>5</v>
      </c>
    </row>
    <row r="114" spans="1:3" x14ac:dyDescent="0.25">
      <c r="A114" s="16" t="s">
        <v>175</v>
      </c>
      <c r="B114" s="16" t="s">
        <v>63</v>
      </c>
      <c r="C114" s="16">
        <v>5</v>
      </c>
    </row>
    <row r="115" spans="1:3" x14ac:dyDescent="0.25">
      <c r="A115" s="16" t="s">
        <v>176</v>
      </c>
      <c r="B115" s="16" t="s">
        <v>60</v>
      </c>
      <c r="C115" s="16">
        <v>5</v>
      </c>
    </row>
    <row r="116" spans="1:3" x14ac:dyDescent="0.25">
      <c r="A116" s="16" t="s">
        <v>177</v>
      </c>
      <c r="B116" s="16" t="s">
        <v>60</v>
      </c>
      <c r="C116" s="16">
        <v>1</v>
      </c>
    </row>
    <row r="117" spans="1:3" x14ac:dyDescent="0.25">
      <c r="A117" s="16" t="s">
        <v>178</v>
      </c>
      <c r="B117" s="16" t="s">
        <v>63</v>
      </c>
      <c r="C117" s="16">
        <v>3</v>
      </c>
    </row>
    <row r="118" spans="1:3" x14ac:dyDescent="0.25">
      <c r="A118" s="16" t="s">
        <v>179</v>
      </c>
      <c r="B118" s="16" t="s">
        <v>63</v>
      </c>
      <c r="C118" s="16">
        <v>5</v>
      </c>
    </row>
    <row r="119" spans="1:3" x14ac:dyDescent="0.25">
      <c r="A119" s="16" t="s">
        <v>180</v>
      </c>
      <c r="B119" s="16" t="s">
        <v>77</v>
      </c>
      <c r="C119" s="16">
        <v>3</v>
      </c>
    </row>
    <row r="120" spans="1:3" x14ac:dyDescent="0.25">
      <c r="A120" s="16" t="s">
        <v>181</v>
      </c>
      <c r="B120" s="16" t="s">
        <v>60</v>
      </c>
      <c r="C120" s="16">
        <v>5</v>
      </c>
    </row>
    <row r="121" spans="1:3" x14ac:dyDescent="0.25">
      <c r="A121" s="16" t="s">
        <v>182</v>
      </c>
      <c r="B121" s="16" t="s">
        <v>77</v>
      </c>
      <c r="C121" s="16">
        <v>3</v>
      </c>
    </row>
    <row r="122" spans="1:3" x14ac:dyDescent="0.25">
      <c r="A122" s="16" t="s">
        <v>183</v>
      </c>
      <c r="B122" s="16" t="s">
        <v>60</v>
      </c>
      <c r="C122" s="16">
        <v>5</v>
      </c>
    </row>
    <row r="123" spans="1:3" x14ac:dyDescent="0.25">
      <c r="A123" s="16" t="s">
        <v>184</v>
      </c>
      <c r="B123" s="16" t="s">
        <v>63</v>
      </c>
      <c r="C123" s="16">
        <v>3</v>
      </c>
    </row>
    <row r="124" spans="1:3" x14ac:dyDescent="0.25">
      <c r="A124" s="16" t="s">
        <v>185</v>
      </c>
      <c r="B124" s="16" t="s">
        <v>63</v>
      </c>
      <c r="C124" s="16">
        <v>3</v>
      </c>
    </row>
    <row r="125" spans="1:3" x14ac:dyDescent="0.25">
      <c r="A125" s="16" t="s">
        <v>186</v>
      </c>
      <c r="B125" s="16" t="s">
        <v>63</v>
      </c>
      <c r="C125" s="16">
        <v>3</v>
      </c>
    </row>
    <row r="126" spans="1:3" x14ac:dyDescent="0.25">
      <c r="A126" s="16" t="s">
        <v>187</v>
      </c>
      <c r="B126" s="16" t="s">
        <v>63</v>
      </c>
      <c r="C126" s="16">
        <v>3</v>
      </c>
    </row>
    <row r="127" spans="1:3" x14ac:dyDescent="0.25">
      <c r="A127" s="16" t="s">
        <v>188</v>
      </c>
      <c r="B127" s="16" t="s">
        <v>63</v>
      </c>
      <c r="C127" s="16">
        <v>3</v>
      </c>
    </row>
    <row r="128" spans="1:3" x14ac:dyDescent="0.25">
      <c r="A128" s="16" t="s">
        <v>189</v>
      </c>
      <c r="B128" s="16" t="s">
        <v>63</v>
      </c>
      <c r="C128" s="16">
        <v>3</v>
      </c>
    </row>
    <row r="129" spans="1:3" x14ac:dyDescent="0.25">
      <c r="A129" s="16" t="s">
        <v>190</v>
      </c>
      <c r="B129" s="16" t="s">
        <v>63</v>
      </c>
      <c r="C129" s="16">
        <v>5</v>
      </c>
    </row>
    <row r="130" spans="1:3" x14ac:dyDescent="0.25">
      <c r="A130" s="16" t="s">
        <v>191</v>
      </c>
      <c r="B130" s="16" t="s">
        <v>77</v>
      </c>
      <c r="C130" s="16">
        <v>3</v>
      </c>
    </row>
    <row r="131" spans="1:3" x14ac:dyDescent="0.25">
      <c r="A131" s="16" t="s">
        <v>192</v>
      </c>
      <c r="B131" s="16" t="s">
        <v>60</v>
      </c>
      <c r="C131" s="16">
        <v>5</v>
      </c>
    </row>
    <row r="132" spans="1:3" x14ac:dyDescent="0.25">
      <c r="A132" s="16" t="s">
        <v>193</v>
      </c>
      <c r="B132" s="16" t="s">
        <v>77</v>
      </c>
      <c r="C132" s="1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3" max="3" width="22" customWidth="1"/>
    <col min="5" max="5" width="10" customWidth="1"/>
    <col min="6" max="6" width="7" customWidth="1"/>
    <col min="7" max="7" width="40" customWidth="1"/>
    <col min="8" max="8" width="60" customWidth="1"/>
    <col min="10" max="10" width="7" customWidth="1"/>
    <col min="11" max="11" width="14" customWidth="1"/>
    <col min="12" max="12" width="22" customWidth="1"/>
    <col min="13" max="13" width="6" customWidth="1"/>
    <col min="14" max="14" width="22" customWidth="1"/>
    <col min="15" max="15" width="6" customWidth="1"/>
    <col min="16" max="16" width="22" customWidth="1"/>
    <col min="17" max="17" width="6" customWidth="1"/>
  </cols>
  <sheetData>
    <row r="1" spans="1:17" x14ac:dyDescent="0.25">
      <c r="A1" s="4" t="s">
        <v>194</v>
      </c>
      <c r="B1" s="4" t="s">
        <v>15</v>
      </c>
      <c r="C1" s="4" t="s">
        <v>195</v>
      </c>
      <c r="D1" s="4" t="s">
        <v>17</v>
      </c>
      <c r="E1" s="4" t="s">
        <v>18</v>
      </c>
      <c r="F1" s="4" t="s">
        <v>196</v>
      </c>
      <c r="G1" s="4" t="s">
        <v>197</v>
      </c>
      <c r="H1" s="4" t="s">
        <v>198</v>
      </c>
      <c r="I1" s="4" t="s">
        <v>199</v>
      </c>
      <c r="J1" s="4" t="s">
        <v>200</v>
      </c>
      <c r="K1" s="4" t="s">
        <v>201</v>
      </c>
      <c r="L1" s="4" t="s">
        <v>202</v>
      </c>
      <c r="M1" s="4" t="s">
        <v>203</v>
      </c>
      <c r="N1" s="4" t="s">
        <v>204</v>
      </c>
      <c r="O1" s="4" t="s">
        <v>205</v>
      </c>
      <c r="P1" s="4" t="s">
        <v>206</v>
      </c>
      <c r="Q1" s="4" t="s">
        <v>207</v>
      </c>
    </row>
    <row r="2" spans="1:13" x14ac:dyDescent="0.25">
      <c r="A2" s="16" t="s">
        <v>208</v>
      </c>
      <c r="B2" s="16" t="s">
        <v>9</v>
      </c>
      <c r="C2" s="16" t="s">
        <v>209</v>
      </c>
      <c r="D2" s="16">
        <v>197</v>
      </c>
      <c r="E2" s="16">
        <v>1</v>
      </c>
      <c r="F2" s="16">
        <v>10</v>
      </c>
      <c r="G2" s="16" t="s">
        <v>210</v>
      </c>
      <c r="H2" s="16" t="s">
        <v>211</v>
      </c>
      <c r="I2" s="16">
        <f>IF(OR(Picker!$B$10="Yes",SUMPRODUCT((Picker!$A$5:$A$9&lt;&gt;"")*(Picker!$A$5:$A$9&lt;&gt;"(none)"))=0),1,IF($L2="",0,COUNTIF(Picker!$A$5:$A$9,$L2))+IF($N2="",0,COUNTIF(Picker!$A$5:$A$9,$N2))+IF($P2="",0,COUNTIF(Picker!$A$5:$A$9,$P2)))</f>
      </c>
      <c r="J2" s="16">
        <f>IF($I2=0,"",COUNTIFS($B$2:$B$346,$B2,$I$2:$I$346,"&gt;"&amp;$I2)+COUNTIFS($B$2:$B2,$B2,$I$2:$I2,$I2))</f>
      </c>
      <c r="K2" s="16">
        <f>IF($J2="","",$B2&amp;"#"&amp;$J2)</f>
      </c>
      <c r="L2" s="16" t="s">
        <v>98</v>
      </c>
      <c r="M2" s="16">
        <v>2</v>
      </c>
    </row>
    <row r="3" spans="1:13" x14ac:dyDescent="0.25">
      <c r="A3" s="16" t="s">
        <v>212</v>
      </c>
      <c r="B3" s="16" t="s">
        <v>9</v>
      </c>
      <c r="C3" s="16" t="s">
        <v>213</v>
      </c>
      <c r="D3" s="16">
        <v>197</v>
      </c>
      <c r="E3" s="16">
        <v>1</v>
      </c>
      <c r="F3" s="16">
        <v>10</v>
      </c>
      <c r="G3" s="16" t="s">
        <v>214</v>
      </c>
      <c r="H3" s="16" t="s">
        <v>215</v>
      </c>
      <c r="I3" s="16">
        <f>IF(OR(Picker!$B$10="Yes",SUMPRODUCT((Picker!$A$5:$A$9&lt;&gt;"")*(Picker!$A$5:$A$9&lt;&gt;"(none)"))=0),1,IF($L3="",0,COUNTIF(Picker!$A$5:$A$9,$L3))+IF($N3="",0,COUNTIF(Picker!$A$5:$A$9,$N3))+IF($P3="",0,COUNTIF(Picker!$A$5:$A$9,$P3)))</f>
      </c>
      <c r="J3" s="16">
        <f>IF($I3=0,"",COUNTIFS($B$2:$B$346,$B3,$I$2:$I$346,"&gt;"&amp;$I3)+COUNTIFS($B$2:$B3,$B3,$I$2:$I3,$I3))</f>
      </c>
      <c r="K3" s="16">
        <f>IF($J3="","",$B3&amp;"#"&amp;$J3)</f>
      </c>
      <c r="L3" s="16" t="s">
        <v>102</v>
      </c>
      <c r="M3" s="16">
        <v>3</v>
      </c>
    </row>
    <row r="4" spans="1:17" x14ac:dyDescent="0.25">
      <c r="A4" s="16" t="s">
        <v>216</v>
      </c>
      <c r="B4" s="16" t="s">
        <v>9</v>
      </c>
      <c r="C4" s="16" t="s">
        <v>217</v>
      </c>
      <c r="D4" s="16">
        <v>197</v>
      </c>
      <c r="E4" s="16">
        <v>1</v>
      </c>
      <c r="F4" s="16">
        <v>10</v>
      </c>
      <c r="G4" s="16" t="s">
        <v>218</v>
      </c>
      <c r="H4" s="16" t="s">
        <v>219</v>
      </c>
      <c r="I4" s="16">
        <f>IF(OR(Picker!$B$10="Yes",SUMPRODUCT((Picker!$A$5:$A$9&lt;&gt;"")*(Picker!$A$5:$A$9&lt;&gt;"(none)"))=0),1,IF($L4="",0,COUNTIF(Picker!$A$5:$A$9,$L4))+IF($N4="",0,COUNTIF(Picker!$A$5:$A$9,$N4))+IF($P4="",0,COUNTIF(Picker!$A$5:$A$9,$P4)))</f>
      </c>
      <c r="J4" s="16">
        <f>IF($I4=0,"",COUNTIFS($B$2:$B$346,$B4,$I$2:$I$346,"&gt;"&amp;$I4)+COUNTIFS($B$2:$B4,$B4,$I$2:$I4,$I4))</f>
      </c>
      <c r="K4" s="16">
        <f>IF($J4="","",$B4&amp;"#"&amp;$J4)</f>
      </c>
      <c r="L4" s="16" t="s">
        <v>190</v>
      </c>
      <c r="M4" s="16">
        <v>1</v>
      </c>
      <c r="N4" s="16" t="s">
        <v>170</v>
      </c>
      <c r="O4" s="16">
        <v>1</v>
      </c>
      <c r="P4" s="16" t="s">
        <v>66</v>
      </c>
      <c r="Q4" s="16">
        <v>1</v>
      </c>
    </row>
    <row r="5" spans="1:15" x14ac:dyDescent="0.25">
      <c r="A5" s="16" t="s">
        <v>220</v>
      </c>
      <c r="B5" s="16" t="s">
        <v>9</v>
      </c>
      <c r="C5" s="16" t="s">
        <v>221</v>
      </c>
      <c r="D5" s="16">
        <v>197</v>
      </c>
      <c r="E5" s="16">
        <v>1</v>
      </c>
      <c r="F5" s="16">
        <v>10</v>
      </c>
      <c r="G5" s="16" t="s">
        <v>222</v>
      </c>
      <c r="H5" s="16" t="s">
        <v>223</v>
      </c>
      <c r="I5" s="16">
        <f>IF(OR(Picker!$B$10="Yes",SUMPRODUCT((Picker!$A$5:$A$9&lt;&gt;"")*(Picker!$A$5:$A$9&lt;&gt;"(none)"))=0),1,IF($L5="",0,COUNTIF(Picker!$A$5:$A$9,$L5))+IF($N5="",0,COUNTIF(Picker!$A$5:$A$9,$N5))+IF($P5="",0,COUNTIF(Picker!$A$5:$A$9,$P5)))</f>
      </c>
      <c r="J5" s="16">
        <f>IF($I5=0,"",COUNTIFS($B$2:$B$346,$B5,$I$2:$I$346,"&gt;"&amp;$I5)+COUNTIFS($B$2:$B5,$B5,$I$2:$I5,$I5))</f>
      </c>
      <c r="K5" s="16">
        <f>IF($J5="","",$B5&amp;"#"&amp;$J5)</f>
      </c>
      <c r="L5" s="16" t="s">
        <v>110</v>
      </c>
      <c r="M5" s="16">
        <v>1</v>
      </c>
      <c r="N5" s="16" t="s">
        <v>109</v>
      </c>
      <c r="O5" s="16">
        <v>2</v>
      </c>
    </row>
    <row r="6" spans="1:15" x14ac:dyDescent="0.25">
      <c r="A6" s="16" t="s">
        <v>224</v>
      </c>
      <c r="B6" s="16" t="s">
        <v>9</v>
      </c>
      <c r="C6" s="16" t="s">
        <v>225</v>
      </c>
      <c r="D6" s="16">
        <v>197</v>
      </c>
      <c r="E6" s="16">
        <v>1</v>
      </c>
      <c r="F6" s="16">
        <v>10</v>
      </c>
      <c r="G6" s="16" t="s">
        <v>226</v>
      </c>
      <c r="H6" s="16" t="s">
        <v>227</v>
      </c>
      <c r="I6" s="16">
        <f>IF(OR(Picker!$B$10="Yes",SUMPRODUCT((Picker!$A$5:$A$9&lt;&gt;"")*(Picker!$A$5:$A$9&lt;&gt;"(none)"))=0),1,IF($L6="",0,COUNTIF(Picker!$A$5:$A$9,$L6))+IF($N6="",0,COUNTIF(Picker!$A$5:$A$9,$N6))+IF($P6="",0,COUNTIF(Picker!$A$5:$A$9,$P6)))</f>
      </c>
      <c r="J6" s="16">
        <f>IF($I6=0,"",COUNTIFS($B$2:$B$346,$B6,$I$2:$I$346,"&gt;"&amp;$I6)+COUNTIFS($B$2:$B6,$B6,$I$2:$I6,$I6))</f>
      </c>
      <c r="K6" s="16">
        <f>IF($J6="","",$B6&amp;"#"&amp;$J6)</f>
      </c>
      <c r="L6" s="16" t="s">
        <v>163</v>
      </c>
      <c r="M6" s="16">
        <v>1</v>
      </c>
      <c r="N6" s="16" t="s">
        <v>164</v>
      </c>
      <c r="O6" s="16">
        <v>1</v>
      </c>
    </row>
    <row r="7" spans="1:17" x14ac:dyDescent="0.25">
      <c r="A7" s="16" t="s">
        <v>228</v>
      </c>
      <c r="B7" s="16" t="s">
        <v>9</v>
      </c>
      <c r="C7" s="16" t="s">
        <v>229</v>
      </c>
      <c r="D7" s="16">
        <v>197</v>
      </c>
      <c r="E7" s="16">
        <v>1</v>
      </c>
      <c r="F7" s="16">
        <v>10</v>
      </c>
      <c r="G7" s="16" t="s">
        <v>230</v>
      </c>
      <c r="H7" s="16" t="s">
        <v>231</v>
      </c>
      <c r="I7" s="16">
        <f>IF(OR(Picker!$B$10="Yes",SUMPRODUCT((Picker!$A$5:$A$9&lt;&gt;"")*(Picker!$A$5:$A$9&lt;&gt;"(none)"))=0),1,IF($L7="",0,COUNTIF(Picker!$A$5:$A$9,$L7))+IF($N7="",0,COUNTIF(Picker!$A$5:$A$9,$N7))+IF($P7="",0,COUNTIF(Picker!$A$5:$A$9,$P7)))</f>
      </c>
      <c r="J7" s="16">
        <f>IF($I7=0,"",COUNTIFS($B$2:$B$346,$B7,$I$2:$I$346,"&gt;"&amp;$I7)+COUNTIFS($B$2:$B7,$B7,$I$2:$I7,$I7))</f>
      </c>
      <c r="K7" s="16">
        <f>IF($J7="","",$B7&amp;"#"&amp;$J7)</f>
      </c>
      <c r="L7" s="16" t="s">
        <v>179</v>
      </c>
      <c r="M7" s="16">
        <v>1</v>
      </c>
      <c r="N7" s="16" t="s">
        <v>157</v>
      </c>
      <c r="O7" s="16">
        <v>1</v>
      </c>
      <c r="P7" s="16" t="s">
        <v>65</v>
      </c>
      <c r="Q7" s="16">
        <v>1</v>
      </c>
    </row>
    <row r="8" spans="1:13" x14ac:dyDescent="0.25">
      <c r="A8" s="16" t="s">
        <v>232</v>
      </c>
      <c r="B8" s="16" t="s">
        <v>9</v>
      </c>
      <c r="C8" s="16" t="s">
        <v>233</v>
      </c>
      <c r="D8" s="16">
        <v>197</v>
      </c>
      <c r="E8" s="16">
        <v>1</v>
      </c>
      <c r="F8" s="16">
        <v>10</v>
      </c>
      <c r="G8" s="16" t="s">
        <v>234</v>
      </c>
      <c r="H8" s="16" t="s">
        <v>235</v>
      </c>
      <c r="I8" s="16">
        <f>IF(OR(Picker!$B$10="Yes",SUMPRODUCT((Picker!$A$5:$A$9&lt;&gt;"")*(Picker!$A$5:$A$9&lt;&gt;"(none)"))=0),1,IF($L8="",0,COUNTIF(Picker!$A$5:$A$9,$L8))+IF($N8="",0,COUNTIF(Picker!$A$5:$A$9,$N8))+IF($P8="",0,COUNTIF(Picker!$A$5:$A$9,$P8)))</f>
      </c>
      <c r="J8" s="16">
        <f>IF($I8=0,"",COUNTIFS($B$2:$B$346,$B8,$I$2:$I$346,"&gt;"&amp;$I8)+COUNTIFS($B$2:$B8,$B8,$I$2:$I8,$I8))</f>
      </c>
      <c r="K8" s="16">
        <f>IF($J8="","",$B8&amp;"#"&amp;$J8)</f>
      </c>
      <c r="L8" s="16" t="s">
        <v>114</v>
      </c>
      <c r="M8" s="16">
        <v>2</v>
      </c>
    </row>
    <row r="9" spans="1:15" x14ac:dyDescent="0.25">
      <c r="A9" s="16" t="s">
        <v>236</v>
      </c>
      <c r="B9" s="16" t="s">
        <v>9</v>
      </c>
      <c r="C9" s="16" t="s">
        <v>237</v>
      </c>
      <c r="D9" s="16">
        <v>197</v>
      </c>
      <c r="E9" s="16">
        <v>1</v>
      </c>
      <c r="F9" s="16">
        <v>10</v>
      </c>
      <c r="G9" s="16" t="s">
        <v>238</v>
      </c>
      <c r="H9" s="16" t="s">
        <v>239</v>
      </c>
      <c r="I9" s="16">
        <f>IF(OR(Picker!$B$10="Yes",SUMPRODUCT((Picker!$A$5:$A$9&lt;&gt;"")*(Picker!$A$5:$A$9&lt;&gt;"(none)"))=0),1,IF($L9="",0,COUNTIF(Picker!$A$5:$A$9,$L9))+IF($N9="",0,COUNTIF(Picker!$A$5:$A$9,$N9))+IF($P9="",0,COUNTIF(Picker!$A$5:$A$9,$P9)))</f>
      </c>
      <c r="J9" s="16">
        <f>IF($I9=0,"",COUNTIFS($B$2:$B$346,$B9,$I$2:$I$346,"&gt;"&amp;$I9)+COUNTIFS($B$2:$B9,$B9,$I$2:$I9,$I9))</f>
      </c>
      <c r="K9" s="16">
        <f>IF($J9="","",$B9&amp;"#"&amp;$J9)</f>
      </c>
      <c r="L9" s="16" t="s">
        <v>155</v>
      </c>
      <c r="M9" s="16">
        <v>1</v>
      </c>
      <c r="N9" s="16" t="s">
        <v>182</v>
      </c>
      <c r="O9" s="16">
        <v>1</v>
      </c>
    </row>
    <row r="10" spans="1:15" x14ac:dyDescent="0.25">
      <c r="A10" s="16" t="s">
        <v>240</v>
      </c>
      <c r="B10" s="16" t="s">
        <v>9</v>
      </c>
      <c r="C10" s="16" t="s">
        <v>241</v>
      </c>
      <c r="D10" s="16">
        <v>197</v>
      </c>
      <c r="E10" s="16">
        <v>1</v>
      </c>
      <c r="F10" s="16">
        <v>10</v>
      </c>
      <c r="G10" s="16" t="s">
        <v>242</v>
      </c>
      <c r="H10" s="16" t="s">
        <v>243</v>
      </c>
      <c r="I10" s="16">
        <f>IF(OR(Picker!$B$10="Yes",SUMPRODUCT((Picker!$A$5:$A$9&lt;&gt;"")*(Picker!$A$5:$A$9&lt;&gt;"(none)"))=0),1,IF($L10="",0,COUNTIF(Picker!$A$5:$A$9,$L10))+IF($N10="",0,COUNTIF(Picker!$A$5:$A$9,$N10))+IF($P10="",0,COUNTIF(Picker!$A$5:$A$9,$P10)))</f>
      </c>
      <c r="J10" s="16">
        <f>IF($I10=0,"",COUNTIFS($B$2:$B$346,$B10,$I$2:$I$346,"&gt;"&amp;$I10)+COUNTIFS($B$2:$B10,$B10,$I$2:$I10,$I10))</f>
      </c>
      <c r="K10" s="16">
        <f>IF($J10="","",$B10&amp;"#"&amp;$J10)</f>
      </c>
      <c r="L10" s="16" t="s">
        <v>104</v>
      </c>
      <c r="M10" s="16">
        <v>1</v>
      </c>
      <c r="N10" s="16" t="s">
        <v>165</v>
      </c>
      <c r="O10" s="16">
        <v>2</v>
      </c>
    </row>
    <row r="11" spans="1:15" x14ac:dyDescent="0.25">
      <c r="A11" s="16" t="s">
        <v>244</v>
      </c>
      <c r="B11" s="16" t="s">
        <v>9</v>
      </c>
      <c r="C11" s="16" t="s">
        <v>245</v>
      </c>
      <c r="D11" s="16">
        <v>197</v>
      </c>
      <c r="E11" s="16">
        <v>1</v>
      </c>
      <c r="F11" s="16">
        <v>10</v>
      </c>
      <c r="G11" s="16" t="s">
        <v>246</v>
      </c>
      <c r="H11" s="16" t="s">
        <v>247</v>
      </c>
      <c r="I11" s="16">
        <f>IF(OR(Picker!$B$10="Yes",SUMPRODUCT((Picker!$A$5:$A$9&lt;&gt;"")*(Picker!$A$5:$A$9&lt;&gt;"(none)"))=0),1,IF($L11="",0,COUNTIF(Picker!$A$5:$A$9,$L11))+IF($N11="",0,COUNTIF(Picker!$A$5:$A$9,$N11))+IF($P11="",0,COUNTIF(Picker!$A$5:$A$9,$P11)))</f>
      </c>
      <c r="J11" s="16">
        <f>IF($I11=0,"",COUNTIFS($B$2:$B$346,$B11,$I$2:$I$346,"&gt;"&amp;$I11)+COUNTIFS($B$2:$B11,$B11,$I$2:$I11,$I11))</f>
      </c>
      <c r="K11" s="16">
        <f>IF($J11="","",$B11&amp;"#"&amp;$J11)</f>
      </c>
      <c r="L11" s="16" t="s">
        <v>97</v>
      </c>
      <c r="M11" s="16">
        <v>1</v>
      </c>
      <c r="N11" s="16" t="s">
        <v>139</v>
      </c>
      <c r="O11" s="16">
        <v>2</v>
      </c>
    </row>
    <row r="12" spans="1:13" x14ac:dyDescent="0.25">
      <c r="A12" s="16" t="s">
        <v>248</v>
      </c>
      <c r="B12" s="16" t="s">
        <v>9</v>
      </c>
      <c r="C12" s="16" t="s">
        <v>249</v>
      </c>
      <c r="D12" s="16">
        <v>197</v>
      </c>
      <c r="E12" s="16">
        <v>2</v>
      </c>
      <c r="F12" s="16">
        <v>10</v>
      </c>
      <c r="G12" s="16" t="s">
        <v>250</v>
      </c>
      <c r="H12" s="16" t="s">
        <v>251</v>
      </c>
      <c r="I12" s="16">
        <f>IF(OR(Picker!$B$10="Yes",SUMPRODUCT((Picker!$A$5:$A$9&lt;&gt;"")*(Picker!$A$5:$A$9&lt;&gt;"(none)"))=0),1,IF($L12="",0,COUNTIF(Picker!$A$5:$A$9,$L12))+IF($N12="",0,COUNTIF(Picker!$A$5:$A$9,$N12))+IF($P12="",0,COUNTIF(Picker!$A$5:$A$9,$P12)))</f>
      </c>
      <c r="J12" s="16">
        <f>IF($I12=0,"",COUNTIFS($B$2:$B$346,$B12,$I$2:$I$346,"&gt;"&amp;$I12)+COUNTIFS($B$2:$B12,$B12,$I$2:$I12,$I12))</f>
      </c>
      <c r="K12" s="16">
        <f>IF($J12="","",$B12&amp;"#"&amp;$J12)</f>
      </c>
      <c r="L12" s="16" t="s">
        <v>167</v>
      </c>
      <c r="M12" s="16">
        <v>2</v>
      </c>
    </row>
    <row r="13" spans="1:15" x14ac:dyDescent="0.25">
      <c r="A13" s="16" t="s">
        <v>252</v>
      </c>
      <c r="B13" s="16" t="s">
        <v>9</v>
      </c>
      <c r="C13" s="16" t="s">
        <v>253</v>
      </c>
      <c r="D13" s="16">
        <v>197</v>
      </c>
      <c r="E13" s="16">
        <v>1</v>
      </c>
      <c r="F13" s="16">
        <v>10</v>
      </c>
      <c r="G13" s="16" t="s">
        <v>254</v>
      </c>
      <c r="H13" s="16" t="s">
        <v>255</v>
      </c>
      <c r="I13" s="16">
        <f>IF(OR(Picker!$B$10="Yes",SUMPRODUCT((Picker!$A$5:$A$9&lt;&gt;"")*(Picker!$A$5:$A$9&lt;&gt;"(none)"))=0),1,IF($L13="",0,COUNTIF(Picker!$A$5:$A$9,$L13))+IF($N13="",0,COUNTIF(Picker!$A$5:$A$9,$N13))+IF($P13="",0,COUNTIF(Picker!$A$5:$A$9,$P13)))</f>
      </c>
      <c r="J13" s="16">
        <f>IF($I13=0,"",COUNTIFS($B$2:$B$346,$B13,$I$2:$I$346,"&gt;"&amp;$I13)+COUNTIFS($B$2:$B13,$B13,$I$2:$I13,$I13))</f>
      </c>
      <c r="K13" s="16">
        <f>IF($J13="","",$B13&amp;"#"&amp;$J13)</f>
      </c>
      <c r="L13" s="16" t="s">
        <v>157</v>
      </c>
      <c r="M13" s="16">
        <v>2</v>
      </c>
      <c r="N13" s="16" t="s">
        <v>71</v>
      </c>
      <c r="O13" s="16">
        <v>1</v>
      </c>
    </row>
    <row r="14" spans="1:13" x14ac:dyDescent="0.25">
      <c r="A14" s="16" t="s">
        <v>256</v>
      </c>
      <c r="B14" s="16" t="s">
        <v>9</v>
      </c>
      <c r="C14" s="16" t="s">
        <v>257</v>
      </c>
      <c r="D14" s="16">
        <v>197</v>
      </c>
      <c r="E14" s="16">
        <v>1</v>
      </c>
      <c r="F14" s="16">
        <v>10</v>
      </c>
      <c r="G14" s="16" t="s">
        <v>258</v>
      </c>
      <c r="H14" s="16" t="s">
        <v>259</v>
      </c>
      <c r="I14" s="16">
        <f>IF(OR(Picker!$B$10="Yes",SUMPRODUCT((Picker!$A$5:$A$9&lt;&gt;"")*(Picker!$A$5:$A$9&lt;&gt;"(none)"))=0),1,IF($L14="",0,COUNTIF(Picker!$A$5:$A$9,$L14))+IF($N14="",0,COUNTIF(Picker!$A$5:$A$9,$N14))+IF($P14="",0,COUNTIF(Picker!$A$5:$A$9,$P14)))</f>
      </c>
      <c r="J14" s="16">
        <f>IF($I14=0,"",COUNTIFS($B$2:$B$346,$B14,$I$2:$I$346,"&gt;"&amp;$I14)+COUNTIFS($B$2:$B14,$B14,$I$2:$I14,$I14))</f>
      </c>
      <c r="K14" s="16">
        <f>IF($J14="","",$B14&amp;"#"&amp;$J14)</f>
      </c>
      <c r="L14" s="16" t="s">
        <v>145</v>
      </c>
      <c r="M14" s="16">
        <v>3</v>
      </c>
    </row>
    <row r="15" spans="1:13" x14ac:dyDescent="0.25">
      <c r="A15" s="16" t="s">
        <v>260</v>
      </c>
      <c r="B15" s="16" t="s">
        <v>9</v>
      </c>
      <c r="C15" s="16" t="s">
        <v>261</v>
      </c>
      <c r="D15" s="16">
        <v>197</v>
      </c>
      <c r="E15" s="16">
        <v>1</v>
      </c>
      <c r="F15" s="16">
        <v>10</v>
      </c>
      <c r="G15" s="16" t="s">
        <v>262</v>
      </c>
      <c r="H15" s="16" t="s">
        <v>263</v>
      </c>
      <c r="I15" s="16">
        <f>IF(OR(Picker!$B$10="Yes",SUMPRODUCT((Picker!$A$5:$A$9&lt;&gt;"")*(Picker!$A$5:$A$9&lt;&gt;"(none)"))=0),1,IF($L15="",0,COUNTIF(Picker!$A$5:$A$9,$L15))+IF($N15="",0,COUNTIF(Picker!$A$5:$A$9,$N15))+IF($P15="",0,COUNTIF(Picker!$A$5:$A$9,$P15)))</f>
      </c>
      <c r="J15" s="16">
        <f>IF($I15=0,"",COUNTIFS($B$2:$B$346,$B15,$I$2:$I$346,"&gt;"&amp;$I15)+COUNTIFS($B$2:$B15,$B15,$I$2:$I15,$I15))</f>
      </c>
      <c r="K15" s="16">
        <f>IF($J15="","",$B15&amp;"#"&amp;$J15)</f>
      </c>
      <c r="L15" s="16" t="s">
        <v>141</v>
      </c>
      <c r="M15" s="16">
        <v>2</v>
      </c>
    </row>
    <row r="16" spans="1:15" x14ac:dyDescent="0.25">
      <c r="A16" s="16" t="s">
        <v>264</v>
      </c>
      <c r="B16" s="16" t="s">
        <v>9</v>
      </c>
      <c r="C16" s="16" t="s">
        <v>265</v>
      </c>
      <c r="D16" s="16">
        <v>197</v>
      </c>
      <c r="E16" s="16">
        <v>1</v>
      </c>
      <c r="F16" s="16">
        <v>10</v>
      </c>
      <c r="G16" s="16" t="s">
        <v>266</v>
      </c>
      <c r="H16" s="16" t="s">
        <v>267</v>
      </c>
      <c r="I16" s="16">
        <f>IF(OR(Picker!$B$10="Yes",SUMPRODUCT((Picker!$A$5:$A$9&lt;&gt;"")*(Picker!$A$5:$A$9&lt;&gt;"(none)"))=0),1,IF($L16="",0,COUNTIF(Picker!$A$5:$A$9,$L16))+IF($N16="",0,COUNTIF(Picker!$A$5:$A$9,$N16))+IF($P16="",0,COUNTIF(Picker!$A$5:$A$9,$P16)))</f>
      </c>
      <c r="J16" s="16">
        <f>IF($I16=0,"",COUNTIFS($B$2:$B$346,$B16,$I$2:$I$346,"&gt;"&amp;$I16)+COUNTIFS($B$2:$B16,$B16,$I$2:$I16,$I16))</f>
      </c>
      <c r="K16" s="16">
        <f>IF($J16="","",$B16&amp;"#"&amp;$J16)</f>
      </c>
      <c r="L16" s="16" t="s">
        <v>151</v>
      </c>
      <c r="M16" s="16">
        <v>1</v>
      </c>
      <c r="N16" s="16" t="s">
        <v>189</v>
      </c>
      <c r="O16" s="16">
        <v>1</v>
      </c>
    </row>
    <row r="17" spans="1:15" x14ac:dyDescent="0.25">
      <c r="A17" s="16" t="s">
        <v>268</v>
      </c>
      <c r="B17" s="16" t="s">
        <v>9</v>
      </c>
      <c r="C17" s="16" t="s">
        <v>269</v>
      </c>
      <c r="D17" s="16">
        <v>197</v>
      </c>
      <c r="E17" s="16">
        <v>1</v>
      </c>
      <c r="F17" s="16">
        <v>10</v>
      </c>
      <c r="G17" s="16" t="s">
        <v>270</v>
      </c>
      <c r="H17" s="16" t="s">
        <v>271</v>
      </c>
      <c r="I17" s="16">
        <f>IF(OR(Picker!$B$10="Yes",SUMPRODUCT((Picker!$A$5:$A$9&lt;&gt;"")*(Picker!$A$5:$A$9&lt;&gt;"(none)"))=0),1,IF($L17="",0,COUNTIF(Picker!$A$5:$A$9,$L17))+IF($N17="",0,COUNTIF(Picker!$A$5:$A$9,$N17))+IF($P17="",0,COUNTIF(Picker!$A$5:$A$9,$P17)))</f>
      </c>
      <c r="J17" s="16">
        <f>IF($I17=0,"",COUNTIFS($B$2:$B$346,$B17,$I$2:$I$346,"&gt;"&amp;$I17)+COUNTIFS($B$2:$B17,$B17,$I$2:$I17,$I17))</f>
      </c>
      <c r="K17" s="16">
        <f>IF($J17="","",$B17&amp;"#"&amp;$J17)</f>
      </c>
      <c r="L17" s="16" t="s">
        <v>170</v>
      </c>
      <c r="M17" s="16">
        <v>2</v>
      </c>
      <c r="N17" s="16" t="s">
        <v>129</v>
      </c>
      <c r="O17" s="16">
        <v>1</v>
      </c>
    </row>
    <row r="18" spans="1:15" x14ac:dyDescent="0.25">
      <c r="A18" s="16" t="s">
        <v>272</v>
      </c>
      <c r="B18" s="16" t="s">
        <v>9</v>
      </c>
      <c r="C18" s="16" t="s">
        <v>273</v>
      </c>
      <c r="D18" s="16">
        <v>197</v>
      </c>
      <c r="E18" s="16">
        <v>1</v>
      </c>
      <c r="F18" s="16">
        <v>10</v>
      </c>
      <c r="G18" s="16" t="s">
        <v>274</v>
      </c>
      <c r="H18" s="16" t="s">
        <v>275</v>
      </c>
      <c r="I18" s="16">
        <f>IF(OR(Picker!$B$10="Yes",SUMPRODUCT((Picker!$A$5:$A$9&lt;&gt;"")*(Picker!$A$5:$A$9&lt;&gt;"(none)"))=0),1,IF($L18="",0,COUNTIF(Picker!$A$5:$A$9,$L18))+IF($N18="",0,COUNTIF(Picker!$A$5:$A$9,$N18))+IF($P18="",0,COUNTIF(Picker!$A$5:$A$9,$P18)))</f>
      </c>
      <c r="J18" s="16">
        <f>IF($I18=0,"",COUNTIFS($B$2:$B$346,$B18,$I$2:$I$346,"&gt;"&amp;$I18)+COUNTIFS($B$2:$B18,$B18,$I$2:$I18,$I18))</f>
      </c>
      <c r="K18" s="16">
        <f>IF($J18="","",$B18&amp;"#"&amp;$J18)</f>
      </c>
      <c r="L18" s="16" t="s">
        <v>159</v>
      </c>
      <c r="M18" s="16">
        <v>1</v>
      </c>
      <c r="N18" s="16" t="s">
        <v>78</v>
      </c>
      <c r="O18" s="16">
        <v>1</v>
      </c>
    </row>
    <row r="19" spans="1:13" x14ac:dyDescent="0.25">
      <c r="A19" s="16" t="s">
        <v>276</v>
      </c>
      <c r="B19" s="16" t="s">
        <v>9</v>
      </c>
      <c r="C19" s="16" t="s">
        <v>277</v>
      </c>
      <c r="D19" s="16">
        <v>197</v>
      </c>
      <c r="E19" s="16">
        <v>1</v>
      </c>
      <c r="F19" s="16">
        <v>10</v>
      </c>
      <c r="G19" s="16" t="s">
        <v>278</v>
      </c>
      <c r="H19" s="16" t="s">
        <v>279</v>
      </c>
      <c r="I19" s="16">
        <f>IF(OR(Picker!$B$10="Yes",SUMPRODUCT((Picker!$A$5:$A$9&lt;&gt;"")*(Picker!$A$5:$A$9&lt;&gt;"(none)"))=0),1,IF($L19="",0,COUNTIF(Picker!$A$5:$A$9,$L19))+IF($N19="",0,COUNTIF(Picker!$A$5:$A$9,$N19))+IF($P19="",0,COUNTIF(Picker!$A$5:$A$9,$P19)))</f>
      </c>
      <c r="J19" s="16">
        <f>IF($I19=0,"",COUNTIFS($B$2:$B$346,$B19,$I$2:$I$346,"&gt;"&amp;$I19)+COUNTIFS($B$2:$B19,$B19,$I$2:$I19,$I19))</f>
      </c>
      <c r="K19" s="16">
        <f>IF($J19="","",$B19&amp;"#"&amp;$J19)</f>
      </c>
      <c r="L19" s="16" t="s">
        <v>121</v>
      </c>
      <c r="M19" s="16">
        <v>2</v>
      </c>
    </row>
    <row r="20" spans="1:15" x14ac:dyDescent="0.25">
      <c r="A20" s="16" t="s">
        <v>280</v>
      </c>
      <c r="B20" s="16" t="s">
        <v>9</v>
      </c>
      <c r="C20" s="16" t="s">
        <v>281</v>
      </c>
      <c r="D20" s="16">
        <v>197</v>
      </c>
      <c r="E20" s="16">
        <v>1</v>
      </c>
      <c r="F20" s="16">
        <v>10</v>
      </c>
      <c r="G20" s="16" t="s">
        <v>282</v>
      </c>
      <c r="H20" s="16" t="s">
        <v>283</v>
      </c>
      <c r="I20" s="16">
        <f>IF(OR(Picker!$B$10="Yes",SUMPRODUCT((Picker!$A$5:$A$9&lt;&gt;"")*(Picker!$A$5:$A$9&lt;&gt;"(none)"))=0),1,IF($L20="",0,COUNTIF(Picker!$A$5:$A$9,$L20))+IF($N20="",0,COUNTIF(Picker!$A$5:$A$9,$N20))+IF($P20="",0,COUNTIF(Picker!$A$5:$A$9,$P20)))</f>
      </c>
      <c r="J20" s="16">
        <f>IF($I20=0,"",COUNTIFS($B$2:$B$346,$B20,$I$2:$I$346,"&gt;"&amp;$I20)+COUNTIFS($B$2:$B20,$B20,$I$2:$I20,$I20))</f>
      </c>
      <c r="K20" s="16">
        <f>IF($J20="","",$B20&amp;"#"&amp;$J20)</f>
      </c>
      <c r="L20" s="16" t="s">
        <v>144</v>
      </c>
      <c r="M20" s="16">
        <v>2</v>
      </c>
      <c r="N20" s="16" t="s">
        <v>158</v>
      </c>
      <c r="O20" s="16">
        <v>1</v>
      </c>
    </row>
    <row r="21" spans="1:15" x14ac:dyDescent="0.25">
      <c r="A21" s="16" t="s">
        <v>284</v>
      </c>
      <c r="B21" s="16" t="s">
        <v>9</v>
      </c>
      <c r="C21" s="16" t="s">
        <v>285</v>
      </c>
      <c r="D21" s="16">
        <v>197</v>
      </c>
      <c r="E21" s="16">
        <v>1</v>
      </c>
      <c r="F21" s="16">
        <v>10</v>
      </c>
      <c r="G21" s="16" t="s">
        <v>286</v>
      </c>
      <c r="H21" s="16" t="s">
        <v>287</v>
      </c>
      <c r="I21" s="16">
        <f>IF(OR(Picker!$B$10="Yes",SUMPRODUCT((Picker!$A$5:$A$9&lt;&gt;"")*(Picker!$A$5:$A$9&lt;&gt;"(none)"))=0),1,IF($L21="",0,COUNTIF(Picker!$A$5:$A$9,$L21))+IF($N21="",0,COUNTIF(Picker!$A$5:$A$9,$N21))+IF($P21="",0,COUNTIF(Picker!$A$5:$A$9,$P21)))</f>
      </c>
      <c r="J21" s="16">
        <f>IF($I21=0,"",COUNTIFS($B$2:$B$346,$B21,$I$2:$I$346,"&gt;"&amp;$I21)+COUNTIFS($B$2:$B21,$B21,$I$2:$I21,$I21))</f>
      </c>
      <c r="K21" s="16">
        <f>IF($J21="","",$B21&amp;"#"&amp;$J21)</f>
      </c>
      <c r="L21" s="16" t="s">
        <v>119</v>
      </c>
      <c r="M21" s="16">
        <v>1</v>
      </c>
      <c r="N21" s="16" t="s">
        <v>186</v>
      </c>
      <c r="O21" s="16">
        <v>1</v>
      </c>
    </row>
    <row r="22" spans="1:15" x14ac:dyDescent="0.25">
      <c r="A22" s="16" t="s">
        <v>288</v>
      </c>
      <c r="B22" s="16" t="s">
        <v>9</v>
      </c>
      <c r="C22" s="16" t="s">
        <v>289</v>
      </c>
      <c r="D22" s="16">
        <v>197</v>
      </c>
      <c r="E22" s="16">
        <v>1</v>
      </c>
      <c r="F22" s="16">
        <v>10</v>
      </c>
      <c r="G22" s="16" t="s">
        <v>290</v>
      </c>
      <c r="H22" s="16" t="s">
        <v>291</v>
      </c>
      <c r="I22" s="16">
        <f>IF(OR(Picker!$B$10="Yes",SUMPRODUCT((Picker!$A$5:$A$9&lt;&gt;"")*(Picker!$A$5:$A$9&lt;&gt;"(none)"))=0),1,IF($L22="",0,COUNTIF(Picker!$A$5:$A$9,$L22))+IF($N22="",0,COUNTIF(Picker!$A$5:$A$9,$N22))+IF($P22="",0,COUNTIF(Picker!$A$5:$A$9,$P22)))</f>
      </c>
      <c r="J22" s="16">
        <f>IF($I22=0,"",COUNTIFS($B$2:$B$346,$B22,$I$2:$I$346,"&gt;"&amp;$I22)+COUNTIFS($B$2:$B22,$B22,$I$2:$I22,$I22))</f>
      </c>
      <c r="K22" s="16">
        <f>IF($J22="","",$B22&amp;"#"&amp;$J22)</f>
      </c>
      <c r="L22" s="16" t="s">
        <v>172</v>
      </c>
      <c r="M22" s="16">
        <v>1</v>
      </c>
      <c r="N22" s="16" t="s">
        <v>174</v>
      </c>
      <c r="O22" s="16">
        <v>2</v>
      </c>
    </row>
    <row r="23" spans="1:13" x14ac:dyDescent="0.25">
      <c r="A23" s="16" t="s">
        <v>292</v>
      </c>
      <c r="B23" s="16" t="s">
        <v>9</v>
      </c>
      <c r="C23" s="16" t="s">
        <v>293</v>
      </c>
      <c r="D23" s="16">
        <v>197</v>
      </c>
      <c r="E23" s="16">
        <v>2</v>
      </c>
      <c r="F23" s="16">
        <v>10</v>
      </c>
      <c r="G23" s="16" t="s">
        <v>294</v>
      </c>
      <c r="H23" s="16" t="s">
        <v>295</v>
      </c>
      <c r="I23" s="16">
        <f>IF(OR(Picker!$B$10="Yes",SUMPRODUCT((Picker!$A$5:$A$9&lt;&gt;"")*(Picker!$A$5:$A$9&lt;&gt;"(none)"))=0),1,IF($L23="",0,COUNTIF(Picker!$A$5:$A$9,$L23))+IF($N23="",0,COUNTIF(Picker!$A$5:$A$9,$N23))+IF($P23="",0,COUNTIF(Picker!$A$5:$A$9,$P23)))</f>
      </c>
      <c r="J23" s="16">
        <f>IF($I23=0,"",COUNTIFS($B$2:$B$346,$B23,$I$2:$I$346,"&gt;"&amp;$I23)+COUNTIFS($B$2:$B23,$B23,$I$2:$I23,$I23))</f>
      </c>
      <c r="K23" s="16">
        <f>IF($J23="","",$B23&amp;"#"&amp;$J23)</f>
      </c>
      <c r="L23" s="16" t="s">
        <v>142</v>
      </c>
      <c r="M23" s="16">
        <v>3</v>
      </c>
    </row>
    <row r="24" spans="1:13" x14ac:dyDescent="0.25">
      <c r="A24" s="16" t="s">
        <v>296</v>
      </c>
      <c r="B24" s="16" t="s">
        <v>9</v>
      </c>
      <c r="C24" s="16" t="s">
        <v>297</v>
      </c>
      <c r="D24" s="16">
        <v>197</v>
      </c>
      <c r="E24" s="16">
        <v>1</v>
      </c>
      <c r="F24" s="16">
        <v>10</v>
      </c>
      <c r="G24" s="16" t="s">
        <v>298</v>
      </c>
      <c r="H24" s="16" t="s">
        <v>299</v>
      </c>
      <c r="I24" s="16">
        <f>IF(OR(Picker!$B$10="Yes",SUMPRODUCT((Picker!$A$5:$A$9&lt;&gt;"")*(Picker!$A$5:$A$9&lt;&gt;"(none)"))=0),1,IF($L24="",0,COUNTIF(Picker!$A$5:$A$9,$L24))+IF($N24="",0,COUNTIF(Picker!$A$5:$A$9,$N24))+IF($P24="",0,COUNTIF(Picker!$A$5:$A$9,$P24)))</f>
      </c>
      <c r="J24" s="16">
        <f>IF($I24=0,"",COUNTIFS($B$2:$B$346,$B24,$I$2:$I$346,"&gt;"&amp;$I24)+COUNTIFS($B$2:$B24,$B24,$I$2:$I24,$I24))</f>
      </c>
      <c r="K24" s="16">
        <f>IF($J24="","",$B24&amp;"#"&amp;$J24)</f>
      </c>
      <c r="L24" s="16" t="s">
        <v>153</v>
      </c>
      <c r="M24" s="16">
        <v>2</v>
      </c>
    </row>
    <row r="25" spans="1:13" x14ac:dyDescent="0.25">
      <c r="A25" s="16" t="s">
        <v>300</v>
      </c>
      <c r="B25" s="16" t="s">
        <v>9</v>
      </c>
      <c r="C25" s="16" t="s">
        <v>301</v>
      </c>
      <c r="D25" s="16">
        <v>197</v>
      </c>
      <c r="E25" s="16">
        <v>2</v>
      </c>
      <c r="F25" s="16">
        <v>10</v>
      </c>
      <c r="G25" s="16" t="s">
        <v>302</v>
      </c>
      <c r="H25" s="16" t="s">
        <v>303</v>
      </c>
      <c r="I25" s="16">
        <f>IF(OR(Picker!$B$10="Yes",SUMPRODUCT((Picker!$A$5:$A$9&lt;&gt;"")*(Picker!$A$5:$A$9&lt;&gt;"(none)"))=0),1,IF($L25="",0,COUNTIF(Picker!$A$5:$A$9,$L25))+IF($N25="",0,COUNTIF(Picker!$A$5:$A$9,$N25))+IF($P25="",0,COUNTIF(Picker!$A$5:$A$9,$P25)))</f>
      </c>
      <c r="J25" s="16">
        <f>IF($I25=0,"",COUNTIFS($B$2:$B$346,$B25,$I$2:$I$346,"&gt;"&amp;$I25)+COUNTIFS($B$2:$B25,$B25,$I$2:$I25,$I25))</f>
      </c>
      <c r="K25" s="16">
        <f>IF($J25="","",$B25&amp;"#"&amp;$J25)</f>
      </c>
      <c r="L25" s="16" t="s">
        <v>180</v>
      </c>
      <c r="M25" s="16">
        <v>3</v>
      </c>
    </row>
    <row r="26" spans="1:15" x14ac:dyDescent="0.25">
      <c r="A26" s="16" t="s">
        <v>304</v>
      </c>
      <c r="B26" s="16" t="s">
        <v>9</v>
      </c>
      <c r="C26" s="16" t="s">
        <v>305</v>
      </c>
      <c r="D26" s="16">
        <v>197</v>
      </c>
      <c r="E26" s="16">
        <v>1</v>
      </c>
      <c r="F26" s="16">
        <v>10</v>
      </c>
      <c r="G26" s="16" t="s">
        <v>306</v>
      </c>
      <c r="H26" s="16" t="s">
        <v>307</v>
      </c>
      <c r="I26" s="16">
        <f>IF(OR(Picker!$B$10="Yes",SUMPRODUCT((Picker!$A$5:$A$9&lt;&gt;"")*(Picker!$A$5:$A$9&lt;&gt;"(none)"))=0),1,IF($L26="",0,COUNTIF(Picker!$A$5:$A$9,$L26))+IF($N26="",0,COUNTIF(Picker!$A$5:$A$9,$N26))+IF($P26="",0,COUNTIF(Picker!$A$5:$A$9,$P26)))</f>
      </c>
      <c r="J26" s="16">
        <f>IF($I26=0,"",COUNTIFS($B$2:$B$346,$B26,$I$2:$I$346,"&gt;"&amp;$I26)+COUNTIFS($B$2:$B26,$B26,$I$2:$I26,$I26))</f>
      </c>
      <c r="K26" s="16">
        <f>IF($J26="","",$B26&amp;"#"&amp;$J26)</f>
      </c>
      <c r="L26" s="16" t="s">
        <v>99</v>
      </c>
      <c r="M26" s="16">
        <v>2</v>
      </c>
      <c r="N26" s="16" t="s">
        <v>158</v>
      </c>
      <c r="O26" s="16">
        <v>1</v>
      </c>
    </row>
    <row r="27" spans="1:13" x14ac:dyDescent="0.25">
      <c r="A27" s="16" t="s">
        <v>308</v>
      </c>
      <c r="B27" s="16" t="s">
        <v>9</v>
      </c>
      <c r="C27" s="16" t="s">
        <v>309</v>
      </c>
      <c r="D27" s="16">
        <v>197</v>
      </c>
      <c r="E27" s="16">
        <v>1</v>
      </c>
      <c r="F27" s="16">
        <v>10</v>
      </c>
      <c r="G27" s="16" t="s">
        <v>310</v>
      </c>
      <c r="H27" s="16" t="s">
        <v>311</v>
      </c>
      <c r="I27" s="16">
        <f>IF(OR(Picker!$B$10="Yes",SUMPRODUCT((Picker!$A$5:$A$9&lt;&gt;"")*(Picker!$A$5:$A$9&lt;&gt;"(none)"))=0),1,IF($L27="",0,COUNTIF(Picker!$A$5:$A$9,$L27))+IF($N27="",0,COUNTIF(Picker!$A$5:$A$9,$N27))+IF($P27="",0,COUNTIF(Picker!$A$5:$A$9,$P27)))</f>
      </c>
      <c r="J27" s="16">
        <f>IF($I27=0,"",COUNTIFS($B$2:$B$346,$B27,$I$2:$I$346,"&gt;"&amp;$I27)+COUNTIFS($B$2:$B27,$B27,$I$2:$I27,$I27))</f>
      </c>
      <c r="K27" s="16">
        <f>IF($J27="","",$B27&amp;"#"&amp;$J27)</f>
      </c>
      <c r="L27" s="16" t="s">
        <v>93</v>
      </c>
      <c r="M27" s="16">
        <v>2</v>
      </c>
    </row>
    <row r="28" spans="1:15" x14ac:dyDescent="0.25">
      <c r="A28" s="16" t="s">
        <v>312</v>
      </c>
      <c r="B28" s="16" t="s">
        <v>9</v>
      </c>
      <c r="C28" s="16" t="s">
        <v>313</v>
      </c>
      <c r="D28" s="16">
        <v>197</v>
      </c>
      <c r="E28" s="16">
        <v>1</v>
      </c>
      <c r="F28" s="16">
        <v>10</v>
      </c>
      <c r="G28" s="16" t="s">
        <v>314</v>
      </c>
      <c r="H28" s="16" t="s">
        <v>315</v>
      </c>
      <c r="I28" s="16">
        <f>IF(OR(Picker!$B$10="Yes",SUMPRODUCT((Picker!$A$5:$A$9&lt;&gt;"")*(Picker!$A$5:$A$9&lt;&gt;"(none)"))=0),1,IF($L28="",0,COUNTIF(Picker!$A$5:$A$9,$L28))+IF($N28="",0,COUNTIF(Picker!$A$5:$A$9,$N28))+IF($P28="",0,COUNTIF(Picker!$A$5:$A$9,$P28)))</f>
      </c>
      <c r="J28" s="16">
        <f>IF($I28=0,"",COUNTIFS($B$2:$B$346,$B28,$I$2:$I$346,"&gt;"&amp;$I28)+COUNTIFS($B$2:$B28,$B28,$I$2:$I28,$I28))</f>
      </c>
      <c r="K28" s="16">
        <f>IF($J28="","",$B28&amp;"#"&amp;$J28)</f>
      </c>
      <c r="L28" s="16" t="s">
        <v>134</v>
      </c>
      <c r="M28" s="16">
        <v>1</v>
      </c>
      <c r="N28" s="16" t="s">
        <v>133</v>
      </c>
      <c r="O28" s="16">
        <v>1</v>
      </c>
    </row>
    <row r="29" spans="1:13" x14ac:dyDescent="0.25">
      <c r="A29" s="16" t="s">
        <v>316</v>
      </c>
      <c r="B29" s="16" t="s">
        <v>9</v>
      </c>
      <c r="C29" s="16" t="s">
        <v>317</v>
      </c>
      <c r="D29" s="16">
        <v>197</v>
      </c>
      <c r="E29" s="16">
        <v>2</v>
      </c>
      <c r="F29" s="16">
        <v>10</v>
      </c>
      <c r="G29" s="16" t="s">
        <v>318</v>
      </c>
      <c r="H29" s="16" t="s">
        <v>319</v>
      </c>
      <c r="I29" s="16">
        <f>IF(OR(Picker!$B$10="Yes",SUMPRODUCT((Picker!$A$5:$A$9&lt;&gt;"")*(Picker!$A$5:$A$9&lt;&gt;"(none)"))=0),1,IF($L29="",0,COUNTIF(Picker!$A$5:$A$9,$L29))+IF($N29="",0,COUNTIF(Picker!$A$5:$A$9,$N29))+IF($P29="",0,COUNTIF(Picker!$A$5:$A$9,$P29)))</f>
      </c>
      <c r="J29" s="16">
        <f>IF($I29=0,"",COUNTIFS($B$2:$B$346,$B29,$I$2:$I$346,"&gt;"&amp;$I29)+COUNTIFS($B$2:$B29,$B29,$I$2:$I29,$I29))</f>
      </c>
      <c r="K29" s="16">
        <f>IF($J29="","",$B29&amp;"#"&amp;$J29)</f>
      </c>
      <c r="L29" s="16" t="s">
        <v>111</v>
      </c>
      <c r="M29" s="16">
        <v>2</v>
      </c>
    </row>
    <row r="30" spans="1:15" x14ac:dyDescent="0.25">
      <c r="A30" s="16" t="s">
        <v>320</v>
      </c>
      <c r="B30" s="16" t="s">
        <v>9</v>
      </c>
      <c r="C30" s="16" t="s">
        <v>321</v>
      </c>
      <c r="D30" s="16">
        <v>197</v>
      </c>
      <c r="E30" s="16">
        <v>2</v>
      </c>
      <c r="F30" s="16">
        <v>10</v>
      </c>
      <c r="G30" s="16" t="s">
        <v>322</v>
      </c>
      <c r="H30" s="16" t="s">
        <v>323</v>
      </c>
      <c r="I30" s="16">
        <f>IF(OR(Picker!$B$10="Yes",SUMPRODUCT((Picker!$A$5:$A$9&lt;&gt;"")*(Picker!$A$5:$A$9&lt;&gt;"(none)"))=0),1,IF($L30="",0,COUNTIF(Picker!$A$5:$A$9,$L30))+IF($N30="",0,COUNTIF(Picker!$A$5:$A$9,$N30))+IF($P30="",0,COUNTIF(Picker!$A$5:$A$9,$P30)))</f>
      </c>
      <c r="J30" s="16">
        <f>IF($I30=0,"",COUNTIFS($B$2:$B$346,$B30,$I$2:$I$346,"&gt;"&amp;$I30)+COUNTIFS($B$2:$B30,$B30,$I$2:$I30,$I30))</f>
      </c>
      <c r="K30" s="16">
        <f>IF($J30="","",$B30&amp;"#"&amp;$J30)</f>
      </c>
      <c r="L30" s="16" t="s">
        <v>191</v>
      </c>
      <c r="M30" s="16">
        <v>1</v>
      </c>
      <c r="N30" s="16" t="s">
        <v>127</v>
      </c>
      <c r="O30" s="16">
        <v>1</v>
      </c>
    </row>
    <row r="31" spans="1:15" x14ac:dyDescent="0.25">
      <c r="A31" s="16" t="s">
        <v>324</v>
      </c>
      <c r="B31" s="16" t="s">
        <v>9</v>
      </c>
      <c r="C31" s="16" t="s">
        <v>325</v>
      </c>
      <c r="D31" s="16">
        <v>197</v>
      </c>
      <c r="E31" s="16">
        <v>1</v>
      </c>
      <c r="F31" s="16">
        <v>10</v>
      </c>
      <c r="G31" s="16" t="s">
        <v>326</v>
      </c>
      <c r="H31" s="16" t="s">
        <v>327</v>
      </c>
      <c r="I31" s="16">
        <f>IF(OR(Picker!$B$10="Yes",SUMPRODUCT((Picker!$A$5:$A$9&lt;&gt;"")*(Picker!$A$5:$A$9&lt;&gt;"(none)"))=0),1,IF($L31="",0,COUNTIF(Picker!$A$5:$A$9,$L31))+IF($N31="",0,COUNTIF(Picker!$A$5:$A$9,$N31))+IF($P31="",0,COUNTIF(Picker!$A$5:$A$9,$P31)))</f>
      </c>
      <c r="J31" s="16">
        <f>IF($I31=0,"",COUNTIFS($B$2:$B$346,$B31,$I$2:$I$346,"&gt;"&amp;$I31)+COUNTIFS($B$2:$B31,$B31,$I$2:$I31,$I31))</f>
      </c>
      <c r="K31" s="16">
        <f>IF($J31="","",$B31&amp;"#"&amp;$J31)</f>
      </c>
      <c r="L31" s="16" t="s">
        <v>157</v>
      </c>
      <c r="M31" s="16">
        <v>1</v>
      </c>
      <c r="N31" s="16" t="s">
        <v>69</v>
      </c>
      <c r="O31" s="16">
        <v>2</v>
      </c>
    </row>
    <row r="32" spans="1:17" x14ac:dyDescent="0.25">
      <c r="A32" s="16" t="s">
        <v>328</v>
      </c>
      <c r="B32" s="16" t="s">
        <v>9</v>
      </c>
      <c r="C32" s="16" t="s">
        <v>329</v>
      </c>
      <c r="D32" s="16">
        <v>197</v>
      </c>
      <c r="E32" s="16">
        <v>1</v>
      </c>
      <c r="F32" s="16">
        <v>10</v>
      </c>
      <c r="G32" s="16" t="s">
        <v>330</v>
      </c>
      <c r="H32" s="16" t="s">
        <v>331</v>
      </c>
      <c r="I32" s="16">
        <f>IF(OR(Picker!$B$10="Yes",SUMPRODUCT((Picker!$A$5:$A$9&lt;&gt;"")*(Picker!$A$5:$A$9&lt;&gt;"(none)"))=0),1,IF($L32="",0,COUNTIF(Picker!$A$5:$A$9,$L32))+IF($N32="",0,COUNTIF(Picker!$A$5:$A$9,$N32))+IF($P32="",0,COUNTIF(Picker!$A$5:$A$9,$P32)))</f>
      </c>
      <c r="J32" s="16">
        <f>IF($I32=0,"",COUNTIFS($B$2:$B$346,$B32,$I$2:$I$346,"&gt;"&amp;$I32)+COUNTIFS($B$2:$B32,$B32,$I$2:$I32,$I32))</f>
      </c>
      <c r="K32" s="16">
        <f>IF($J32="","",$B32&amp;"#"&amp;$J32)</f>
      </c>
      <c r="L32" s="16" t="s">
        <v>117</v>
      </c>
      <c r="M32" s="16">
        <v>1</v>
      </c>
      <c r="N32" s="16" t="s">
        <v>128</v>
      </c>
      <c r="O32" s="16">
        <v>2</v>
      </c>
      <c r="P32" s="16" t="s">
        <v>178</v>
      </c>
      <c r="Q32" s="16">
        <v>1</v>
      </c>
    </row>
    <row r="33" spans="1:15" x14ac:dyDescent="0.25">
      <c r="A33" s="16" t="s">
        <v>332</v>
      </c>
      <c r="B33" s="16" t="s">
        <v>9</v>
      </c>
      <c r="C33" s="16" t="s">
        <v>333</v>
      </c>
      <c r="D33" s="16">
        <v>197</v>
      </c>
      <c r="E33" s="16">
        <v>1</v>
      </c>
      <c r="F33" s="16">
        <v>10</v>
      </c>
      <c r="G33" s="16" t="s">
        <v>334</v>
      </c>
      <c r="H33" s="16" t="s">
        <v>335</v>
      </c>
      <c r="I33" s="16">
        <f>IF(OR(Picker!$B$10="Yes",SUMPRODUCT((Picker!$A$5:$A$9&lt;&gt;"")*(Picker!$A$5:$A$9&lt;&gt;"(none)"))=0),1,IF($L33="",0,COUNTIF(Picker!$A$5:$A$9,$L33))+IF($N33="",0,COUNTIF(Picker!$A$5:$A$9,$N33))+IF($P33="",0,COUNTIF(Picker!$A$5:$A$9,$P33)))</f>
      </c>
      <c r="J33" s="16">
        <f>IF($I33=0,"",COUNTIFS($B$2:$B$346,$B33,$I$2:$I$346,"&gt;"&amp;$I33)+COUNTIFS($B$2:$B33,$B33,$I$2:$I33,$I33))</f>
      </c>
      <c r="K33" s="16">
        <f>IF($J33="","",$B33&amp;"#"&amp;$J33)</f>
      </c>
      <c r="L33" s="16" t="s">
        <v>140</v>
      </c>
      <c r="M33" s="16">
        <v>1</v>
      </c>
      <c r="N33" s="16" t="s">
        <v>173</v>
      </c>
      <c r="O33" s="16">
        <v>1</v>
      </c>
    </row>
    <row r="34" spans="1:17" x14ac:dyDescent="0.25">
      <c r="A34" s="16" t="s">
        <v>336</v>
      </c>
      <c r="B34" s="16" t="s">
        <v>9</v>
      </c>
      <c r="C34" s="16" t="s">
        <v>337</v>
      </c>
      <c r="D34" s="16">
        <v>197</v>
      </c>
      <c r="E34" s="16">
        <v>1</v>
      </c>
      <c r="F34" s="16">
        <v>10</v>
      </c>
      <c r="G34" s="16" t="s">
        <v>338</v>
      </c>
      <c r="H34" s="16" t="s">
        <v>339</v>
      </c>
      <c r="I34" s="16">
        <f>IF(OR(Picker!$B$10="Yes",SUMPRODUCT((Picker!$A$5:$A$9&lt;&gt;"")*(Picker!$A$5:$A$9&lt;&gt;"(none)"))=0),1,IF($L34="",0,COUNTIF(Picker!$A$5:$A$9,$L34))+IF($N34="",0,COUNTIF(Picker!$A$5:$A$9,$N34))+IF($P34="",0,COUNTIF(Picker!$A$5:$A$9,$P34)))</f>
      </c>
      <c r="J34" s="16">
        <f>IF($I34=0,"",COUNTIFS($B$2:$B$346,$B34,$I$2:$I$346,"&gt;"&amp;$I34)+COUNTIFS($B$2:$B34,$B34,$I$2:$I34,$I34))</f>
      </c>
      <c r="K34" s="16">
        <f>IF($J34="","",$B34&amp;"#"&amp;$J34)</f>
      </c>
      <c r="L34" s="16" t="s">
        <v>130</v>
      </c>
      <c r="M34" s="16">
        <v>1</v>
      </c>
      <c r="N34" s="16" t="s">
        <v>107</v>
      </c>
      <c r="O34" s="16">
        <v>1</v>
      </c>
      <c r="P34" s="16" t="s">
        <v>125</v>
      </c>
      <c r="Q34" s="16">
        <v>1</v>
      </c>
    </row>
    <row r="35" spans="1:15" x14ac:dyDescent="0.25">
      <c r="A35" s="16" t="s">
        <v>340</v>
      </c>
      <c r="B35" s="16" t="s">
        <v>9</v>
      </c>
      <c r="C35" s="16" t="s">
        <v>341</v>
      </c>
      <c r="D35" s="16">
        <v>197</v>
      </c>
      <c r="E35" s="16">
        <v>1</v>
      </c>
      <c r="F35" s="16">
        <v>10</v>
      </c>
      <c r="G35" s="16" t="s">
        <v>342</v>
      </c>
      <c r="H35" s="16" t="s">
        <v>343</v>
      </c>
      <c r="I35" s="16">
        <f>IF(OR(Picker!$B$10="Yes",SUMPRODUCT((Picker!$A$5:$A$9&lt;&gt;"")*(Picker!$A$5:$A$9&lt;&gt;"(none)"))=0),1,IF($L35="",0,COUNTIF(Picker!$A$5:$A$9,$L35))+IF($N35="",0,COUNTIF(Picker!$A$5:$A$9,$N35))+IF($P35="",0,COUNTIF(Picker!$A$5:$A$9,$P35)))</f>
      </c>
      <c r="J35" s="16">
        <f>IF($I35=0,"",COUNTIFS($B$2:$B$346,$B35,$I$2:$I$346,"&gt;"&amp;$I35)+COUNTIFS($B$2:$B35,$B35,$I$2:$I35,$I35))</f>
      </c>
      <c r="K35" s="16">
        <f>IF($J35="","",$B35&amp;"#"&amp;$J35)</f>
      </c>
      <c r="L35" s="16" t="s">
        <v>92</v>
      </c>
      <c r="M35" s="16">
        <v>1</v>
      </c>
      <c r="N35" s="16" t="s">
        <v>130</v>
      </c>
      <c r="O35" s="16">
        <v>1</v>
      </c>
    </row>
    <row r="36" spans="1:17" x14ac:dyDescent="0.25">
      <c r="A36" s="16" t="s">
        <v>344</v>
      </c>
      <c r="B36" s="16" t="s">
        <v>9</v>
      </c>
      <c r="C36" s="16" t="s">
        <v>345</v>
      </c>
      <c r="D36" s="16">
        <v>197</v>
      </c>
      <c r="E36" s="16">
        <v>1</v>
      </c>
      <c r="F36" s="16">
        <v>10</v>
      </c>
      <c r="G36" s="16" t="s">
        <v>346</v>
      </c>
      <c r="H36" s="16" t="s">
        <v>347</v>
      </c>
      <c r="I36" s="16">
        <f>IF(OR(Picker!$B$10="Yes",SUMPRODUCT((Picker!$A$5:$A$9&lt;&gt;"")*(Picker!$A$5:$A$9&lt;&gt;"(none)"))=0),1,IF($L36="",0,COUNTIF(Picker!$A$5:$A$9,$L36))+IF($N36="",0,COUNTIF(Picker!$A$5:$A$9,$N36))+IF($P36="",0,COUNTIF(Picker!$A$5:$A$9,$P36)))</f>
      </c>
      <c r="J36" s="16">
        <f>IF($I36=0,"",COUNTIFS($B$2:$B$346,$B36,$I$2:$I$346,"&gt;"&amp;$I36)+COUNTIFS($B$2:$B36,$B36,$I$2:$I36,$I36))</f>
      </c>
      <c r="K36" s="16">
        <f>IF($J36="","",$B36&amp;"#"&amp;$J36)</f>
      </c>
      <c r="L36" s="16" t="s">
        <v>102</v>
      </c>
      <c r="M36" s="16">
        <v>1</v>
      </c>
      <c r="N36" s="16" t="s">
        <v>157</v>
      </c>
      <c r="O36" s="16">
        <v>2</v>
      </c>
      <c r="P36" s="16" t="s">
        <v>126</v>
      </c>
      <c r="Q36" s="16">
        <v>1</v>
      </c>
    </row>
    <row r="37" spans="1:15" x14ac:dyDescent="0.25">
      <c r="A37" s="16" t="s">
        <v>348</v>
      </c>
      <c r="B37" s="16" t="s">
        <v>9</v>
      </c>
      <c r="C37" s="16" t="s">
        <v>349</v>
      </c>
      <c r="D37" s="16">
        <v>197</v>
      </c>
      <c r="E37" s="16">
        <v>1</v>
      </c>
      <c r="F37" s="16">
        <v>10</v>
      </c>
      <c r="G37" s="16" t="s">
        <v>350</v>
      </c>
      <c r="H37" s="16" t="s">
        <v>351</v>
      </c>
      <c r="I37" s="16">
        <f>IF(OR(Picker!$B$10="Yes",SUMPRODUCT((Picker!$A$5:$A$9&lt;&gt;"")*(Picker!$A$5:$A$9&lt;&gt;"(none)"))=0),1,IF($L37="",0,COUNTIF(Picker!$A$5:$A$9,$L37))+IF($N37="",0,COUNTIF(Picker!$A$5:$A$9,$N37))+IF($P37="",0,COUNTIF(Picker!$A$5:$A$9,$P37)))</f>
      </c>
      <c r="J37" s="16">
        <f>IF($I37=0,"",COUNTIFS($B$2:$B$346,$B37,$I$2:$I$346,"&gt;"&amp;$I37)+COUNTIFS($B$2:$B37,$B37,$I$2:$I37,$I37))</f>
      </c>
      <c r="K37" s="16">
        <f>IF($J37="","",$B37&amp;"#"&amp;$J37)</f>
      </c>
      <c r="L37" s="16" t="s">
        <v>104</v>
      </c>
      <c r="M37" s="16">
        <v>1</v>
      </c>
      <c r="N37" s="16" t="s">
        <v>172</v>
      </c>
      <c r="O37" s="16">
        <v>2</v>
      </c>
    </row>
    <row r="38" spans="1:15" x14ac:dyDescent="0.25">
      <c r="A38" s="16" t="s">
        <v>352</v>
      </c>
      <c r="B38" s="16" t="s">
        <v>9</v>
      </c>
      <c r="C38" s="16" t="s">
        <v>353</v>
      </c>
      <c r="D38" s="16">
        <v>197</v>
      </c>
      <c r="E38" s="16">
        <v>1</v>
      </c>
      <c r="F38" s="16">
        <v>10</v>
      </c>
      <c r="G38" s="16" t="s">
        <v>354</v>
      </c>
      <c r="H38" s="16" t="s">
        <v>355</v>
      </c>
      <c r="I38" s="16">
        <f>IF(OR(Picker!$B$10="Yes",SUMPRODUCT((Picker!$A$5:$A$9&lt;&gt;"")*(Picker!$A$5:$A$9&lt;&gt;"(none)"))=0),1,IF($L38="",0,COUNTIF(Picker!$A$5:$A$9,$L38))+IF($N38="",0,COUNTIF(Picker!$A$5:$A$9,$N38))+IF($P38="",0,COUNTIF(Picker!$A$5:$A$9,$P38)))</f>
      </c>
      <c r="J38" s="16">
        <f>IF($I38=0,"",COUNTIFS($B$2:$B$346,$B38,$I$2:$I$346,"&gt;"&amp;$I38)+COUNTIFS($B$2:$B38,$B38,$I$2:$I38,$I38))</f>
      </c>
      <c r="K38" s="16">
        <f>IF($J38="","",$B38&amp;"#"&amp;$J38)</f>
      </c>
      <c r="L38" s="16" t="s">
        <v>124</v>
      </c>
      <c r="M38" s="16">
        <v>1</v>
      </c>
      <c r="N38" s="16" t="s">
        <v>92</v>
      </c>
      <c r="O38" s="16">
        <v>1</v>
      </c>
    </row>
    <row r="39" spans="1:15" x14ac:dyDescent="0.25">
      <c r="A39" s="16" t="s">
        <v>356</v>
      </c>
      <c r="B39" s="16" t="s">
        <v>9</v>
      </c>
      <c r="C39" s="16" t="s">
        <v>357</v>
      </c>
      <c r="D39" s="16">
        <v>197</v>
      </c>
      <c r="E39" s="16">
        <v>1</v>
      </c>
      <c r="F39" s="16">
        <v>10</v>
      </c>
      <c r="G39" s="16" t="s">
        <v>358</v>
      </c>
      <c r="H39" s="16" t="s">
        <v>359</v>
      </c>
      <c r="I39" s="16">
        <f>IF(OR(Picker!$B$10="Yes",SUMPRODUCT((Picker!$A$5:$A$9&lt;&gt;"")*(Picker!$A$5:$A$9&lt;&gt;"(none)"))=0),1,IF($L39="",0,COUNTIF(Picker!$A$5:$A$9,$L39))+IF($N39="",0,COUNTIF(Picker!$A$5:$A$9,$N39))+IF($P39="",0,COUNTIF(Picker!$A$5:$A$9,$P39)))</f>
      </c>
      <c r="J39" s="16">
        <f>IF($I39=0,"",COUNTIFS($B$2:$B$346,$B39,$I$2:$I$346,"&gt;"&amp;$I39)+COUNTIFS($B$2:$B39,$B39,$I$2:$I39,$I39))</f>
      </c>
      <c r="K39" s="16">
        <f>IF($J39="","",$B39&amp;"#"&amp;$J39)</f>
      </c>
      <c r="L39" s="16" t="s">
        <v>123</v>
      </c>
      <c r="M39" s="16">
        <v>1</v>
      </c>
      <c r="N39" s="16" t="s">
        <v>99</v>
      </c>
      <c r="O39" s="16">
        <v>2</v>
      </c>
    </row>
    <row r="40" spans="1:15" x14ac:dyDescent="0.25">
      <c r="A40" s="16" t="s">
        <v>360</v>
      </c>
      <c r="B40" s="16" t="s">
        <v>9</v>
      </c>
      <c r="C40" s="16" t="s">
        <v>361</v>
      </c>
      <c r="D40" s="16">
        <v>197</v>
      </c>
      <c r="E40" s="16">
        <v>1</v>
      </c>
      <c r="F40" s="16">
        <v>10</v>
      </c>
      <c r="G40" s="16" t="s">
        <v>362</v>
      </c>
      <c r="H40" s="16" t="s">
        <v>363</v>
      </c>
      <c r="I40" s="16">
        <f>IF(OR(Picker!$B$10="Yes",SUMPRODUCT((Picker!$A$5:$A$9&lt;&gt;"")*(Picker!$A$5:$A$9&lt;&gt;"(none)"))=0),1,IF($L40="",0,COUNTIF(Picker!$A$5:$A$9,$L40))+IF($N40="",0,COUNTIF(Picker!$A$5:$A$9,$N40))+IF($P40="",0,COUNTIF(Picker!$A$5:$A$9,$P40)))</f>
      </c>
      <c r="J40" s="16">
        <f>IF($I40=0,"",COUNTIFS($B$2:$B$346,$B40,$I$2:$I$346,"&gt;"&amp;$I40)+COUNTIFS($B$2:$B40,$B40,$I$2:$I40,$I40))</f>
      </c>
      <c r="K40" s="16">
        <f>IF($J40="","",$B40&amp;"#"&amp;$J40)</f>
      </c>
      <c r="L40" s="16" t="s">
        <v>89</v>
      </c>
      <c r="M40" s="16">
        <v>2</v>
      </c>
      <c r="N40" s="16" t="s">
        <v>193</v>
      </c>
      <c r="O40" s="16">
        <v>1</v>
      </c>
    </row>
    <row r="41" spans="1:13" x14ac:dyDescent="0.25">
      <c r="A41" s="16" t="s">
        <v>364</v>
      </c>
      <c r="B41" s="16" t="s">
        <v>9</v>
      </c>
      <c r="C41" s="16" t="s">
        <v>365</v>
      </c>
      <c r="D41" s="16">
        <v>197</v>
      </c>
      <c r="E41" s="16">
        <v>1</v>
      </c>
      <c r="F41" s="16">
        <v>10</v>
      </c>
      <c r="G41" s="16" t="s">
        <v>366</v>
      </c>
      <c r="H41" s="16" t="s">
        <v>367</v>
      </c>
      <c r="I41" s="16">
        <f>IF(OR(Picker!$B$10="Yes",SUMPRODUCT((Picker!$A$5:$A$9&lt;&gt;"")*(Picker!$A$5:$A$9&lt;&gt;"(none)"))=0),1,IF($L41="",0,COUNTIF(Picker!$A$5:$A$9,$L41))+IF($N41="",0,COUNTIF(Picker!$A$5:$A$9,$N41))+IF($P41="",0,COUNTIF(Picker!$A$5:$A$9,$P41)))</f>
      </c>
      <c r="J41" s="16">
        <f>IF($I41=0,"",COUNTIFS($B$2:$B$346,$B41,$I$2:$I$346,"&gt;"&amp;$I41)+COUNTIFS($B$2:$B41,$B41,$I$2:$I41,$I41))</f>
      </c>
      <c r="K41" s="16">
        <f>IF($J41="","",$B41&amp;"#"&amp;$J41)</f>
      </c>
      <c r="L41" s="16" t="s">
        <v>162</v>
      </c>
      <c r="M41" s="16">
        <v>2</v>
      </c>
    </row>
    <row r="42" spans="1:15" x14ac:dyDescent="0.25">
      <c r="A42" s="16" t="s">
        <v>368</v>
      </c>
      <c r="B42" s="16" t="s">
        <v>9</v>
      </c>
      <c r="C42" s="16" t="s">
        <v>369</v>
      </c>
      <c r="D42" s="16">
        <v>197</v>
      </c>
      <c r="E42" s="16">
        <v>1</v>
      </c>
      <c r="F42" s="16">
        <v>10</v>
      </c>
      <c r="G42" s="16" t="s">
        <v>370</v>
      </c>
      <c r="H42" s="16" t="s">
        <v>371</v>
      </c>
      <c r="I42" s="16">
        <f>IF(OR(Picker!$B$10="Yes",SUMPRODUCT((Picker!$A$5:$A$9&lt;&gt;"")*(Picker!$A$5:$A$9&lt;&gt;"(none)"))=0),1,IF($L42="",0,COUNTIF(Picker!$A$5:$A$9,$L42))+IF($N42="",0,COUNTIF(Picker!$A$5:$A$9,$N42))+IF($P42="",0,COUNTIF(Picker!$A$5:$A$9,$P42)))</f>
      </c>
      <c r="J42" s="16">
        <f>IF($I42=0,"",COUNTIFS($B$2:$B$346,$B42,$I$2:$I$346,"&gt;"&amp;$I42)+COUNTIFS($B$2:$B42,$B42,$I$2:$I42,$I42))</f>
      </c>
      <c r="K42" s="16">
        <f>IF($J42="","",$B42&amp;"#"&amp;$J42)</f>
      </c>
      <c r="L42" s="16" t="s">
        <v>155</v>
      </c>
      <c r="M42" s="16">
        <v>2</v>
      </c>
      <c r="N42" s="16" t="s">
        <v>74</v>
      </c>
      <c r="O42" s="16">
        <v>1</v>
      </c>
    </row>
    <row r="43" spans="1:15" x14ac:dyDescent="0.25">
      <c r="A43" s="16" t="s">
        <v>372</v>
      </c>
      <c r="B43" s="16" t="s">
        <v>9</v>
      </c>
      <c r="C43" s="16" t="s">
        <v>373</v>
      </c>
      <c r="D43" s="16">
        <v>197</v>
      </c>
      <c r="E43" s="16">
        <v>1</v>
      </c>
      <c r="F43" s="16">
        <v>10</v>
      </c>
      <c r="G43" s="16" t="s">
        <v>374</v>
      </c>
      <c r="H43" s="16" t="s">
        <v>375</v>
      </c>
      <c r="I43" s="16">
        <f>IF(OR(Picker!$B$10="Yes",SUMPRODUCT((Picker!$A$5:$A$9&lt;&gt;"")*(Picker!$A$5:$A$9&lt;&gt;"(none)"))=0),1,IF($L43="",0,COUNTIF(Picker!$A$5:$A$9,$L43))+IF($N43="",0,COUNTIF(Picker!$A$5:$A$9,$N43))+IF($P43="",0,COUNTIF(Picker!$A$5:$A$9,$P43)))</f>
      </c>
      <c r="J43" s="16">
        <f>IF($I43=0,"",COUNTIFS($B$2:$B$346,$B43,$I$2:$I$346,"&gt;"&amp;$I43)+COUNTIFS($B$2:$B43,$B43,$I$2:$I43,$I43))</f>
      </c>
      <c r="K43" s="16">
        <f>IF($J43="","",$B43&amp;"#"&amp;$J43)</f>
      </c>
      <c r="L43" s="16" t="s">
        <v>185</v>
      </c>
      <c r="M43" s="16">
        <v>2</v>
      </c>
      <c r="N43" s="16" t="s">
        <v>131</v>
      </c>
      <c r="O43" s="16">
        <v>1</v>
      </c>
    </row>
    <row r="44" spans="1:17" x14ac:dyDescent="0.25">
      <c r="A44" s="16" t="s">
        <v>376</v>
      </c>
      <c r="B44" s="16" t="s">
        <v>9</v>
      </c>
      <c r="C44" s="16" t="s">
        <v>377</v>
      </c>
      <c r="D44" s="16">
        <v>197</v>
      </c>
      <c r="E44" s="16">
        <v>1</v>
      </c>
      <c r="F44" s="16">
        <v>10</v>
      </c>
      <c r="G44" s="16" t="s">
        <v>378</v>
      </c>
      <c r="H44" s="16" t="s">
        <v>379</v>
      </c>
      <c r="I44" s="16">
        <f>IF(OR(Picker!$B$10="Yes",SUMPRODUCT((Picker!$A$5:$A$9&lt;&gt;"")*(Picker!$A$5:$A$9&lt;&gt;"(none)"))=0),1,IF($L44="",0,COUNTIF(Picker!$A$5:$A$9,$L44))+IF($N44="",0,COUNTIF(Picker!$A$5:$A$9,$N44))+IF($P44="",0,COUNTIF(Picker!$A$5:$A$9,$P44)))</f>
      </c>
      <c r="J44" s="16">
        <f>IF($I44=0,"",COUNTIFS($B$2:$B$346,$B44,$I$2:$I$346,"&gt;"&amp;$I44)+COUNTIFS($B$2:$B44,$B44,$I$2:$I44,$I44))</f>
      </c>
      <c r="K44" s="16">
        <f>IF($J44="","",$B44&amp;"#"&amp;$J44)</f>
      </c>
      <c r="L44" s="16" t="s">
        <v>175</v>
      </c>
      <c r="M44" s="16">
        <v>1</v>
      </c>
      <c r="N44" s="16" t="s">
        <v>148</v>
      </c>
      <c r="O44" s="16">
        <v>1</v>
      </c>
      <c r="P44" s="16" t="s">
        <v>85</v>
      </c>
      <c r="Q44" s="16">
        <v>1</v>
      </c>
    </row>
    <row r="45" spans="1:13" x14ac:dyDescent="0.25">
      <c r="A45" s="16" t="s">
        <v>380</v>
      </c>
      <c r="B45" s="16" t="s">
        <v>9</v>
      </c>
      <c r="C45" s="16" t="s">
        <v>381</v>
      </c>
      <c r="D45" s="16">
        <v>197</v>
      </c>
      <c r="E45" s="16">
        <v>1</v>
      </c>
      <c r="F45" s="16">
        <v>10</v>
      </c>
      <c r="G45" s="16" t="s">
        <v>382</v>
      </c>
      <c r="H45" s="16" t="s">
        <v>383</v>
      </c>
      <c r="I45" s="16">
        <f>IF(OR(Picker!$B$10="Yes",SUMPRODUCT((Picker!$A$5:$A$9&lt;&gt;"")*(Picker!$A$5:$A$9&lt;&gt;"(none)"))=0),1,IF($L45="",0,COUNTIF(Picker!$A$5:$A$9,$L45))+IF($N45="",0,COUNTIF(Picker!$A$5:$A$9,$N45))+IF($P45="",0,COUNTIF(Picker!$A$5:$A$9,$P45)))</f>
      </c>
      <c r="J45" s="16">
        <f>IF($I45=0,"",COUNTIFS($B$2:$B$346,$B45,$I$2:$I$346,"&gt;"&amp;$I45)+COUNTIFS($B$2:$B45,$B45,$I$2:$I45,$I45))</f>
      </c>
      <c r="K45" s="16">
        <f>IF($J45="","",$B45&amp;"#"&amp;$J45)</f>
      </c>
      <c r="L45" s="16" t="s">
        <v>190</v>
      </c>
      <c r="M45" s="16">
        <v>2</v>
      </c>
    </row>
    <row r="46" spans="1:15" x14ac:dyDescent="0.25">
      <c r="A46" s="16" t="s">
        <v>384</v>
      </c>
      <c r="B46" s="16" t="s">
        <v>9</v>
      </c>
      <c r="C46" s="16" t="s">
        <v>385</v>
      </c>
      <c r="D46" s="16">
        <v>197</v>
      </c>
      <c r="E46" s="16">
        <v>1</v>
      </c>
      <c r="F46" s="16">
        <v>10</v>
      </c>
      <c r="G46" s="16" t="s">
        <v>386</v>
      </c>
      <c r="H46" s="16" t="s">
        <v>387</v>
      </c>
      <c r="I46" s="16">
        <f>IF(OR(Picker!$B$10="Yes",SUMPRODUCT((Picker!$A$5:$A$9&lt;&gt;"")*(Picker!$A$5:$A$9&lt;&gt;"(none)"))=0),1,IF($L46="",0,COUNTIF(Picker!$A$5:$A$9,$L46))+IF($N46="",0,COUNTIF(Picker!$A$5:$A$9,$N46))+IF($P46="",0,COUNTIF(Picker!$A$5:$A$9,$P46)))</f>
      </c>
      <c r="J46" s="16">
        <f>IF($I46=0,"",COUNTIFS($B$2:$B$346,$B46,$I$2:$I$346,"&gt;"&amp;$I46)+COUNTIFS($B$2:$B46,$B46,$I$2:$I46,$I46))</f>
      </c>
      <c r="K46" s="16">
        <f>IF($J46="","",$B46&amp;"#"&amp;$J46)</f>
      </c>
      <c r="L46" s="16" t="s">
        <v>112</v>
      </c>
      <c r="M46" s="16">
        <v>1</v>
      </c>
      <c r="N46" s="16" t="s">
        <v>107</v>
      </c>
      <c r="O46" s="16">
        <v>1</v>
      </c>
    </row>
    <row r="47" spans="1:17" x14ac:dyDescent="0.25">
      <c r="A47" s="16" t="s">
        <v>388</v>
      </c>
      <c r="B47" s="16" t="s">
        <v>9</v>
      </c>
      <c r="C47" s="16" t="s">
        <v>389</v>
      </c>
      <c r="D47" s="16">
        <v>197</v>
      </c>
      <c r="E47" s="16">
        <v>1</v>
      </c>
      <c r="F47" s="16">
        <v>10</v>
      </c>
      <c r="G47" s="16" t="s">
        <v>390</v>
      </c>
      <c r="H47" s="16" t="s">
        <v>391</v>
      </c>
      <c r="I47" s="16">
        <f>IF(OR(Picker!$B$10="Yes",SUMPRODUCT((Picker!$A$5:$A$9&lt;&gt;"")*(Picker!$A$5:$A$9&lt;&gt;"(none)"))=0),1,IF($L47="",0,COUNTIF(Picker!$A$5:$A$9,$L47))+IF($N47="",0,COUNTIF(Picker!$A$5:$A$9,$N47))+IF($P47="",0,COUNTIF(Picker!$A$5:$A$9,$P47)))</f>
      </c>
      <c r="J47" s="16">
        <f>IF($I47=0,"",COUNTIFS($B$2:$B$346,$B47,$I$2:$I$346,"&gt;"&amp;$I47)+COUNTIFS($B$2:$B47,$B47,$I$2:$I47,$I47))</f>
      </c>
      <c r="K47" s="16">
        <f>IF($J47="","",$B47&amp;"#"&amp;$J47)</f>
      </c>
      <c r="L47" s="16" t="s">
        <v>92</v>
      </c>
      <c r="M47" s="16">
        <v>2</v>
      </c>
      <c r="N47" s="16" t="s">
        <v>69</v>
      </c>
      <c r="O47" s="16">
        <v>1</v>
      </c>
      <c r="P47" s="16" t="s">
        <v>136</v>
      </c>
      <c r="Q47" s="16">
        <v>1</v>
      </c>
    </row>
    <row r="48" spans="1:13" x14ac:dyDescent="0.25">
      <c r="A48" s="16" t="s">
        <v>392</v>
      </c>
      <c r="B48" s="16" t="s">
        <v>9</v>
      </c>
      <c r="C48" s="16" t="s">
        <v>393</v>
      </c>
      <c r="D48" s="16">
        <v>197</v>
      </c>
      <c r="E48" s="16">
        <v>1</v>
      </c>
      <c r="F48" s="16">
        <v>10</v>
      </c>
      <c r="G48" s="16" t="s">
        <v>394</v>
      </c>
      <c r="H48" s="16" t="s">
        <v>395</v>
      </c>
      <c r="I48" s="16">
        <f>IF(OR(Picker!$B$10="Yes",SUMPRODUCT((Picker!$A$5:$A$9&lt;&gt;"")*(Picker!$A$5:$A$9&lt;&gt;"(none)"))=0),1,IF($L48="",0,COUNTIF(Picker!$A$5:$A$9,$L48))+IF($N48="",0,COUNTIF(Picker!$A$5:$A$9,$N48))+IF($P48="",0,COUNTIF(Picker!$A$5:$A$9,$P48)))</f>
      </c>
      <c r="J48" s="16">
        <f>IF($I48=0,"",COUNTIFS($B$2:$B$346,$B48,$I$2:$I$346,"&gt;"&amp;$I48)+COUNTIFS($B$2:$B48,$B48,$I$2:$I48,$I48))</f>
      </c>
      <c r="K48" s="16">
        <f>IF($J48="","",$B48&amp;"#"&amp;$J48)</f>
      </c>
      <c r="L48" s="16" t="s">
        <v>152</v>
      </c>
      <c r="M48" s="16">
        <v>2</v>
      </c>
    </row>
    <row r="49" spans="1:15" x14ac:dyDescent="0.25">
      <c r="A49" s="16" t="s">
        <v>396</v>
      </c>
      <c r="B49" s="16" t="s">
        <v>9</v>
      </c>
      <c r="C49" s="16" t="s">
        <v>397</v>
      </c>
      <c r="D49" s="16">
        <v>197</v>
      </c>
      <c r="E49" s="16">
        <v>1</v>
      </c>
      <c r="F49" s="16">
        <v>10</v>
      </c>
      <c r="G49" s="16" t="s">
        <v>398</v>
      </c>
      <c r="H49" s="16" t="s">
        <v>399</v>
      </c>
      <c r="I49" s="16">
        <f>IF(OR(Picker!$B$10="Yes",SUMPRODUCT((Picker!$A$5:$A$9&lt;&gt;"")*(Picker!$A$5:$A$9&lt;&gt;"(none)"))=0),1,IF($L49="",0,COUNTIF(Picker!$A$5:$A$9,$L49))+IF($N49="",0,COUNTIF(Picker!$A$5:$A$9,$N49))+IF($P49="",0,COUNTIF(Picker!$A$5:$A$9,$P49)))</f>
      </c>
      <c r="J49" s="16">
        <f>IF($I49=0,"",COUNTIFS($B$2:$B$346,$B49,$I$2:$I$346,"&gt;"&amp;$I49)+COUNTIFS($B$2:$B49,$B49,$I$2:$I49,$I49))</f>
      </c>
      <c r="K49" s="16">
        <f>IF($J49="","",$B49&amp;"#"&amp;$J49)</f>
      </c>
      <c r="L49" s="16" t="s">
        <v>119</v>
      </c>
      <c r="M49" s="16">
        <v>2</v>
      </c>
      <c r="N49" s="16" t="s">
        <v>112</v>
      </c>
      <c r="O49" s="16">
        <v>1</v>
      </c>
    </row>
    <row r="50" spans="1:15" x14ac:dyDescent="0.25">
      <c r="A50" s="16" t="s">
        <v>400</v>
      </c>
      <c r="B50" s="16" t="s">
        <v>9</v>
      </c>
      <c r="C50" s="16" t="s">
        <v>401</v>
      </c>
      <c r="D50" s="16">
        <v>197</v>
      </c>
      <c r="E50" s="16">
        <v>1</v>
      </c>
      <c r="F50" s="16">
        <v>10</v>
      </c>
      <c r="G50" s="16" t="s">
        <v>402</v>
      </c>
      <c r="H50" s="16" t="s">
        <v>403</v>
      </c>
      <c r="I50" s="16">
        <f>IF(OR(Picker!$B$10="Yes",SUMPRODUCT((Picker!$A$5:$A$9&lt;&gt;"")*(Picker!$A$5:$A$9&lt;&gt;"(none)"))=0),1,IF($L50="",0,COUNTIF(Picker!$A$5:$A$9,$L50))+IF($N50="",0,COUNTIF(Picker!$A$5:$A$9,$N50))+IF($P50="",0,COUNTIF(Picker!$A$5:$A$9,$P50)))</f>
      </c>
      <c r="J50" s="16">
        <f>IF($I50=0,"",COUNTIFS($B$2:$B$346,$B50,$I$2:$I$346,"&gt;"&amp;$I50)+COUNTIFS($B$2:$B50,$B50,$I$2:$I50,$I50))</f>
      </c>
      <c r="K50" s="16">
        <f>IF($J50="","",$B50&amp;"#"&amp;$J50)</f>
      </c>
      <c r="L50" s="16" t="s">
        <v>192</v>
      </c>
      <c r="M50" s="16">
        <v>2</v>
      </c>
      <c r="N50" s="16" t="s">
        <v>130</v>
      </c>
      <c r="O50" s="16">
        <v>1</v>
      </c>
    </row>
    <row r="51" spans="1:15" x14ac:dyDescent="0.25">
      <c r="A51" s="16" t="s">
        <v>404</v>
      </c>
      <c r="B51" s="16" t="s">
        <v>9</v>
      </c>
      <c r="C51" s="16" t="s">
        <v>405</v>
      </c>
      <c r="D51" s="16">
        <v>197</v>
      </c>
      <c r="E51" s="16">
        <v>1</v>
      </c>
      <c r="F51" s="16">
        <v>10</v>
      </c>
      <c r="G51" s="16" t="s">
        <v>406</v>
      </c>
      <c r="H51" s="16" t="s">
        <v>407</v>
      </c>
      <c r="I51" s="16">
        <f>IF(OR(Picker!$B$10="Yes",SUMPRODUCT((Picker!$A$5:$A$9&lt;&gt;"")*(Picker!$A$5:$A$9&lt;&gt;"(none)"))=0),1,IF($L51="",0,COUNTIF(Picker!$A$5:$A$9,$L51))+IF($N51="",0,COUNTIF(Picker!$A$5:$A$9,$N51))+IF($P51="",0,COUNTIF(Picker!$A$5:$A$9,$P51)))</f>
      </c>
      <c r="J51" s="16">
        <f>IF($I51=0,"",COUNTIFS($B$2:$B$346,$B51,$I$2:$I$346,"&gt;"&amp;$I51)+COUNTIFS($B$2:$B51,$B51,$I$2:$I51,$I51))</f>
      </c>
      <c r="K51" s="16">
        <f>IF($J51="","",$B51&amp;"#"&amp;$J51)</f>
      </c>
      <c r="L51" s="16" t="s">
        <v>130</v>
      </c>
      <c r="M51" s="16">
        <v>1</v>
      </c>
      <c r="N51" s="16" t="s">
        <v>71</v>
      </c>
      <c r="O51" s="16">
        <v>2</v>
      </c>
    </row>
    <row r="52" spans="1:15" x14ac:dyDescent="0.25">
      <c r="A52" s="16" t="s">
        <v>408</v>
      </c>
      <c r="B52" s="16" t="s">
        <v>9</v>
      </c>
      <c r="C52" s="16" t="s">
        <v>409</v>
      </c>
      <c r="D52" s="16">
        <v>197</v>
      </c>
      <c r="E52" s="16">
        <v>1</v>
      </c>
      <c r="F52" s="16">
        <v>10</v>
      </c>
      <c r="G52" s="16" t="s">
        <v>410</v>
      </c>
      <c r="H52" s="16" t="s">
        <v>411</v>
      </c>
      <c r="I52" s="16">
        <f>IF(OR(Picker!$B$10="Yes",SUMPRODUCT((Picker!$A$5:$A$9&lt;&gt;"")*(Picker!$A$5:$A$9&lt;&gt;"(none)"))=0),1,IF($L52="",0,COUNTIF(Picker!$A$5:$A$9,$L52))+IF($N52="",0,COUNTIF(Picker!$A$5:$A$9,$N52))+IF($P52="",0,COUNTIF(Picker!$A$5:$A$9,$P52)))</f>
      </c>
      <c r="J52" s="16">
        <f>IF($I52=0,"",COUNTIFS($B$2:$B$346,$B52,$I$2:$I$346,"&gt;"&amp;$I52)+COUNTIFS($B$2:$B52,$B52,$I$2:$I52,$I52))</f>
      </c>
      <c r="K52" s="16">
        <f>IF($J52="","",$B52&amp;"#"&amp;$J52)</f>
      </c>
      <c r="L52" s="16" t="s">
        <v>172</v>
      </c>
      <c r="M52" s="16">
        <v>1</v>
      </c>
      <c r="N52" s="16" t="s">
        <v>193</v>
      </c>
      <c r="O52" s="16">
        <v>1</v>
      </c>
    </row>
    <row r="53" spans="1:13" x14ac:dyDescent="0.25">
      <c r="A53" s="16" t="s">
        <v>412</v>
      </c>
      <c r="B53" s="16" t="s">
        <v>9</v>
      </c>
      <c r="C53" s="16" t="s">
        <v>413</v>
      </c>
      <c r="D53" s="16">
        <v>197</v>
      </c>
      <c r="E53" s="16">
        <v>1</v>
      </c>
      <c r="F53" s="16">
        <v>10</v>
      </c>
      <c r="G53" s="16" t="s">
        <v>414</v>
      </c>
      <c r="H53" s="16" t="s">
        <v>415</v>
      </c>
      <c r="I53" s="16">
        <f>IF(OR(Picker!$B$10="Yes",SUMPRODUCT((Picker!$A$5:$A$9&lt;&gt;"")*(Picker!$A$5:$A$9&lt;&gt;"(none)"))=0),1,IF($L53="",0,COUNTIF(Picker!$A$5:$A$9,$L53))+IF($N53="",0,COUNTIF(Picker!$A$5:$A$9,$N53))+IF($P53="",0,COUNTIF(Picker!$A$5:$A$9,$P53)))</f>
      </c>
      <c r="J53" s="16">
        <f>IF($I53=0,"",COUNTIFS($B$2:$B$346,$B53,$I$2:$I$346,"&gt;"&amp;$I53)+COUNTIFS($B$2:$B53,$B53,$I$2:$I53,$I53))</f>
      </c>
      <c r="K53" s="16">
        <f>IF($J53="","",$B53&amp;"#"&amp;$J53)</f>
      </c>
      <c r="L53" s="16" t="s">
        <v>112</v>
      </c>
      <c r="M53" s="16">
        <v>2</v>
      </c>
    </row>
    <row r="54" spans="1:15" x14ac:dyDescent="0.25">
      <c r="A54" s="16" t="s">
        <v>416</v>
      </c>
      <c r="B54" s="16" t="s">
        <v>9</v>
      </c>
      <c r="C54" s="16" t="s">
        <v>417</v>
      </c>
      <c r="D54" s="16">
        <v>197</v>
      </c>
      <c r="E54" s="16">
        <v>1</v>
      </c>
      <c r="F54" s="16">
        <v>10</v>
      </c>
      <c r="G54" s="16" t="s">
        <v>418</v>
      </c>
      <c r="H54" s="16" t="s">
        <v>419</v>
      </c>
      <c r="I54" s="16">
        <f>IF(OR(Picker!$B$10="Yes",SUMPRODUCT((Picker!$A$5:$A$9&lt;&gt;"")*(Picker!$A$5:$A$9&lt;&gt;"(none)"))=0),1,IF($L54="",0,COUNTIF(Picker!$A$5:$A$9,$L54))+IF($N54="",0,COUNTIF(Picker!$A$5:$A$9,$N54))+IF($P54="",0,COUNTIF(Picker!$A$5:$A$9,$P54)))</f>
      </c>
      <c r="J54" s="16">
        <f>IF($I54=0,"",COUNTIFS($B$2:$B$346,$B54,$I$2:$I$346,"&gt;"&amp;$I54)+COUNTIFS($B$2:$B54,$B54,$I$2:$I54,$I54))</f>
      </c>
      <c r="K54" s="16">
        <f>IF($J54="","",$B54&amp;"#"&amp;$J54)</f>
      </c>
      <c r="L54" s="16" t="s">
        <v>72</v>
      </c>
      <c r="M54" s="16">
        <v>2</v>
      </c>
      <c r="N54" s="16" t="s">
        <v>109</v>
      </c>
      <c r="O54" s="16">
        <v>1</v>
      </c>
    </row>
    <row r="55" spans="1:15" x14ac:dyDescent="0.25">
      <c r="A55" s="16" t="s">
        <v>420</v>
      </c>
      <c r="B55" s="16" t="s">
        <v>9</v>
      </c>
      <c r="C55" s="16" t="s">
        <v>421</v>
      </c>
      <c r="D55" s="16">
        <v>197</v>
      </c>
      <c r="E55" s="16">
        <v>1</v>
      </c>
      <c r="F55" s="16">
        <v>10</v>
      </c>
      <c r="G55" s="16" t="s">
        <v>422</v>
      </c>
      <c r="H55" s="16" t="s">
        <v>423</v>
      </c>
      <c r="I55" s="16">
        <f>IF(OR(Picker!$B$10="Yes",SUMPRODUCT((Picker!$A$5:$A$9&lt;&gt;"")*(Picker!$A$5:$A$9&lt;&gt;"(none)"))=0),1,IF($L55="",0,COUNTIF(Picker!$A$5:$A$9,$L55))+IF($N55="",0,COUNTIF(Picker!$A$5:$A$9,$N55))+IF($P55="",0,COUNTIF(Picker!$A$5:$A$9,$P55)))</f>
      </c>
      <c r="J55" s="16">
        <f>IF($I55=0,"",COUNTIFS($B$2:$B$346,$B55,$I$2:$I$346,"&gt;"&amp;$I55)+COUNTIFS($B$2:$B55,$B55,$I$2:$I55,$I55))</f>
      </c>
      <c r="K55" s="16">
        <f>IF($J55="","",$B55&amp;"#"&amp;$J55)</f>
      </c>
      <c r="L55" s="16" t="s">
        <v>119</v>
      </c>
      <c r="M55" s="16">
        <v>2</v>
      </c>
      <c r="N55" s="16" t="s">
        <v>147</v>
      </c>
      <c r="O55" s="16">
        <v>1</v>
      </c>
    </row>
    <row r="56" spans="1:15" x14ac:dyDescent="0.25">
      <c r="A56" s="16" t="s">
        <v>424</v>
      </c>
      <c r="B56" s="16" t="s">
        <v>9</v>
      </c>
      <c r="C56" s="16" t="s">
        <v>425</v>
      </c>
      <c r="D56" s="16">
        <v>197</v>
      </c>
      <c r="E56" s="16">
        <v>1</v>
      </c>
      <c r="F56" s="16">
        <v>10</v>
      </c>
      <c r="G56" s="16" t="s">
        <v>426</v>
      </c>
      <c r="H56" s="16" t="s">
        <v>427</v>
      </c>
      <c r="I56" s="16">
        <f>IF(OR(Picker!$B$10="Yes",SUMPRODUCT((Picker!$A$5:$A$9&lt;&gt;"")*(Picker!$A$5:$A$9&lt;&gt;"(none)"))=0),1,IF($L56="",0,COUNTIF(Picker!$A$5:$A$9,$L56))+IF($N56="",0,COUNTIF(Picker!$A$5:$A$9,$N56))+IF($P56="",0,COUNTIF(Picker!$A$5:$A$9,$P56)))</f>
      </c>
      <c r="J56" s="16">
        <f>IF($I56=0,"",COUNTIFS($B$2:$B$346,$B56,$I$2:$I$346,"&gt;"&amp;$I56)+COUNTIFS($B$2:$B56,$B56,$I$2:$I56,$I56))</f>
      </c>
      <c r="K56" s="16">
        <f>IF($J56="","",$B56&amp;"#"&amp;$J56)</f>
      </c>
      <c r="L56" s="16" t="s">
        <v>73</v>
      </c>
      <c r="M56" s="16">
        <v>1</v>
      </c>
      <c r="N56" s="16" t="s">
        <v>95</v>
      </c>
      <c r="O56" s="16">
        <v>1</v>
      </c>
    </row>
    <row r="57" spans="1:15" x14ac:dyDescent="0.25">
      <c r="A57" s="16" t="s">
        <v>428</v>
      </c>
      <c r="B57" s="16" t="s">
        <v>9</v>
      </c>
      <c r="C57" s="16" t="s">
        <v>429</v>
      </c>
      <c r="D57" s="16">
        <v>197</v>
      </c>
      <c r="E57" s="16">
        <v>1</v>
      </c>
      <c r="F57" s="16">
        <v>10</v>
      </c>
      <c r="G57" s="16" t="s">
        <v>430</v>
      </c>
      <c r="H57" s="16" t="s">
        <v>431</v>
      </c>
      <c r="I57" s="16">
        <f>IF(OR(Picker!$B$10="Yes",SUMPRODUCT((Picker!$A$5:$A$9&lt;&gt;"")*(Picker!$A$5:$A$9&lt;&gt;"(none)"))=0),1,IF($L57="",0,COUNTIF(Picker!$A$5:$A$9,$L57))+IF($N57="",0,COUNTIF(Picker!$A$5:$A$9,$N57))+IF($P57="",0,COUNTIF(Picker!$A$5:$A$9,$P57)))</f>
      </c>
      <c r="J57" s="16">
        <f>IF($I57=0,"",COUNTIFS($B$2:$B$346,$B57,$I$2:$I$346,"&gt;"&amp;$I57)+COUNTIFS($B$2:$B57,$B57,$I$2:$I57,$I57))</f>
      </c>
      <c r="K57" s="16">
        <f>IF($J57="","",$B57&amp;"#"&amp;$J57)</f>
      </c>
      <c r="L57" s="16" t="s">
        <v>154</v>
      </c>
      <c r="M57" s="16">
        <v>2</v>
      </c>
      <c r="N57" s="16" t="s">
        <v>59</v>
      </c>
      <c r="O57" s="16">
        <v>1</v>
      </c>
    </row>
    <row r="58" spans="1:15" x14ac:dyDescent="0.25">
      <c r="A58" s="16" t="s">
        <v>432</v>
      </c>
      <c r="B58" s="16" t="s">
        <v>9</v>
      </c>
      <c r="C58" s="16" t="s">
        <v>433</v>
      </c>
      <c r="D58" s="16">
        <v>197</v>
      </c>
      <c r="E58" s="16">
        <v>1</v>
      </c>
      <c r="F58" s="16">
        <v>10</v>
      </c>
      <c r="G58" s="16" t="s">
        <v>434</v>
      </c>
      <c r="H58" s="16" t="s">
        <v>435</v>
      </c>
      <c r="I58" s="16">
        <f>IF(OR(Picker!$B$10="Yes",SUMPRODUCT((Picker!$A$5:$A$9&lt;&gt;"")*(Picker!$A$5:$A$9&lt;&gt;"(none)"))=0),1,IF($L58="",0,COUNTIF(Picker!$A$5:$A$9,$L58))+IF($N58="",0,COUNTIF(Picker!$A$5:$A$9,$N58))+IF($P58="",0,COUNTIF(Picker!$A$5:$A$9,$P58)))</f>
      </c>
      <c r="J58" s="16">
        <f>IF($I58=0,"",COUNTIFS($B$2:$B$346,$B58,$I$2:$I$346,"&gt;"&amp;$I58)+COUNTIFS($B$2:$B58,$B58,$I$2:$I58,$I58))</f>
      </c>
      <c r="K58" s="16">
        <f>IF($J58="","",$B58&amp;"#"&amp;$J58)</f>
      </c>
      <c r="L58" s="16" t="s">
        <v>123</v>
      </c>
      <c r="M58" s="16">
        <v>2</v>
      </c>
      <c r="N58" s="16" t="s">
        <v>184</v>
      </c>
      <c r="O58" s="16">
        <v>1</v>
      </c>
    </row>
    <row r="59" spans="1:13" x14ac:dyDescent="0.25">
      <c r="A59" s="16" t="s">
        <v>436</v>
      </c>
      <c r="B59" s="16" t="s">
        <v>9</v>
      </c>
      <c r="C59" s="16" t="s">
        <v>437</v>
      </c>
      <c r="D59" s="16">
        <v>197</v>
      </c>
      <c r="E59" s="16">
        <v>1</v>
      </c>
      <c r="F59" s="16">
        <v>10</v>
      </c>
      <c r="G59" s="16" t="s">
        <v>438</v>
      </c>
      <c r="H59" s="16" t="s">
        <v>439</v>
      </c>
      <c r="I59" s="16">
        <f>IF(OR(Picker!$B$10="Yes",SUMPRODUCT((Picker!$A$5:$A$9&lt;&gt;"")*(Picker!$A$5:$A$9&lt;&gt;"(none)"))=0),1,IF($L59="",0,COUNTIF(Picker!$A$5:$A$9,$L59))+IF($N59="",0,COUNTIF(Picker!$A$5:$A$9,$N59))+IF($P59="",0,COUNTIF(Picker!$A$5:$A$9,$P59)))</f>
      </c>
      <c r="J59" s="16">
        <f>IF($I59=0,"",COUNTIFS($B$2:$B$346,$B59,$I$2:$I$346,"&gt;"&amp;$I59)+COUNTIFS($B$2:$B59,$B59,$I$2:$I59,$I59))</f>
      </c>
      <c r="K59" s="16">
        <f>IF($J59="","",$B59&amp;"#"&amp;$J59)</f>
      </c>
      <c r="L59" s="16" t="s">
        <v>91</v>
      </c>
      <c r="M59" s="16">
        <v>2</v>
      </c>
    </row>
    <row r="60" spans="1:13" x14ac:dyDescent="0.25">
      <c r="A60" s="16" t="s">
        <v>440</v>
      </c>
      <c r="B60" s="16" t="s">
        <v>9</v>
      </c>
      <c r="C60" s="16" t="s">
        <v>441</v>
      </c>
      <c r="D60" s="16">
        <v>197</v>
      </c>
      <c r="E60" s="16">
        <v>1</v>
      </c>
      <c r="F60" s="16">
        <v>10</v>
      </c>
      <c r="G60" s="16" t="s">
        <v>442</v>
      </c>
      <c r="H60" s="16" t="s">
        <v>443</v>
      </c>
      <c r="I60" s="16">
        <f>IF(OR(Picker!$B$10="Yes",SUMPRODUCT((Picker!$A$5:$A$9&lt;&gt;"")*(Picker!$A$5:$A$9&lt;&gt;"(none)"))=0),1,IF($L60="",0,COUNTIF(Picker!$A$5:$A$9,$L60))+IF($N60="",0,COUNTIF(Picker!$A$5:$A$9,$N60))+IF($P60="",0,COUNTIF(Picker!$A$5:$A$9,$P60)))</f>
      </c>
      <c r="J60" s="16">
        <f>IF($I60=0,"",COUNTIFS($B$2:$B$346,$B60,$I$2:$I$346,"&gt;"&amp;$I60)+COUNTIFS($B$2:$B60,$B60,$I$2:$I60,$I60))</f>
      </c>
      <c r="K60" s="16">
        <f>IF($J60="","",$B60&amp;"#"&amp;$J60)</f>
      </c>
      <c r="L60" s="16" t="s">
        <v>120</v>
      </c>
      <c r="M60" s="16">
        <v>2</v>
      </c>
    </row>
    <row r="61" spans="1:15" x14ac:dyDescent="0.25">
      <c r="A61" s="16" t="s">
        <v>444</v>
      </c>
      <c r="B61" s="16" t="s">
        <v>9</v>
      </c>
      <c r="C61" s="16" t="s">
        <v>445</v>
      </c>
      <c r="D61" s="16">
        <v>197</v>
      </c>
      <c r="E61" s="16">
        <v>1</v>
      </c>
      <c r="F61" s="16">
        <v>10</v>
      </c>
      <c r="G61" s="16" t="s">
        <v>446</v>
      </c>
      <c r="H61" s="16" t="s">
        <v>447</v>
      </c>
      <c r="I61" s="16">
        <f>IF(OR(Picker!$B$10="Yes",SUMPRODUCT((Picker!$A$5:$A$9&lt;&gt;"")*(Picker!$A$5:$A$9&lt;&gt;"(none)"))=0),1,IF($L61="",0,COUNTIF(Picker!$A$5:$A$9,$L61))+IF($N61="",0,COUNTIF(Picker!$A$5:$A$9,$N61))+IF($P61="",0,COUNTIF(Picker!$A$5:$A$9,$P61)))</f>
      </c>
      <c r="J61" s="16">
        <f>IF($I61=0,"",COUNTIFS($B$2:$B$346,$B61,$I$2:$I$346,"&gt;"&amp;$I61)+COUNTIFS($B$2:$B61,$B61,$I$2:$I61,$I61))</f>
      </c>
      <c r="K61" s="16">
        <f>IF($J61="","",$B61&amp;"#"&amp;$J61)</f>
      </c>
      <c r="L61" s="16" t="s">
        <v>104</v>
      </c>
      <c r="M61" s="16">
        <v>1</v>
      </c>
      <c r="N61" s="16" t="s">
        <v>105</v>
      </c>
      <c r="O61" s="16">
        <v>1</v>
      </c>
    </row>
    <row r="62" spans="1:15" x14ac:dyDescent="0.25">
      <c r="A62" s="16" t="s">
        <v>448</v>
      </c>
      <c r="B62" s="16" t="s">
        <v>9</v>
      </c>
      <c r="C62" s="16" t="s">
        <v>449</v>
      </c>
      <c r="D62" s="16">
        <v>197</v>
      </c>
      <c r="E62" s="16">
        <v>1</v>
      </c>
      <c r="F62" s="16">
        <v>10</v>
      </c>
      <c r="G62" s="16" t="s">
        <v>450</v>
      </c>
      <c r="H62" s="16" t="s">
        <v>451</v>
      </c>
      <c r="I62" s="16">
        <f>IF(OR(Picker!$B$10="Yes",SUMPRODUCT((Picker!$A$5:$A$9&lt;&gt;"")*(Picker!$A$5:$A$9&lt;&gt;"(none)"))=0),1,IF($L62="",0,COUNTIF(Picker!$A$5:$A$9,$L62))+IF($N62="",0,COUNTIF(Picker!$A$5:$A$9,$N62))+IF($P62="",0,COUNTIF(Picker!$A$5:$A$9,$P62)))</f>
      </c>
      <c r="J62" s="16">
        <f>IF($I62=0,"",COUNTIFS($B$2:$B$346,$B62,$I$2:$I$346,"&gt;"&amp;$I62)+COUNTIFS($B$2:$B62,$B62,$I$2:$I62,$I62))</f>
      </c>
      <c r="K62" s="16">
        <f>IF($J62="","",$B62&amp;"#"&amp;$J62)</f>
      </c>
      <c r="L62" s="16" t="s">
        <v>100</v>
      </c>
      <c r="M62" s="16">
        <v>2</v>
      </c>
      <c r="N62" s="16" t="s">
        <v>62</v>
      </c>
      <c r="O62" s="16">
        <v>1</v>
      </c>
    </row>
    <row r="63" spans="1:17" x14ac:dyDescent="0.25">
      <c r="A63" s="16" t="s">
        <v>452</v>
      </c>
      <c r="B63" s="16" t="s">
        <v>9</v>
      </c>
      <c r="C63" s="16" t="s">
        <v>453</v>
      </c>
      <c r="D63" s="16">
        <v>197</v>
      </c>
      <c r="E63" s="16">
        <v>1</v>
      </c>
      <c r="F63" s="16">
        <v>10</v>
      </c>
      <c r="G63" s="16" t="s">
        <v>454</v>
      </c>
      <c r="H63" s="16" t="s">
        <v>455</v>
      </c>
      <c r="I63" s="16">
        <f>IF(OR(Picker!$B$10="Yes",SUMPRODUCT((Picker!$A$5:$A$9&lt;&gt;"")*(Picker!$A$5:$A$9&lt;&gt;"(none)"))=0),1,IF($L63="",0,COUNTIF(Picker!$A$5:$A$9,$L63))+IF($N63="",0,COUNTIF(Picker!$A$5:$A$9,$N63))+IF($P63="",0,COUNTIF(Picker!$A$5:$A$9,$P63)))</f>
      </c>
      <c r="J63" s="16">
        <f>IF($I63=0,"",COUNTIFS($B$2:$B$346,$B63,$I$2:$I$346,"&gt;"&amp;$I63)+COUNTIFS($B$2:$B63,$B63,$I$2:$I63,$I63))</f>
      </c>
      <c r="K63" s="16">
        <f>IF($J63="","",$B63&amp;"#"&amp;$J63)</f>
      </c>
      <c r="L63" s="16" t="s">
        <v>155</v>
      </c>
      <c r="M63" s="16">
        <v>1</v>
      </c>
      <c r="N63" s="16" t="s">
        <v>157</v>
      </c>
      <c r="O63" s="16">
        <v>1</v>
      </c>
      <c r="P63" s="16" t="s">
        <v>135</v>
      </c>
      <c r="Q63" s="16">
        <v>1</v>
      </c>
    </row>
    <row r="64" spans="1:15" x14ac:dyDescent="0.25">
      <c r="A64" s="16" t="s">
        <v>456</v>
      </c>
      <c r="B64" s="16" t="s">
        <v>9</v>
      </c>
      <c r="C64" s="16" t="s">
        <v>457</v>
      </c>
      <c r="D64" s="16">
        <v>197</v>
      </c>
      <c r="E64" s="16">
        <v>1</v>
      </c>
      <c r="F64" s="16">
        <v>10</v>
      </c>
      <c r="G64" s="16" t="s">
        <v>458</v>
      </c>
      <c r="H64" s="16" t="s">
        <v>459</v>
      </c>
      <c r="I64" s="16">
        <f>IF(OR(Picker!$B$10="Yes",SUMPRODUCT((Picker!$A$5:$A$9&lt;&gt;"")*(Picker!$A$5:$A$9&lt;&gt;"(none)"))=0),1,IF($L64="",0,COUNTIF(Picker!$A$5:$A$9,$L64))+IF($N64="",0,COUNTIF(Picker!$A$5:$A$9,$N64))+IF($P64="",0,COUNTIF(Picker!$A$5:$A$9,$P64)))</f>
      </c>
      <c r="J64" s="16">
        <f>IF($I64=0,"",COUNTIFS($B$2:$B$346,$B64,$I$2:$I$346,"&gt;"&amp;$I64)+COUNTIFS($B$2:$B64,$B64,$I$2:$I64,$I64))</f>
      </c>
      <c r="K64" s="16">
        <f>IF($J64="","",$B64&amp;"#"&amp;$J64)</f>
      </c>
      <c r="L64" s="16" t="s">
        <v>89</v>
      </c>
      <c r="M64" s="16">
        <v>1</v>
      </c>
      <c r="N64" s="16" t="s">
        <v>93</v>
      </c>
      <c r="O64" s="16">
        <v>1</v>
      </c>
    </row>
    <row r="65" spans="1:15" x14ac:dyDescent="0.25">
      <c r="A65" s="16" t="s">
        <v>460</v>
      </c>
      <c r="B65" s="16" t="s">
        <v>9</v>
      </c>
      <c r="C65" s="16" t="s">
        <v>461</v>
      </c>
      <c r="D65" s="16">
        <v>197</v>
      </c>
      <c r="E65" s="16">
        <v>1</v>
      </c>
      <c r="F65" s="16">
        <v>10</v>
      </c>
      <c r="G65" s="16" t="s">
        <v>462</v>
      </c>
      <c r="H65" s="16" t="s">
        <v>463</v>
      </c>
      <c r="I65" s="16">
        <f>IF(OR(Picker!$B$10="Yes",SUMPRODUCT((Picker!$A$5:$A$9&lt;&gt;"")*(Picker!$A$5:$A$9&lt;&gt;"(none)"))=0),1,IF($L65="",0,COUNTIF(Picker!$A$5:$A$9,$L65))+IF($N65="",0,COUNTIF(Picker!$A$5:$A$9,$N65))+IF($P65="",0,COUNTIF(Picker!$A$5:$A$9,$P65)))</f>
      </c>
      <c r="J65" s="16">
        <f>IF($I65=0,"",COUNTIFS($B$2:$B$346,$B65,$I$2:$I$346,"&gt;"&amp;$I65)+COUNTIFS($B$2:$B65,$B65,$I$2:$I65,$I65))</f>
      </c>
      <c r="K65" s="16">
        <f>IF($J65="","",$B65&amp;"#"&amp;$J65)</f>
      </c>
      <c r="L65" s="16" t="s">
        <v>179</v>
      </c>
      <c r="M65" s="16">
        <v>2</v>
      </c>
      <c r="N65" s="16" t="s">
        <v>104</v>
      </c>
      <c r="O65" s="16">
        <v>1</v>
      </c>
    </row>
    <row r="66" spans="1:15" x14ac:dyDescent="0.25">
      <c r="A66" s="16" t="s">
        <v>464</v>
      </c>
      <c r="B66" s="16" t="s">
        <v>9</v>
      </c>
      <c r="C66" s="16" t="s">
        <v>465</v>
      </c>
      <c r="D66" s="16">
        <v>197</v>
      </c>
      <c r="E66" s="16">
        <v>1</v>
      </c>
      <c r="F66" s="16">
        <v>10</v>
      </c>
      <c r="G66" s="16" t="s">
        <v>466</v>
      </c>
      <c r="H66" s="16" t="s">
        <v>467</v>
      </c>
      <c r="I66" s="16">
        <f>IF(OR(Picker!$B$10="Yes",SUMPRODUCT((Picker!$A$5:$A$9&lt;&gt;"")*(Picker!$A$5:$A$9&lt;&gt;"(none)"))=0),1,IF($L66="",0,COUNTIF(Picker!$A$5:$A$9,$L66))+IF($N66="",0,COUNTIF(Picker!$A$5:$A$9,$N66))+IF($P66="",0,COUNTIF(Picker!$A$5:$A$9,$P66)))</f>
      </c>
      <c r="J66" s="16">
        <f>IF($I66=0,"",COUNTIFS($B$2:$B$346,$B66,$I$2:$I$346,"&gt;"&amp;$I66)+COUNTIFS($B$2:$B66,$B66,$I$2:$I66,$I66))</f>
      </c>
      <c r="K66" s="16">
        <f>IF($J66="","",$B66&amp;"#"&amp;$J66)</f>
      </c>
      <c r="L66" s="16" t="s">
        <v>169</v>
      </c>
      <c r="M66" s="16">
        <v>2</v>
      </c>
      <c r="N66" s="16" t="s">
        <v>100</v>
      </c>
      <c r="O66" s="16">
        <v>1</v>
      </c>
    </row>
    <row r="67" spans="1:17" x14ac:dyDescent="0.25">
      <c r="A67" s="16" t="s">
        <v>468</v>
      </c>
      <c r="B67" s="16" t="s">
        <v>9</v>
      </c>
      <c r="C67" s="16" t="s">
        <v>469</v>
      </c>
      <c r="D67" s="16">
        <v>197</v>
      </c>
      <c r="E67" s="16">
        <v>1</v>
      </c>
      <c r="F67" s="16">
        <v>10</v>
      </c>
      <c r="G67" s="16" t="s">
        <v>470</v>
      </c>
      <c r="H67" s="16" t="s">
        <v>471</v>
      </c>
      <c r="I67" s="16">
        <f>IF(OR(Picker!$B$10="Yes",SUMPRODUCT((Picker!$A$5:$A$9&lt;&gt;"")*(Picker!$A$5:$A$9&lt;&gt;"(none)"))=0),1,IF($L67="",0,COUNTIF(Picker!$A$5:$A$9,$L67))+IF($N67="",0,COUNTIF(Picker!$A$5:$A$9,$N67))+IF($P67="",0,COUNTIF(Picker!$A$5:$A$9,$P67)))</f>
      </c>
      <c r="J67" s="16">
        <f>IF($I67=0,"",COUNTIFS($B$2:$B$346,$B67,$I$2:$I$346,"&gt;"&amp;$I67)+COUNTIFS($B$2:$B67,$B67,$I$2:$I67,$I67))</f>
      </c>
      <c r="K67" s="16">
        <f>IF($J67="","",$B67&amp;"#"&amp;$J67)</f>
      </c>
      <c r="L67" s="16" t="s">
        <v>69</v>
      </c>
      <c r="M67" s="16">
        <v>1</v>
      </c>
      <c r="N67" s="16" t="s">
        <v>61</v>
      </c>
      <c r="O67" s="16">
        <v>1</v>
      </c>
      <c r="P67" s="16" t="s">
        <v>88</v>
      </c>
      <c r="Q67" s="16">
        <v>1</v>
      </c>
    </row>
    <row r="68" spans="1:15" x14ac:dyDescent="0.25">
      <c r="A68" s="16" t="s">
        <v>472</v>
      </c>
      <c r="B68" s="16" t="s">
        <v>9</v>
      </c>
      <c r="C68" s="16" t="s">
        <v>473</v>
      </c>
      <c r="D68" s="16">
        <v>197</v>
      </c>
      <c r="E68" s="16">
        <v>1</v>
      </c>
      <c r="F68" s="16">
        <v>10</v>
      </c>
      <c r="G68" s="16" t="s">
        <v>474</v>
      </c>
      <c r="H68" s="16" t="s">
        <v>475</v>
      </c>
      <c r="I68" s="16">
        <f>IF(OR(Picker!$B$10="Yes",SUMPRODUCT((Picker!$A$5:$A$9&lt;&gt;"")*(Picker!$A$5:$A$9&lt;&gt;"(none)"))=0),1,IF($L68="",0,COUNTIF(Picker!$A$5:$A$9,$L68))+IF($N68="",0,COUNTIF(Picker!$A$5:$A$9,$N68))+IF($P68="",0,COUNTIF(Picker!$A$5:$A$9,$P68)))</f>
      </c>
      <c r="J68" s="16">
        <f>IF($I68=0,"",COUNTIFS($B$2:$B$346,$B68,$I$2:$I$346,"&gt;"&amp;$I68)+COUNTIFS($B$2:$B68,$B68,$I$2:$I68,$I68))</f>
      </c>
      <c r="K68" s="16">
        <f>IF($J68="","",$B68&amp;"#"&amp;$J68)</f>
      </c>
      <c r="L68" s="16" t="s">
        <v>150</v>
      </c>
      <c r="M68" s="16">
        <v>1</v>
      </c>
      <c r="N68" s="16" t="s">
        <v>134</v>
      </c>
      <c r="O68" s="16">
        <v>1</v>
      </c>
    </row>
    <row r="69" spans="1:13" x14ac:dyDescent="0.25">
      <c r="A69" s="16" t="s">
        <v>476</v>
      </c>
      <c r="B69" s="16" t="s">
        <v>9</v>
      </c>
      <c r="C69" s="16" t="s">
        <v>477</v>
      </c>
      <c r="D69" s="16">
        <v>197</v>
      </c>
      <c r="E69" s="16">
        <v>2</v>
      </c>
      <c r="F69" s="16">
        <v>10</v>
      </c>
      <c r="G69" s="16" t="s">
        <v>478</v>
      </c>
      <c r="H69" s="16" t="s">
        <v>479</v>
      </c>
      <c r="I69" s="16">
        <f>IF(OR(Picker!$B$10="Yes",SUMPRODUCT((Picker!$A$5:$A$9&lt;&gt;"")*(Picker!$A$5:$A$9&lt;&gt;"(none)"))=0),1,IF($L69="",0,COUNTIF(Picker!$A$5:$A$9,$L69))+IF($N69="",0,COUNTIF(Picker!$A$5:$A$9,$N69))+IF($P69="",0,COUNTIF(Picker!$A$5:$A$9,$P69)))</f>
      </c>
      <c r="J69" s="16">
        <f>IF($I69=0,"",COUNTIFS($B$2:$B$346,$B69,$I$2:$I$346,"&gt;"&amp;$I69)+COUNTIFS($B$2:$B69,$B69,$I$2:$I69,$I69))</f>
      </c>
      <c r="K69" s="16">
        <f>IF($J69="","",$B69&amp;"#"&amp;$J69)</f>
      </c>
      <c r="L69" s="16" t="s">
        <v>150</v>
      </c>
      <c r="M69" s="16">
        <v>2</v>
      </c>
    </row>
    <row r="70" spans="1:15" x14ac:dyDescent="0.25">
      <c r="A70" s="16" t="s">
        <v>480</v>
      </c>
      <c r="B70" s="16" t="s">
        <v>9</v>
      </c>
      <c r="C70" s="16" t="s">
        <v>481</v>
      </c>
      <c r="D70" s="16">
        <v>197</v>
      </c>
      <c r="E70" s="16">
        <v>1</v>
      </c>
      <c r="F70" s="16">
        <v>10</v>
      </c>
      <c r="G70" s="16" t="s">
        <v>482</v>
      </c>
      <c r="H70" s="16" t="s">
        <v>483</v>
      </c>
      <c r="I70" s="16">
        <f>IF(OR(Picker!$B$10="Yes",SUMPRODUCT((Picker!$A$5:$A$9&lt;&gt;"")*(Picker!$A$5:$A$9&lt;&gt;"(none)"))=0),1,IF($L70="",0,COUNTIF(Picker!$A$5:$A$9,$L70))+IF($N70="",0,COUNTIF(Picker!$A$5:$A$9,$N70))+IF($P70="",0,COUNTIF(Picker!$A$5:$A$9,$P70)))</f>
      </c>
      <c r="J70" s="16">
        <f>IF($I70=0,"",COUNTIFS($B$2:$B$346,$B70,$I$2:$I$346,"&gt;"&amp;$I70)+COUNTIFS($B$2:$B70,$B70,$I$2:$I70,$I70))</f>
      </c>
      <c r="K70" s="16">
        <f>IF($J70="","",$B70&amp;"#"&amp;$J70)</f>
      </c>
      <c r="L70" s="16" t="s">
        <v>84</v>
      </c>
      <c r="M70" s="16">
        <v>1</v>
      </c>
      <c r="N70" s="16" t="s">
        <v>106</v>
      </c>
      <c r="O70" s="16">
        <v>1</v>
      </c>
    </row>
    <row r="71" spans="1:15" x14ac:dyDescent="0.25">
      <c r="A71" s="16" t="s">
        <v>484</v>
      </c>
      <c r="B71" s="16" t="s">
        <v>10</v>
      </c>
      <c r="C71" s="16" t="s">
        <v>209</v>
      </c>
      <c r="D71" s="16">
        <v>197</v>
      </c>
      <c r="E71" s="16">
        <v>1</v>
      </c>
      <c r="F71" s="16">
        <v>10</v>
      </c>
      <c r="G71" s="16" t="s">
        <v>485</v>
      </c>
      <c r="H71" s="16" t="s">
        <v>486</v>
      </c>
      <c r="I71" s="16">
        <f>IF(OR(Picker!$B$10="Yes",SUMPRODUCT((Picker!$A$5:$A$9&lt;&gt;"")*(Picker!$A$5:$A$9&lt;&gt;"(none)"))=0),1,IF($L71="",0,COUNTIF(Picker!$A$5:$A$9,$L71))+IF($N71="",0,COUNTIF(Picker!$A$5:$A$9,$N71))+IF($P71="",0,COUNTIF(Picker!$A$5:$A$9,$P71)))</f>
      </c>
      <c r="J71" s="16">
        <f>IF($I71=0,"",COUNTIFS($B$2:$B$346,$B71,$I$2:$I$346,"&gt;"&amp;$I71)+COUNTIFS($B$2:$B71,$B71,$I$2:$I71,$I71))</f>
      </c>
      <c r="K71" s="16">
        <f>IF($J71="","",$B71&amp;"#"&amp;$J71)</f>
      </c>
      <c r="L71" s="16" t="s">
        <v>114</v>
      </c>
      <c r="M71" s="16">
        <v>1</v>
      </c>
      <c r="N71" s="16" t="s">
        <v>98</v>
      </c>
      <c r="O71" s="16">
        <v>1</v>
      </c>
    </row>
    <row r="72" spans="1:13" x14ac:dyDescent="0.25">
      <c r="A72" s="16" t="s">
        <v>487</v>
      </c>
      <c r="B72" s="16" t="s">
        <v>10</v>
      </c>
      <c r="C72" s="16" t="s">
        <v>213</v>
      </c>
      <c r="D72" s="16">
        <v>197</v>
      </c>
      <c r="E72" s="16">
        <v>1</v>
      </c>
      <c r="F72" s="16">
        <v>10</v>
      </c>
      <c r="G72" s="16" t="s">
        <v>488</v>
      </c>
      <c r="H72" s="16" t="s">
        <v>489</v>
      </c>
      <c r="I72" s="16">
        <f>IF(OR(Picker!$B$10="Yes",SUMPRODUCT((Picker!$A$5:$A$9&lt;&gt;"")*(Picker!$A$5:$A$9&lt;&gt;"(none)"))=0),1,IF($L72="",0,COUNTIF(Picker!$A$5:$A$9,$L72))+IF($N72="",0,COUNTIF(Picker!$A$5:$A$9,$N72))+IF($P72="",0,COUNTIF(Picker!$A$5:$A$9,$P72)))</f>
      </c>
      <c r="J72" s="16">
        <f>IF($I72=0,"",COUNTIFS($B$2:$B$346,$B72,$I$2:$I$346,"&gt;"&amp;$I72)+COUNTIFS($B$2:$B72,$B72,$I$2:$I72,$I72))</f>
      </c>
      <c r="K72" s="16">
        <f>IF($J72="","",$B72&amp;"#"&amp;$J72)</f>
      </c>
      <c r="L72" s="16" t="s">
        <v>182</v>
      </c>
      <c r="M72" s="16">
        <v>2</v>
      </c>
    </row>
    <row r="73" spans="1:15" x14ac:dyDescent="0.25">
      <c r="A73" s="16" t="s">
        <v>490</v>
      </c>
      <c r="B73" s="16" t="s">
        <v>10</v>
      </c>
      <c r="C73" s="16" t="s">
        <v>217</v>
      </c>
      <c r="D73" s="16">
        <v>197</v>
      </c>
      <c r="E73" s="16">
        <v>1</v>
      </c>
      <c r="F73" s="16">
        <v>10</v>
      </c>
      <c r="G73" s="16" t="s">
        <v>491</v>
      </c>
      <c r="H73" s="16" t="s">
        <v>492</v>
      </c>
      <c r="I73" s="16">
        <f>IF(OR(Picker!$B$10="Yes",SUMPRODUCT((Picker!$A$5:$A$9&lt;&gt;"")*(Picker!$A$5:$A$9&lt;&gt;"(none)"))=0),1,IF($L73="",0,COUNTIF(Picker!$A$5:$A$9,$L73))+IF($N73="",0,COUNTIF(Picker!$A$5:$A$9,$N73))+IF($P73="",0,COUNTIF(Picker!$A$5:$A$9,$P73)))</f>
      </c>
      <c r="J73" s="16">
        <f>IF($I73=0,"",COUNTIFS($B$2:$B$346,$B73,$I$2:$I$346,"&gt;"&amp;$I73)+COUNTIFS($B$2:$B73,$B73,$I$2:$I73,$I73))</f>
      </c>
      <c r="K73" s="16">
        <f>IF($J73="","",$B73&amp;"#"&amp;$J73)</f>
      </c>
      <c r="L73" s="16" t="s">
        <v>190</v>
      </c>
      <c r="M73" s="16">
        <v>2</v>
      </c>
      <c r="N73" s="16" t="s">
        <v>66</v>
      </c>
      <c r="O73" s="16">
        <v>1</v>
      </c>
    </row>
    <row r="74" spans="1:13" x14ac:dyDescent="0.25">
      <c r="A74" s="16" t="s">
        <v>493</v>
      </c>
      <c r="B74" s="16" t="s">
        <v>10</v>
      </c>
      <c r="C74" s="16" t="s">
        <v>221</v>
      </c>
      <c r="D74" s="16">
        <v>197</v>
      </c>
      <c r="E74" s="16">
        <v>1</v>
      </c>
      <c r="F74" s="16">
        <v>10</v>
      </c>
      <c r="G74" s="16" t="s">
        <v>494</v>
      </c>
      <c r="H74" s="16" t="s">
        <v>495</v>
      </c>
      <c r="I74" s="16">
        <f>IF(OR(Picker!$B$10="Yes",SUMPRODUCT((Picker!$A$5:$A$9&lt;&gt;"")*(Picker!$A$5:$A$9&lt;&gt;"(none)"))=0),1,IF($L74="",0,COUNTIF(Picker!$A$5:$A$9,$L74))+IF($N74="",0,COUNTIF(Picker!$A$5:$A$9,$N74))+IF($P74="",0,COUNTIF(Picker!$A$5:$A$9,$P74)))</f>
      </c>
      <c r="J74" s="16">
        <f>IF($I74=0,"",COUNTIFS($B$2:$B$346,$B74,$I$2:$I$346,"&gt;"&amp;$I74)+COUNTIFS($B$2:$B74,$B74,$I$2:$I74,$I74))</f>
      </c>
      <c r="K74" s="16">
        <f>IF($J74="","",$B74&amp;"#"&amp;$J74)</f>
      </c>
      <c r="L74" s="16" t="s">
        <v>172</v>
      </c>
      <c r="M74" s="16">
        <v>2</v>
      </c>
    </row>
    <row r="75" spans="1:13" x14ac:dyDescent="0.25">
      <c r="A75" s="16" t="s">
        <v>496</v>
      </c>
      <c r="B75" s="16" t="s">
        <v>10</v>
      </c>
      <c r="C75" s="16" t="s">
        <v>225</v>
      </c>
      <c r="D75" s="16">
        <v>197</v>
      </c>
      <c r="E75" s="16">
        <v>1</v>
      </c>
      <c r="F75" s="16">
        <v>10</v>
      </c>
      <c r="G75" s="16" t="s">
        <v>497</v>
      </c>
      <c r="H75" s="16" t="s">
        <v>498</v>
      </c>
      <c r="I75" s="16">
        <f>IF(OR(Picker!$B$10="Yes",SUMPRODUCT((Picker!$A$5:$A$9&lt;&gt;"")*(Picker!$A$5:$A$9&lt;&gt;"(none)"))=0),1,IF($L75="",0,COUNTIF(Picker!$A$5:$A$9,$L75))+IF($N75="",0,COUNTIF(Picker!$A$5:$A$9,$N75))+IF($P75="",0,COUNTIF(Picker!$A$5:$A$9,$P75)))</f>
      </c>
      <c r="J75" s="16">
        <f>IF($I75=0,"",COUNTIFS($B$2:$B$346,$B75,$I$2:$I$346,"&gt;"&amp;$I75)+COUNTIFS($B$2:$B75,$B75,$I$2:$I75,$I75))</f>
      </c>
      <c r="K75" s="16">
        <f>IF($J75="","",$B75&amp;"#"&amp;$J75)</f>
      </c>
      <c r="L75" s="16" t="s">
        <v>164</v>
      </c>
      <c r="M75" s="16">
        <v>3</v>
      </c>
    </row>
    <row r="76" spans="1:15" x14ac:dyDescent="0.25">
      <c r="A76" s="16" t="s">
        <v>499</v>
      </c>
      <c r="B76" s="16" t="s">
        <v>10</v>
      </c>
      <c r="C76" s="16" t="s">
        <v>229</v>
      </c>
      <c r="D76" s="16">
        <v>197</v>
      </c>
      <c r="E76" s="16">
        <v>1</v>
      </c>
      <c r="F76" s="16">
        <v>10</v>
      </c>
      <c r="G76" s="16" t="s">
        <v>500</v>
      </c>
      <c r="H76" s="16" t="s">
        <v>501</v>
      </c>
      <c r="I76" s="16">
        <f>IF(OR(Picker!$B$10="Yes",SUMPRODUCT((Picker!$A$5:$A$9&lt;&gt;"")*(Picker!$A$5:$A$9&lt;&gt;"(none)"))=0),1,IF($L76="",0,COUNTIF(Picker!$A$5:$A$9,$L76))+IF($N76="",0,COUNTIF(Picker!$A$5:$A$9,$N76))+IF($P76="",0,COUNTIF(Picker!$A$5:$A$9,$P76)))</f>
      </c>
      <c r="J76" s="16">
        <f>IF($I76=0,"",COUNTIFS($B$2:$B$346,$B76,$I$2:$I$346,"&gt;"&amp;$I76)+COUNTIFS($B$2:$B76,$B76,$I$2:$I76,$I76))</f>
      </c>
      <c r="K76" s="16">
        <f>IF($J76="","",$B76&amp;"#"&amp;$J76)</f>
      </c>
      <c r="L76" s="16" t="s">
        <v>146</v>
      </c>
      <c r="M76" s="16">
        <v>2</v>
      </c>
      <c r="N76" s="16" t="s">
        <v>65</v>
      </c>
      <c r="O76" s="16">
        <v>1</v>
      </c>
    </row>
    <row r="77" spans="1:15" x14ac:dyDescent="0.25">
      <c r="A77" s="16" t="s">
        <v>502</v>
      </c>
      <c r="B77" s="16" t="s">
        <v>10</v>
      </c>
      <c r="C77" s="16" t="s">
        <v>233</v>
      </c>
      <c r="D77" s="16">
        <v>197</v>
      </c>
      <c r="E77" s="16">
        <v>1</v>
      </c>
      <c r="F77" s="16">
        <v>10</v>
      </c>
      <c r="G77" s="16" t="s">
        <v>503</v>
      </c>
      <c r="H77" s="16" t="s">
        <v>504</v>
      </c>
      <c r="I77" s="16">
        <f>IF(OR(Picker!$B$10="Yes",SUMPRODUCT((Picker!$A$5:$A$9&lt;&gt;"")*(Picker!$A$5:$A$9&lt;&gt;"(none)"))=0),1,IF($L77="",0,COUNTIF(Picker!$A$5:$A$9,$L77))+IF($N77="",0,COUNTIF(Picker!$A$5:$A$9,$N77))+IF($P77="",0,COUNTIF(Picker!$A$5:$A$9,$P77)))</f>
      </c>
      <c r="J77" s="16">
        <f>IF($I77=0,"",COUNTIFS($B$2:$B$346,$B77,$I$2:$I$346,"&gt;"&amp;$I77)+COUNTIFS($B$2:$B77,$B77,$I$2:$I77,$I77))</f>
      </c>
      <c r="K77" s="16">
        <f>IF($J77="","",$B77&amp;"#"&amp;$J77)</f>
      </c>
      <c r="L77" s="16" t="s">
        <v>97</v>
      </c>
      <c r="M77" s="16">
        <v>2</v>
      </c>
      <c r="N77" s="16" t="s">
        <v>166</v>
      </c>
      <c r="O77" s="16">
        <v>1</v>
      </c>
    </row>
    <row r="78" spans="1:15" x14ac:dyDescent="0.25">
      <c r="A78" s="16" t="s">
        <v>505</v>
      </c>
      <c r="B78" s="16" t="s">
        <v>10</v>
      </c>
      <c r="C78" s="16" t="s">
        <v>237</v>
      </c>
      <c r="D78" s="16">
        <v>197</v>
      </c>
      <c r="E78" s="16">
        <v>1</v>
      </c>
      <c r="F78" s="16">
        <v>10</v>
      </c>
      <c r="G78" s="16" t="s">
        <v>506</v>
      </c>
      <c r="H78" s="16" t="s">
        <v>507</v>
      </c>
      <c r="I78" s="16">
        <f>IF(OR(Picker!$B$10="Yes",SUMPRODUCT((Picker!$A$5:$A$9&lt;&gt;"")*(Picker!$A$5:$A$9&lt;&gt;"(none)"))=0),1,IF($L78="",0,COUNTIF(Picker!$A$5:$A$9,$L78))+IF($N78="",0,COUNTIF(Picker!$A$5:$A$9,$N78))+IF($P78="",0,COUNTIF(Picker!$A$5:$A$9,$P78)))</f>
      </c>
      <c r="J78" s="16">
        <f>IF($I78=0,"",COUNTIFS($B$2:$B$346,$B78,$I$2:$I$346,"&gt;"&amp;$I78)+COUNTIFS($B$2:$B78,$B78,$I$2:$I78,$I78))</f>
      </c>
      <c r="K78" s="16">
        <f>IF($J78="","",$B78&amp;"#"&amp;$J78)</f>
      </c>
      <c r="L78" s="16" t="s">
        <v>89</v>
      </c>
      <c r="M78" s="16">
        <v>1</v>
      </c>
      <c r="N78" s="16" t="s">
        <v>144</v>
      </c>
      <c r="O78" s="16">
        <v>1</v>
      </c>
    </row>
    <row r="79" spans="1:15" x14ac:dyDescent="0.25">
      <c r="A79" s="16" t="s">
        <v>508</v>
      </c>
      <c r="B79" s="16" t="s">
        <v>10</v>
      </c>
      <c r="C79" s="16" t="s">
        <v>241</v>
      </c>
      <c r="D79" s="16">
        <v>197</v>
      </c>
      <c r="E79" s="16">
        <v>1</v>
      </c>
      <c r="F79" s="16">
        <v>10</v>
      </c>
      <c r="G79" s="16" t="s">
        <v>509</v>
      </c>
      <c r="H79" s="16" t="s">
        <v>510</v>
      </c>
      <c r="I79" s="16">
        <f>IF(OR(Picker!$B$10="Yes",SUMPRODUCT((Picker!$A$5:$A$9&lt;&gt;"")*(Picker!$A$5:$A$9&lt;&gt;"(none)"))=0),1,IF($L79="",0,COUNTIF(Picker!$A$5:$A$9,$L79))+IF($N79="",0,COUNTIF(Picker!$A$5:$A$9,$N79))+IF($P79="",0,COUNTIF(Picker!$A$5:$A$9,$P79)))</f>
      </c>
      <c r="J79" s="16">
        <f>IF($I79=0,"",COUNTIFS($B$2:$B$346,$B79,$I$2:$I$346,"&gt;"&amp;$I79)+COUNTIFS($B$2:$B79,$B79,$I$2:$I79,$I79))</f>
      </c>
      <c r="K79" s="16">
        <f>IF($J79="","",$B79&amp;"#"&amp;$J79)</f>
      </c>
      <c r="L79" s="16" t="s">
        <v>124</v>
      </c>
      <c r="M79" s="16">
        <v>1</v>
      </c>
      <c r="N79" s="16" t="s">
        <v>123</v>
      </c>
      <c r="O79" s="16">
        <v>1</v>
      </c>
    </row>
    <row r="80" spans="1:13" x14ac:dyDescent="0.25">
      <c r="A80" s="16" t="s">
        <v>511</v>
      </c>
      <c r="B80" s="16" t="s">
        <v>10</v>
      </c>
      <c r="C80" s="16" t="s">
        <v>245</v>
      </c>
      <c r="D80" s="16">
        <v>197</v>
      </c>
      <c r="E80" s="16">
        <v>1</v>
      </c>
      <c r="F80" s="16">
        <v>10</v>
      </c>
      <c r="G80" s="16" t="s">
        <v>512</v>
      </c>
      <c r="H80" s="16" t="s">
        <v>513</v>
      </c>
      <c r="I80" s="16">
        <f>IF(OR(Picker!$B$10="Yes",SUMPRODUCT((Picker!$A$5:$A$9&lt;&gt;"")*(Picker!$A$5:$A$9&lt;&gt;"(none)"))=0),1,IF($L80="",0,COUNTIF(Picker!$A$5:$A$9,$L80))+IF($N80="",0,COUNTIF(Picker!$A$5:$A$9,$N80))+IF($P80="",0,COUNTIF(Picker!$A$5:$A$9,$P80)))</f>
      </c>
      <c r="J80" s="16">
        <f>IF($I80=0,"",COUNTIFS($B$2:$B$346,$B80,$I$2:$I$346,"&gt;"&amp;$I80)+COUNTIFS($B$2:$B80,$B80,$I$2:$I80,$I80))</f>
      </c>
      <c r="K80" s="16">
        <f>IF($J80="","",$B80&amp;"#"&amp;$J80)</f>
      </c>
      <c r="L80" s="16" t="s">
        <v>139</v>
      </c>
      <c r="M80" s="16">
        <v>2</v>
      </c>
    </row>
    <row r="81" spans="1:13" x14ac:dyDescent="0.25">
      <c r="A81" s="16" t="s">
        <v>514</v>
      </c>
      <c r="B81" s="16" t="s">
        <v>10</v>
      </c>
      <c r="C81" s="16" t="s">
        <v>249</v>
      </c>
      <c r="D81" s="16">
        <v>197</v>
      </c>
      <c r="E81" s="16">
        <v>1</v>
      </c>
      <c r="F81" s="16">
        <v>10</v>
      </c>
      <c r="G81" s="16" t="s">
        <v>515</v>
      </c>
      <c r="H81" s="16" t="s">
        <v>516</v>
      </c>
      <c r="I81" s="16">
        <f>IF(OR(Picker!$B$10="Yes",SUMPRODUCT((Picker!$A$5:$A$9&lt;&gt;"")*(Picker!$A$5:$A$9&lt;&gt;"(none)"))=0),1,IF($L81="",0,COUNTIF(Picker!$A$5:$A$9,$L81))+IF($N81="",0,COUNTIF(Picker!$A$5:$A$9,$N81))+IF($P81="",0,COUNTIF(Picker!$A$5:$A$9,$P81)))</f>
      </c>
      <c r="J81" s="16">
        <f>IF($I81=0,"",COUNTIFS($B$2:$B$346,$B81,$I$2:$I$346,"&gt;"&amp;$I81)+COUNTIFS($B$2:$B81,$B81,$I$2:$I81,$I81))</f>
      </c>
      <c r="K81" s="16">
        <f>IF($J81="","",$B81&amp;"#"&amp;$J81)</f>
      </c>
      <c r="L81" s="16" t="s">
        <v>71</v>
      </c>
      <c r="M81" s="16">
        <v>2</v>
      </c>
    </row>
    <row r="82" spans="1:13" x14ac:dyDescent="0.25">
      <c r="A82" s="16" t="s">
        <v>517</v>
      </c>
      <c r="B82" s="16" t="s">
        <v>10</v>
      </c>
      <c r="C82" s="16" t="s">
        <v>253</v>
      </c>
      <c r="D82" s="16">
        <v>197</v>
      </c>
      <c r="E82" s="16">
        <v>1</v>
      </c>
      <c r="F82" s="16">
        <v>10</v>
      </c>
      <c r="G82" s="16" t="s">
        <v>518</v>
      </c>
      <c r="H82" s="16" t="s">
        <v>519</v>
      </c>
      <c r="I82" s="16">
        <f>IF(OR(Picker!$B$10="Yes",SUMPRODUCT((Picker!$A$5:$A$9&lt;&gt;"")*(Picker!$A$5:$A$9&lt;&gt;"(none)"))=0),1,IF($L82="",0,COUNTIF(Picker!$A$5:$A$9,$L82))+IF($N82="",0,COUNTIF(Picker!$A$5:$A$9,$N82))+IF($P82="",0,COUNTIF(Picker!$A$5:$A$9,$P82)))</f>
      </c>
      <c r="J82" s="16">
        <f>IF($I82=0,"",COUNTIFS($B$2:$B$346,$B82,$I$2:$I$346,"&gt;"&amp;$I82)+COUNTIFS($B$2:$B82,$B82,$I$2:$I82,$I82))</f>
      </c>
      <c r="K82" s="16">
        <f>IF($J82="","",$B82&amp;"#"&amp;$J82)</f>
      </c>
      <c r="L82" s="16" t="s">
        <v>183</v>
      </c>
      <c r="M82" s="16">
        <v>3</v>
      </c>
    </row>
    <row r="83" spans="1:15" x14ac:dyDescent="0.25">
      <c r="A83" s="16" t="s">
        <v>520</v>
      </c>
      <c r="B83" s="16" t="s">
        <v>10</v>
      </c>
      <c r="C83" s="16" t="s">
        <v>257</v>
      </c>
      <c r="D83" s="16">
        <v>197</v>
      </c>
      <c r="E83" s="16">
        <v>1</v>
      </c>
      <c r="F83" s="16">
        <v>10</v>
      </c>
      <c r="G83" s="16" t="s">
        <v>521</v>
      </c>
      <c r="H83" s="16" t="s">
        <v>522</v>
      </c>
      <c r="I83" s="16">
        <f>IF(OR(Picker!$B$10="Yes",SUMPRODUCT((Picker!$A$5:$A$9&lt;&gt;"")*(Picker!$A$5:$A$9&lt;&gt;"(none)"))=0),1,IF($L83="",0,COUNTIF(Picker!$A$5:$A$9,$L83))+IF($N83="",0,COUNTIF(Picker!$A$5:$A$9,$N83))+IF($P83="",0,COUNTIF(Picker!$A$5:$A$9,$P83)))</f>
      </c>
      <c r="J83" s="16">
        <f>IF($I83=0,"",COUNTIFS($B$2:$B$346,$B83,$I$2:$I$346,"&gt;"&amp;$I83)+COUNTIFS($B$2:$B83,$B83,$I$2:$I83,$I83))</f>
      </c>
      <c r="K83" s="16">
        <f>IF($J83="","",$B83&amp;"#"&amp;$J83)</f>
      </c>
      <c r="L83" s="16" t="s">
        <v>169</v>
      </c>
      <c r="M83" s="16">
        <v>2</v>
      </c>
      <c r="N83" s="16" t="s">
        <v>81</v>
      </c>
      <c r="O83" s="16">
        <v>1</v>
      </c>
    </row>
    <row r="84" spans="1:15" x14ac:dyDescent="0.25">
      <c r="A84" s="16" t="s">
        <v>523</v>
      </c>
      <c r="B84" s="16" t="s">
        <v>10</v>
      </c>
      <c r="C84" s="16" t="s">
        <v>261</v>
      </c>
      <c r="D84" s="16">
        <v>197</v>
      </c>
      <c r="E84" s="16">
        <v>1</v>
      </c>
      <c r="F84" s="16">
        <v>10</v>
      </c>
      <c r="G84" s="16" t="s">
        <v>524</v>
      </c>
      <c r="H84" s="16" t="s">
        <v>525</v>
      </c>
      <c r="I84" s="16">
        <f>IF(OR(Picker!$B$10="Yes",SUMPRODUCT((Picker!$A$5:$A$9&lt;&gt;"")*(Picker!$A$5:$A$9&lt;&gt;"(none)"))=0),1,IF($L84="",0,COUNTIF(Picker!$A$5:$A$9,$L84))+IF($N84="",0,COUNTIF(Picker!$A$5:$A$9,$N84))+IF($P84="",0,COUNTIF(Picker!$A$5:$A$9,$P84)))</f>
      </c>
      <c r="J84" s="16">
        <f>IF($I84=0,"",COUNTIFS($B$2:$B$346,$B84,$I$2:$I$346,"&gt;"&amp;$I84)+COUNTIFS($B$2:$B84,$B84,$I$2:$I84,$I84))</f>
      </c>
      <c r="K84" s="16">
        <f>IF($J84="","",$B84&amp;"#"&amp;$J84)</f>
      </c>
      <c r="L84" s="16" t="s">
        <v>84</v>
      </c>
      <c r="M84" s="16">
        <v>2</v>
      </c>
      <c r="N84" s="16" t="s">
        <v>157</v>
      </c>
      <c r="O84" s="16">
        <v>1</v>
      </c>
    </row>
    <row r="85" spans="1:15" x14ac:dyDescent="0.25">
      <c r="A85" s="16" t="s">
        <v>526</v>
      </c>
      <c r="B85" s="16" t="s">
        <v>10</v>
      </c>
      <c r="C85" s="16" t="s">
        <v>265</v>
      </c>
      <c r="D85" s="16">
        <v>197</v>
      </c>
      <c r="E85" s="16">
        <v>1</v>
      </c>
      <c r="F85" s="16">
        <v>10</v>
      </c>
      <c r="G85" s="16" t="s">
        <v>527</v>
      </c>
      <c r="H85" s="16" t="s">
        <v>528</v>
      </c>
      <c r="I85" s="16">
        <f>IF(OR(Picker!$B$10="Yes",SUMPRODUCT((Picker!$A$5:$A$9&lt;&gt;"")*(Picker!$A$5:$A$9&lt;&gt;"(none)"))=0),1,IF($L85="",0,COUNTIF(Picker!$A$5:$A$9,$L85))+IF($N85="",0,COUNTIF(Picker!$A$5:$A$9,$N85))+IF($P85="",0,COUNTIF(Picker!$A$5:$A$9,$P85)))</f>
      </c>
      <c r="J85" s="16">
        <f>IF($I85=0,"",COUNTIFS($B$2:$B$346,$B85,$I$2:$I$346,"&gt;"&amp;$I85)+COUNTIFS($B$2:$B85,$B85,$I$2:$I85,$I85))</f>
      </c>
      <c r="K85" s="16">
        <f>IF($J85="","",$B85&amp;"#"&amp;$J85)</f>
      </c>
      <c r="L85" s="16" t="s">
        <v>155</v>
      </c>
      <c r="M85" s="16">
        <v>2</v>
      </c>
      <c r="N85" s="16" t="s">
        <v>168</v>
      </c>
      <c r="O85" s="16">
        <v>1</v>
      </c>
    </row>
    <row r="86" spans="1:15" x14ac:dyDescent="0.25">
      <c r="A86" s="16" t="s">
        <v>529</v>
      </c>
      <c r="B86" s="16" t="s">
        <v>10</v>
      </c>
      <c r="C86" s="16" t="s">
        <v>269</v>
      </c>
      <c r="D86" s="16">
        <v>197</v>
      </c>
      <c r="E86" s="16">
        <v>1</v>
      </c>
      <c r="F86" s="16">
        <v>10</v>
      </c>
      <c r="G86" s="16" t="s">
        <v>530</v>
      </c>
      <c r="H86" s="16" t="s">
        <v>531</v>
      </c>
      <c r="I86" s="16">
        <f>IF(OR(Picker!$B$10="Yes",SUMPRODUCT((Picker!$A$5:$A$9&lt;&gt;"")*(Picker!$A$5:$A$9&lt;&gt;"(none)"))=0),1,IF($L86="",0,COUNTIF(Picker!$A$5:$A$9,$L86))+IF($N86="",0,COUNTIF(Picker!$A$5:$A$9,$N86))+IF($P86="",0,COUNTIF(Picker!$A$5:$A$9,$P86)))</f>
      </c>
      <c r="J86" s="16">
        <f>IF($I86=0,"",COUNTIFS($B$2:$B$346,$B86,$I$2:$I$346,"&gt;"&amp;$I86)+COUNTIFS($B$2:$B86,$B86,$I$2:$I86,$I86))</f>
      </c>
      <c r="K86" s="16">
        <f>IF($J86="","",$B86&amp;"#"&amp;$J86)</f>
      </c>
      <c r="L86" s="16" t="s">
        <v>111</v>
      </c>
      <c r="M86" s="16">
        <v>2</v>
      </c>
      <c r="N86" s="16" t="s">
        <v>129</v>
      </c>
      <c r="O86" s="16">
        <v>1</v>
      </c>
    </row>
    <row r="87" spans="1:15" x14ac:dyDescent="0.25">
      <c r="A87" s="16" t="s">
        <v>532</v>
      </c>
      <c r="B87" s="16" t="s">
        <v>10</v>
      </c>
      <c r="C87" s="16" t="s">
        <v>273</v>
      </c>
      <c r="D87" s="16">
        <v>197</v>
      </c>
      <c r="E87" s="16">
        <v>1</v>
      </c>
      <c r="F87" s="16">
        <v>10</v>
      </c>
      <c r="G87" s="16" t="s">
        <v>533</v>
      </c>
      <c r="H87" s="16" t="s">
        <v>534</v>
      </c>
      <c r="I87" s="16">
        <f>IF(OR(Picker!$B$10="Yes",SUMPRODUCT((Picker!$A$5:$A$9&lt;&gt;"")*(Picker!$A$5:$A$9&lt;&gt;"(none)"))=0),1,IF($L87="",0,COUNTIF(Picker!$A$5:$A$9,$L87))+IF($N87="",0,COUNTIF(Picker!$A$5:$A$9,$N87))+IF($P87="",0,COUNTIF(Picker!$A$5:$A$9,$P87)))</f>
      </c>
      <c r="J87" s="16">
        <f>IF($I87=0,"",COUNTIFS($B$2:$B$346,$B87,$I$2:$I$346,"&gt;"&amp;$I87)+COUNTIFS($B$2:$B87,$B87,$I$2:$I87,$I87))</f>
      </c>
      <c r="K87" s="16">
        <f>IF($J87="","",$B87&amp;"#"&amp;$J87)</f>
      </c>
      <c r="L87" s="16" t="s">
        <v>128</v>
      </c>
      <c r="M87" s="16">
        <v>1</v>
      </c>
      <c r="N87" s="16" t="s">
        <v>91</v>
      </c>
      <c r="O87" s="16">
        <v>1</v>
      </c>
    </row>
    <row r="88" spans="1:15" x14ac:dyDescent="0.25">
      <c r="A88" s="16" t="s">
        <v>535</v>
      </c>
      <c r="B88" s="16" t="s">
        <v>10</v>
      </c>
      <c r="C88" s="16" t="s">
        <v>277</v>
      </c>
      <c r="D88" s="16">
        <v>197</v>
      </c>
      <c r="E88" s="16">
        <v>1</v>
      </c>
      <c r="F88" s="16">
        <v>10</v>
      </c>
      <c r="G88" s="16" t="s">
        <v>536</v>
      </c>
      <c r="H88" s="16" t="s">
        <v>537</v>
      </c>
      <c r="I88" s="16">
        <f>IF(OR(Picker!$B$10="Yes",SUMPRODUCT((Picker!$A$5:$A$9&lt;&gt;"")*(Picker!$A$5:$A$9&lt;&gt;"(none)"))=0),1,IF($L88="",0,COUNTIF(Picker!$A$5:$A$9,$L88))+IF($N88="",0,COUNTIF(Picker!$A$5:$A$9,$N88))+IF($P88="",0,COUNTIF(Picker!$A$5:$A$9,$P88)))</f>
      </c>
      <c r="J88" s="16">
        <f>IF($I88=0,"",COUNTIFS($B$2:$B$346,$B88,$I$2:$I$346,"&gt;"&amp;$I88)+COUNTIFS($B$2:$B88,$B88,$I$2:$I88,$I88))</f>
      </c>
      <c r="K88" s="16">
        <f>IF($J88="","",$B88&amp;"#"&amp;$J88)</f>
      </c>
      <c r="L88" s="16" t="s">
        <v>121</v>
      </c>
      <c r="M88" s="16">
        <v>1</v>
      </c>
      <c r="N88" s="16" t="s">
        <v>169</v>
      </c>
      <c r="O88" s="16">
        <v>3</v>
      </c>
    </row>
    <row r="89" spans="1:15" x14ac:dyDescent="0.25">
      <c r="A89" s="16" t="s">
        <v>538</v>
      </c>
      <c r="B89" s="16" t="s">
        <v>10</v>
      </c>
      <c r="C89" s="16" t="s">
        <v>281</v>
      </c>
      <c r="D89" s="16">
        <v>197</v>
      </c>
      <c r="E89" s="16">
        <v>1</v>
      </c>
      <c r="F89" s="16">
        <v>10</v>
      </c>
      <c r="G89" s="16" t="s">
        <v>539</v>
      </c>
      <c r="H89" s="16" t="s">
        <v>540</v>
      </c>
      <c r="I89" s="16">
        <f>IF(OR(Picker!$B$10="Yes",SUMPRODUCT((Picker!$A$5:$A$9&lt;&gt;"")*(Picker!$A$5:$A$9&lt;&gt;"(none)"))=0),1,IF($L89="",0,COUNTIF(Picker!$A$5:$A$9,$L89))+IF($N89="",0,COUNTIF(Picker!$A$5:$A$9,$N89))+IF($P89="",0,COUNTIF(Picker!$A$5:$A$9,$P89)))</f>
      </c>
      <c r="J89" s="16">
        <f>IF($I89=0,"",COUNTIFS($B$2:$B$346,$B89,$I$2:$I$346,"&gt;"&amp;$I89)+COUNTIFS($B$2:$B89,$B89,$I$2:$I89,$I89))</f>
      </c>
      <c r="K89" s="16">
        <f>IF($J89="","",$B89&amp;"#"&amp;$J89)</f>
      </c>
      <c r="L89" s="16" t="s">
        <v>111</v>
      </c>
      <c r="M89" s="16">
        <v>1</v>
      </c>
      <c r="N89" s="16" t="s">
        <v>158</v>
      </c>
      <c r="O89" s="16">
        <v>2</v>
      </c>
    </row>
    <row r="90" spans="1:13" x14ac:dyDescent="0.25">
      <c r="A90" s="16" t="s">
        <v>541</v>
      </c>
      <c r="B90" s="16" t="s">
        <v>10</v>
      </c>
      <c r="C90" s="16" t="s">
        <v>285</v>
      </c>
      <c r="D90" s="16">
        <v>197</v>
      </c>
      <c r="E90" s="16">
        <v>1</v>
      </c>
      <c r="F90" s="16">
        <v>10</v>
      </c>
      <c r="G90" s="16" t="s">
        <v>542</v>
      </c>
      <c r="H90" s="16" t="s">
        <v>543</v>
      </c>
      <c r="I90" s="16">
        <f>IF(OR(Picker!$B$10="Yes",SUMPRODUCT((Picker!$A$5:$A$9&lt;&gt;"")*(Picker!$A$5:$A$9&lt;&gt;"(none)"))=0),1,IF($L90="",0,COUNTIF(Picker!$A$5:$A$9,$L90))+IF($N90="",0,COUNTIF(Picker!$A$5:$A$9,$N90))+IF($P90="",0,COUNTIF(Picker!$A$5:$A$9,$P90)))</f>
      </c>
      <c r="J90" s="16">
        <f>IF($I90=0,"",COUNTIFS($B$2:$B$346,$B90,$I$2:$I$346,"&gt;"&amp;$I90)+COUNTIFS($B$2:$B90,$B90,$I$2:$I90,$I90))</f>
      </c>
      <c r="K90" s="16">
        <f>IF($J90="","",$B90&amp;"#"&amp;$J90)</f>
      </c>
      <c r="L90" s="16" t="s">
        <v>151</v>
      </c>
      <c r="M90" s="16">
        <v>3</v>
      </c>
    </row>
    <row r="91" spans="1:15" x14ac:dyDescent="0.25">
      <c r="A91" s="16" t="s">
        <v>544</v>
      </c>
      <c r="B91" s="16" t="s">
        <v>10</v>
      </c>
      <c r="C91" s="16" t="s">
        <v>289</v>
      </c>
      <c r="D91" s="16">
        <v>197</v>
      </c>
      <c r="E91" s="16">
        <v>1</v>
      </c>
      <c r="F91" s="16">
        <v>10</v>
      </c>
      <c r="G91" s="16" t="s">
        <v>545</v>
      </c>
      <c r="H91" s="16" t="s">
        <v>546</v>
      </c>
      <c r="I91" s="16">
        <f>IF(OR(Picker!$B$10="Yes",SUMPRODUCT((Picker!$A$5:$A$9&lt;&gt;"")*(Picker!$A$5:$A$9&lt;&gt;"(none)"))=0),1,IF($L91="",0,COUNTIF(Picker!$A$5:$A$9,$L91))+IF($N91="",0,COUNTIF(Picker!$A$5:$A$9,$N91))+IF($P91="",0,COUNTIF(Picker!$A$5:$A$9,$P91)))</f>
      </c>
      <c r="J91" s="16">
        <f>IF($I91=0,"",COUNTIFS($B$2:$B$346,$B91,$I$2:$I$346,"&gt;"&amp;$I91)+COUNTIFS($B$2:$B91,$B91,$I$2:$I91,$I91))</f>
      </c>
      <c r="K91" s="16">
        <f>IF($J91="","",$B91&amp;"#"&amp;$J91)</f>
      </c>
      <c r="L91" s="16" t="s">
        <v>119</v>
      </c>
      <c r="M91" s="16">
        <v>1</v>
      </c>
      <c r="N91" s="16" t="s">
        <v>188</v>
      </c>
      <c r="O91" s="16">
        <v>1</v>
      </c>
    </row>
    <row r="92" spans="1:15" x14ac:dyDescent="0.25">
      <c r="A92" s="16" t="s">
        <v>547</v>
      </c>
      <c r="B92" s="16" t="s">
        <v>10</v>
      </c>
      <c r="C92" s="16" t="s">
        <v>293</v>
      </c>
      <c r="D92" s="16">
        <v>197</v>
      </c>
      <c r="E92" s="16">
        <v>1</v>
      </c>
      <c r="F92" s="16">
        <v>10</v>
      </c>
      <c r="G92" s="16" t="s">
        <v>548</v>
      </c>
      <c r="H92" s="16" t="s">
        <v>549</v>
      </c>
      <c r="I92" s="16">
        <f>IF(OR(Picker!$B$10="Yes",SUMPRODUCT((Picker!$A$5:$A$9&lt;&gt;"")*(Picker!$A$5:$A$9&lt;&gt;"(none)"))=0),1,IF($L92="",0,COUNTIF(Picker!$A$5:$A$9,$L92))+IF($N92="",0,COUNTIF(Picker!$A$5:$A$9,$N92))+IF($P92="",0,COUNTIF(Picker!$A$5:$A$9,$P92)))</f>
      </c>
      <c r="J92" s="16">
        <f>IF($I92=0,"",COUNTIFS($B$2:$B$346,$B92,$I$2:$I$346,"&gt;"&amp;$I92)+COUNTIFS($B$2:$B92,$B92,$I$2:$I92,$I92))</f>
      </c>
      <c r="K92" s="16">
        <f>IF($J92="","",$B92&amp;"#"&amp;$J92)</f>
      </c>
      <c r="L92" s="16" t="s">
        <v>142</v>
      </c>
      <c r="M92" s="16">
        <v>1</v>
      </c>
      <c r="N92" s="16" t="s">
        <v>170</v>
      </c>
      <c r="O92" s="16">
        <v>2</v>
      </c>
    </row>
    <row r="93" spans="1:15" x14ac:dyDescent="0.25">
      <c r="A93" s="16" t="s">
        <v>550</v>
      </c>
      <c r="B93" s="16" t="s">
        <v>10</v>
      </c>
      <c r="C93" s="16" t="s">
        <v>297</v>
      </c>
      <c r="D93" s="16">
        <v>197</v>
      </c>
      <c r="E93" s="16">
        <v>1</v>
      </c>
      <c r="F93" s="16">
        <v>10</v>
      </c>
      <c r="G93" s="16" t="s">
        <v>551</v>
      </c>
      <c r="H93" s="16" t="s">
        <v>552</v>
      </c>
      <c r="I93" s="16">
        <f>IF(OR(Picker!$B$10="Yes",SUMPRODUCT((Picker!$A$5:$A$9&lt;&gt;"")*(Picker!$A$5:$A$9&lt;&gt;"(none)"))=0),1,IF($L93="",0,COUNTIF(Picker!$A$5:$A$9,$L93))+IF($N93="",0,COUNTIF(Picker!$A$5:$A$9,$N93))+IF($P93="",0,COUNTIF(Picker!$A$5:$A$9,$P93)))</f>
      </c>
      <c r="J93" s="16">
        <f>IF($I93=0,"",COUNTIFS($B$2:$B$346,$B93,$I$2:$I$346,"&gt;"&amp;$I93)+COUNTIFS($B$2:$B93,$B93,$I$2:$I93,$I93))</f>
      </c>
      <c r="K93" s="16">
        <f>IF($J93="","",$B93&amp;"#"&amp;$J93)</f>
      </c>
      <c r="L93" s="16" t="s">
        <v>130</v>
      </c>
      <c r="M93" s="16">
        <v>1</v>
      </c>
      <c r="N93" s="16" t="s">
        <v>153</v>
      </c>
      <c r="O93" s="16">
        <v>2</v>
      </c>
    </row>
    <row r="94" spans="1:15" x14ac:dyDescent="0.25">
      <c r="A94" s="16" t="s">
        <v>553</v>
      </c>
      <c r="B94" s="16" t="s">
        <v>10</v>
      </c>
      <c r="C94" s="16" t="s">
        <v>301</v>
      </c>
      <c r="D94" s="16">
        <v>197</v>
      </c>
      <c r="E94" s="16">
        <v>1</v>
      </c>
      <c r="F94" s="16">
        <v>10</v>
      </c>
      <c r="G94" s="16" t="s">
        <v>554</v>
      </c>
      <c r="H94" s="16" t="s">
        <v>555</v>
      </c>
      <c r="I94" s="16">
        <f>IF(OR(Picker!$B$10="Yes",SUMPRODUCT((Picker!$A$5:$A$9&lt;&gt;"")*(Picker!$A$5:$A$9&lt;&gt;"(none)"))=0),1,IF($L94="",0,COUNTIF(Picker!$A$5:$A$9,$L94))+IF($N94="",0,COUNTIF(Picker!$A$5:$A$9,$N94))+IF($P94="",0,COUNTIF(Picker!$A$5:$A$9,$P94)))</f>
      </c>
      <c r="J94" s="16">
        <f>IF($I94=0,"",COUNTIFS($B$2:$B$346,$B94,$I$2:$I$346,"&gt;"&amp;$I94)+COUNTIFS($B$2:$B94,$B94,$I$2:$I94,$I94))</f>
      </c>
      <c r="K94" s="16">
        <f>IF($J94="","",$B94&amp;"#"&amp;$J94)</f>
      </c>
      <c r="L94" s="16" t="s">
        <v>89</v>
      </c>
      <c r="M94" s="16">
        <v>1</v>
      </c>
      <c r="N94" s="16" t="s">
        <v>107</v>
      </c>
      <c r="O94" s="16">
        <v>1</v>
      </c>
    </row>
    <row r="95" spans="1:13" x14ac:dyDescent="0.25">
      <c r="A95" s="16" t="s">
        <v>556</v>
      </c>
      <c r="B95" s="16" t="s">
        <v>10</v>
      </c>
      <c r="C95" s="16" t="s">
        <v>305</v>
      </c>
      <c r="D95" s="16">
        <v>197</v>
      </c>
      <c r="E95" s="16">
        <v>1</v>
      </c>
      <c r="F95" s="16">
        <v>10</v>
      </c>
      <c r="G95" s="16" t="s">
        <v>557</v>
      </c>
      <c r="H95" s="16" t="s">
        <v>558</v>
      </c>
      <c r="I95" s="16">
        <f>IF(OR(Picker!$B$10="Yes",SUMPRODUCT((Picker!$A$5:$A$9&lt;&gt;"")*(Picker!$A$5:$A$9&lt;&gt;"(none)"))=0),1,IF($L95="",0,COUNTIF(Picker!$A$5:$A$9,$L95))+IF($N95="",0,COUNTIF(Picker!$A$5:$A$9,$N95))+IF($P95="",0,COUNTIF(Picker!$A$5:$A$9,$P95)))</f>
      </c>
      <c r="J95" s="16">
        <f>IF($I95=0,"",COUNTIFS($B$2:$B$346,$B95,$I$2:$I$346,"&gt;"&amp;$I95)+COUNTIFS($B$2:$B95,$B95,$I$2:$I95,$I95))</f>
      </c>
      <c r="K95" s="16">
        <f>IF($J95="","",$B95&amp;"#"&amp;$J95)</f>
      </c>
      <c r="L95" s="16" t="s">
        <v>144</v>
      </c>
      <c r="M95" s="16">
        <v>2</v>
      </c>
    </row>
    <row r="96" spans="1:15" x14ac:dyDescent="0.25">
      <c r="A96" s="16" t="s">
        <v>559</v>
      </c>
      <c r="B96" s="16" t="s">
        <v>10</v>
      </c>
      <c r="C96" s="16" t="s">
        <v>309</v>
      </c>
      <c r="D96" s="16">
        <v>197</v>
      </c>
      <c r="E96" s="16">
        <v>2</v>
      </c>
      <c r="F96" s="16">
        <v>10</v>
      </c>
      <c r="G96" s="16" t="s">
        <v>560</v>
      </c>
      <c r="H96" s="16" t="s">
        <v>561</v>
      </c>
      <c r="I96" s="16">
        <f>IF(OR(Picker!$B$10="Yes",SUMPRODUCT((Picker!$A$5:$A$9&lt;&gt;"")*(Picker!$A$5:$A$9&lt;&gt;"(none)"))=0),1,IF($L96="",0,COUNTIF(Picker!$A$5:$A$9,$L96))+IF($N96="",0,COUNTIF(Picker!$A$5:$A$9,$N96))+IF($P96="",0,COUNTIF(Picker!$A$5:$A$9,$P96)))</f>
      </c>
      <c r="J96" s="16">
        <f>IF($I96=0,"",COUNTIFS($B$2:$B$346,$B96,$I$2:$I$346,"&gt;"&amp;$I96)+COUNTIFS($B$2:$B96,$B96,$I$2:$I96,$I96))</f>
      </c>
      <c r="K96" s="16">
        <f>IF($J96="","",$B96&amp;"#"&amp;$J96)</f>
      </c>
      <c r="L96" s="16" t="s">
        <v>114</v>
      </c>
      <c r="M96" s="16">
        <v>1</v>
      </c>
      <c r="N96" s="16" t="s">
        <v>116</v>
      </c>
      <c r="O96" s="16">
        <v>1</v>
      </c>
    </row>
    <row r="97" spans="1:15" x14ac:dyDescent="0.25">
      <c r="A97" s="16" t="s">
        <v>562</v>
      </c>
      <c r="B97" s="16" t="s">
        <v>10</v>
      </c>
      <c r="C97" s="16" t="s">
        <v>313</v>
      </c>
      <c r="D97" s="16">
        <v>197</v>
      </c>
      <c r="E97" s="16">
        <v>1</v>
      </c>
      <c r="F97" s="16">
        <v>10</v>
      </c>
      <c r="G97" s="16" t="s">
        <v>563</v>
      </c>
      <c r="H97" s="16" t="s">
        <v>564</v>
      </c>
      <c r="I97" s="16">
        <f>IF(OR(Picker!$B$10="Yes",SUMPRODUCT((Picker!$A$5:$A$9&lt;&gt;"")*(Picker!$A$5:$A$9&lt;&gt;"(none)"))=0),1,IF($L97="",0,COUNTIF(Picker!$A$5:$A$9,$L97))+IF($N97="",0,COUNTIF(Picker!$A$5:$A$9,$N97))+IF($P97="",0,COUNTIF(Picker!$A$5:$A$9,$P97)))</f>
      </c>
      <c r="J97" s="16">
        <f>IF($I97=0,"",COUNTIFS($B$2:$B$346,$B97,$I$2:$I$346,"&gt;"&amp;$I97)+COUNTIFS($B$2:$B97,$B97,$I$2:$I97,$I97))</f>
      </c>
      <c r="K97" s="16">
        <f>IF($J97="","",$B97&amp;"#"&amp;$J97)</f>
      </c>
      <c r="L97" s="16" t="s">
        <v>123</v>
      </c>
      <c r="M97" s="16">
        <v>2</v>
      </c>
      <c r="N97" s="16" t="s">
        <v>64</v>
      </c>
      <c r="O97" s="16">
        <v>1</v>
      </c>
    </row>
    <row r="98" spans="1:13" x14ac:dyDescent="0.25">
      <c r="A98" s="16" t="s">
        <v>565</v>
      </c>
      <c r="B98" s="16" t="s">
        <v>10</v>
      </c>
      <c r="C98" s="16" t="s">
        <v>317</v>
      </c>
      <c r="D98" s="16">
        <v>197</v>
      </c>
      <c r="E98" s="16">
        <v>1</v>
      </c>
      <c r="F98" s="16">
        <v>10</v>
      </c>
      <c r="G98" s="16" t="s">
        <v>566</v>
      </c>
      <c r="H98" s="16" t="s">
        <v>567</v>
      </c>
      <c r="I98" s="16">
        <f>IF(OR(Picker!$B$10="Yes",SUMPRODUCT((Picker!$A$5:$A$9&lt;&gt;"")*(Picker!$A$5:$A$9&lt;&gt;"(none)"))=0),1,IF($L98="",0,COUNTIF(Picker!$A$5:$A$9,$L98))+IF($N98="",0,COUNTIF(Picker!$A$5:$A$9,$N98))+IF($P98="",0,COUNTIF(Picker!$A$5:$A$9,$P98)))</f>
      </c>
      <c r="J98" s="16">
        <f>IF($I98=0,"",COUNTIFS($B$2:$B$346,$B98,$I$2:$I$346,"&gt;"&amp;$I98)+COUNTIFS($B$2:$B98,$B98,$I$2:$I98,$I98))</f>
      </c>
      <c r="K98" s="16">
        <f>IF($J98="","",$B98&amp;"#"&amp;$J98)</f>
      </c>
      <c r="L98" s="16" t="s">
        <v>161</v>
      </c>
      <c r="M98" s="16">
        <v>2</v>
      </c>
    </row>
    <row r="99" spans="1:15" x14ac:dyDescent="0.25">
      <c r="A99" s="16" t="s">
        <v>568</v>
      </c>
      <c r="B99" s="16" t="s">
        <v>10</v>
      </c>
      <c r="C99" s="16" t="s">
        <v>321</v>
      </c>
      <c r="D99" s="16">
        <v>197</v>
      </c>
      <c r="E99" s="16">
        <v>1</v>
      </c>
      <c r="F99" s="16">
        <v>10</v>
      </c>
      <c r="G99" s="16" t="s">
        <v>569</v>
      </c>
      <c r="H99" s="16" t="s">
        <v>570</v>
      </c>
      <c r="I99" s="16">
        <f>IF(OR(Picker!$B$10="Yes",SUMPRODUCT((Picker!$A$5:$A$9&lt;&gt;"")*(Picker!$A$5:$A$9&lt;&gt;"(none)"))=0),1,IF($L99="",0,COUNTIF(Picker!$A$5:$A$9,$L99))+IF($N99="",0,COUNTIF(Picker!$A$5:$A$9,$N99))+IF($P99="",0,COUNTIF(Picker!$A$5:$A$9,$P99)))</f>
      </c>
      <c r="J99" s="16">
        <f>IF($I99=0,"",COUNTIFS($B$2:$B$346,$B99,$I$2:$I$346,"&gt;"&amp;$I99)+COUNTIFS($B$2:$B99,$B99,$I$2:$I99,$I99))</f>
      </c>
      <c r="K99" s="16">
        <f>IF($J99="","",$B99&amp;"#"&amp;$J99)</f>
      </c>
      <c r="L99" s="16" t="s">
        <v>190</v>
      </c>
      <c r="M99" s="16">
        <v>1</v>
      </c>
      <c r="N99" s="16" t="s">
        <v>127</v>
      </c>
      <c r="O99" s="16">
        <v>1</v>
      </c>
    </row>
    <row r="100" spans="1:15" x14ac:dyDescent="0.25">
      <c r="A100" s="16" t="s">
        <v>571</v>
      </c>
      <c r="B100" s="16" t="s">
        <v>10</v>
      </c>
      <c r="C100" s="16" t="s">
        <v>325</v>
      </c>
      <c r="D100" s="16">
        <v>197</v>
      </c>
      <c r="E100" s="16">
        <v>1</v>
      </c>
      <c r="F100" s="16">
        <v>10</v>
      </c>
      <c r="G100" s="16" t="s">
        <v>572</v>
      </c>
      <c r="H100" s="16" t="s">
        <v>573</v>
      </c>
      <c r="I100" s="16">
        <f>IF(OR(Picker!$B$10="Yes",SUMPRODUCT((Picker!$A$5:$A$9&lt;&gt;"")*(Picker!$A$5:$A$9&lt;&gt;"(none)"))=0),1,IF($L100="",0,COUNTIF(Picker!$A$5:$A$9,$L100))+IF($N100="",0,COUNTIF(Picker!$A$5:$A$9,$N100))+IF($P100="",0,COUNTIF(Picker!$A$5:$A$9,$P100)))</f>
      </c>
      <c r="J100" s="16">
        <f>IF($I100=0,"",COUNTIFS($B$2:$B$346,$B100,$I$2:$I$346,"&gt;"&amp;$I100)+COUNTIFS($B$2:$B100,$B100,$I$2:$I100,$I100))</f>
      </c>
      <c r="K100" s="16">
        <f>IF($J100="","",$B100&amp;"#"&amp;$J100)</f>
      </c>
      <c r="L100" s="16" t="s">
        <v>179</v>
      </c>
      <c r="M100" s="16">
        <v>1</v>
      </c>
      <c r="N100" s="16" t="s">
        <v>104</v>
      </c>
      <c r="O100" s="16">
        <v>1</v>
      </c>
    </row>
    <row r="101" spans="1:17" x14ac:dyDescent="0.25">
      <c r="A101" s="16" t="s">
        <v>574</v>
      </c>
      <c r="B101" s="16" t="s">
        <v>10</v>
      </c>
      <c r="C101" s="16" t="s">
        <v>329</v>
      </c>
      <c r="D101" s="16">
        <v>197</v>
      </c>
      <c r="E101" s="16">
        <v>1</v>
      </c>
      <c r="F101" s="16">
        <v>10</v>
      </c>
      <c r="G101" s="16" t="s">
        <v>575</v>
      </c>
      <c r="H101" s="16" t="s">
        <v>576</v>
      </c>
      <c r="I101" s="16">
        <f>IF(OR(Picker!$B$10="Yes",SUMPRODUCT((Picker!$A$5:$A$9&lt;&gt;"")*(Picker!$A$5:$A$9&lt;&gt;"(none)"))=0),1,IF($L101="",0,COUNTIF(Picker!$A$5:$A$9,$L101))+IF($N101="",0,COUNTIF(Picker!$A$5:$A$9,$N101))+IF($P101="",0,COUNTIF(Picker!$A$5:$A$9,$P101)))</f>
      </c>
      <c r="J101" s="16">
        <f>IF($I101=0,"",COUNTIFS($B$2:$B$346,$B101,$I$2:$I$346,"&gt;"&amp;$I101)+COUNTIFS($B$2:$B101,$B101,$I$2:$I101,$I101))</f>
      </c>
      <c r="K101" s="16">
        <f>IF($J101="","",$B101&amp;"#"&amp;$J101)</f>
      </c>
      <c r="L101" s="16" t="s">
        <v>92</v>
      </c>
      <c r="M101" s="16">
        <v>2</v>
      </c>
      <c r="N101" s="16" t="s">
        <v>69</v>
      </c>
      <c r="O101" s="16">
        <v>1</v>
      </c>
      <c r="P101" s="16" t="s">
        <v>178</v>
      </c>
      <c r="Q101" s="16">
        <v>1</v>
      </c>
    </row>
    <row r="102" spans="1:13" x14ac:dyDescent="0.25">
      <c r="A102" s="16" t="s">
        <v>577</v>
      </c>
      <c r="B102" s="16" t="s">
        <v>10</v>
      </c>
      <c r="C102" s="16" t="s">
        <v>333</v>
      </c>
      <c r="D102" s="16">
        <v>197</v>
      </c>
      <c r="E102" s="16">
        <v>1</v>
      </c>
      <c r="F102" s="16">
        <v>10</v>
      </c>
      <c r="G102" s="16" t="s">
        <v>578</v>
      </c>
      <c r="H102" s="16" t="s">
        <v>579</v>
      </c>
      <c r="I102" s="16">
        <f>IF(OR(Picker!$B$10="Yes",SUMPRODUCT((Picker!$A$5:$A$9&lt;&gt;"")*(Picker!$A$5:$A$9&lt;&gt;"(none)"))=0),1,IF($L102="",0,COUNTIF(Picker!$A$5:$A$9,$L102))+IF($N102="",0,COUNTIF(Picker!$A$5:$A$9,$N102))+IF($P102="",0,COUNTIF(Picker!$A$5:$A$9,$P102)))</f>
      </c>
      <c r="J102" s="16">
        <f>IF($I102=0,"",COUNTIFS($B$2:$B$346,$B102,$I$2:$I$346,"&gt;"&amp;$I102)+COUNTIFS($B$2:$B102,$B102,$I$2:$I102,$I102))</f>
      </c>
      <c r="K102" s="16">
        <f>IF($J102="","",$B102&amp;"#"&amp;$J102)</f>
      </c>
      <c r="L102" s="16" t="s">
        <v>179</v>
      </c>
      <c r="M102" s="16">
        <v>2</v>
      </c>
    </row>
    <row r="103" spans="1:17" x14ac:dyDescent="0.25">
      <c r="A103" s="16" t="s">
        <v>580</v>
      </c>
      <c r="B103" s="16" t="s">
        <v>10</v>
      </c>
      <c r="C103" s="16" t="s">
        <v>337</v>
      </c>
      <c r="D103" s="16">
        <v>197</v>
      </c>
      <c r="E103" s="16">
        <v>1</v>
      </c>
      <c r="F103" s="16">
        <v>10</v>
      </c>
      <c r="G103" s="16" t="s">
        <v>581</v>
      </c>
      <c r="H103" s="16" t="s">
        <v>582</v>
      </c>
      <c r="I103" s="16">
        <f>IF(OR(Picker!$B$10="Yes",SUMPRODUCT((Picker!$A$5:$A$9&lt;&gt;"")*(Picker!$A$5:$A$9&lt;&gt;"(none)"))=0),1,IF($L103="",0,COUNTIF(Picker!$A$5:$A$9,$L103))+IF($N103="",0,COUNTIF(Picker!$A$5:$A$9,$N103))+IF($P103="",0,COUNTIF(Picker!$A$5:$A$9,$P103)))</f>
      </c>
      <c r="J103" s="16">
        <f>IF($I103=0,"",COUNTIFS($B$2:$B$346,$B103,$I$2:$I$346,"&gt;"&amp;$I103)+COUNTIFS($B$2:$B103,$B103,$I$2:$I103,$I103))</f>
      </c>
      <c r="K103" s="16">
        <f>IF($J103="","",$B103&amp;"#"&amp;$J103)</f>
      </c>
      <c r="L103" s="16" t="s">
        <v>92</v>
      </c>
      <c r="M103" s="16">
        <v>1</v>
      </c>
      <c r="N103" s="16" t="s">
        <v>90</v>
      </c>
      <c r="O103" s="16">
        <v>1</v>
      </c>
      <c r="P103" s="16" t="s">
        <v>125</v>
      </c>
      <c r="Q103" s="16">
        <v>1</v>
      </c>
    </row>
    <row r="104" spans="1:13" x14ac:dyDescent="0.25">
      <c r="A104" s="16" t="s">
        <v>583</v>
      </c>
      <c r="B104" s="16" t="s">
        <v>10</v>
      </c>
      <c r="C104" s="16" t="s">
        <v>341</v>
      </c>
      <c r="D104" s="16">
        <v>197</v>
      </c>
      <c r="E104" s="16">
        <v>2</v>
      </c>
      <c r="F104" s="16">
        <v>10</v>
      </c>
      <c r="G104" s="16" t="s">
        <v>584</v>
      </c>
      <c r="H104" s="16" t="s">
        <v>585</v>
      </c>
      <c r="I104" s="16">
        <f>IF(OR(Picker!$B$10="Yes",SUMPRODUCT((Picker!$A$5:$A$9&lt;&gt;"")*(Picker!$A$5:$A$9&lt;&gt;"(none)"))=0),1,IF($L104="",0,COUNTIF(Picker!$A$5:$A$9,$L104))+IF($N104="",0,COUNTIF(Picker!$A$5:$A$9,$N104))+IF($P104="",0,COUNTIF(Picker!$A$5:$A$9,$P104)))</f>
      </c>
      <c r="J104" s="16">
        <f>IF($I104=0,"",COUNTIFS($B$2:$B$346,$B104,$I$2:$I$346,"&gt;"&amp;$I104)+COUNTIFS($B$2:$B104,$B104,$I$2:$I104,$I104))</f>
      </c>
      <c r="K104" s="16">
        <f>IF($J104="","",$B104&amp;"#"&amp;$J104)</f>
      </c>
      <c r="L104" s="16" t="s">
        <v>117</v>
      </c>
      <c r="M104" s="16">
        <v>2</v>
      </c>
    </row>
    <row r="105" spans="1:17" x14ac:dyDescent="0.25">
      <c r="A105" s="16" t="s">
        <v>586</v>
      </c>
      <c r="B105" s="16" t="s">
        <v>10</v>
      </c>
      <c r="C105" s="16" t="s">
        <v>345</v>
      </c>
      <c r="D105" s="16">
        <v>197</v>
      </c>
      <c r="E105" s="16">
        <v>2</v>
      </c>
      <c r="F105" s="16">
        <v>10</v>
      </c>
      <c r="G105" s="16" t="s">
        <v>587</v>
      </c>
      <c r="H105" s="16" t="s">
        <v>588</v>
      </c>
      <c r="I105" s="16">
        <f>IF(OR(Picker!$B$10="Yes",SUMPRODUCT((Picker!$A$5:$A$9&lt;&gt;"")*(Picker!$A$5:$A$9&lt;&gt;"(none)"))=0),1,IF($L105="",0,COUNTIF(Picker!$A$5:$A$9,$L105))+IF($N105="",0,COUNTIF(Picker!$A$5:$A$9,$N105))+IF($P105="",0,COUNTIF(Picker!$A$5:$A$9,$P105)))</f>
      </c>
      <c r="J105" s="16">
        <f>IF($I105=0,"",COUNTIFS($B$2:$B$346,$B105,$I$2:$I$346,"&gt;"&amp;$I105)+COUNTIFS($B$2:$B105,$B105,$I$2:$I105,$I105))</f>
      </c>
      <c r="K105" s="16">
        <f>IF($J105="","",$B105&amp;"#"&amp;$J105)</f>
      </c>
      <c r="L105" s="16" t="s">
        <v>119</v>
      </c>
      <c r="M105" s="16">
        <v>1</v>
      </c>
      <c r="N105" s="16" t="s">
        <v>144</v>
      </c>
      <c r="O105" s="16">
        <v>1</v>
      </c>
      <c r="P105" s="16" t="s">
        <v>126</v>
      </c>
      <c r="Q105" s="16">
        <v>1</v>
      </c>
    </row>
    <row r="106" spans="1:13" x14ac:dyDescent="0.25">
      <c r="A106" s="16" t="s">
        <v>589</v>
      </c>
      <c r="B106" s="16" t="s">
        <v>10</v>
      </c>
      <c r="C106" s="16" t="s">
        <v>349</v>
      </c>
      <c r="D106" s="16">
        <v>197</v>
      </c>
      <c r="E106" s="16">
        <v>1</v>
      </c>
      <c r="F106" s="16">
        <v>10</v>
      </c>
      <c r="G106" s="16" t="s">
        <v>590</v>
      </c>
      <c r="H106" s="16" t="s">
        <v>591</v>
      </c>
      <c r="I106" s="16">
        <f>IF(OR(Picker!$B$10="Yes",SUMPRODUCT((Picker!$A$5:$A$9&lt;&gt;"")*(Picker!$A$5:$A$9&lt;&gt;"(none)"))=0),1,IF($L106="",0,COUNTIF(Picker!$A$5:$A$9,$L106))+IF($N106="",0,COUNTIF(Picker!$A$5:$A$9,$N106))+IF($P106="",0,COUNTIF(Picker!$A$5:$A$9,$P106)))</f>
      </c>
      <c r="J106" s="16">
        <f>IF($I106=0,"",COUNTIFS($B$2:$B$346,$B106,$I$2:$I$346,"&gt;"&amp;$I106)+COUNTIFS($B$2:$B106,$B106,$I$2:$I106,$I106))</f>
      </c>
      <c r="K106" s="16">
        <f>IF($J106="","",$B106&amp;"#"&amp;$J106)</f>
      </c>
      <c r="L106" s="16" t="s">
        <v>72</v>
      </c>
      <c r="M106" s="16">
        <v>3</v>
      </c>
    </row>
    <row r="107" spans="1:15" x14ac:dyDescent="0.25">
      <c r="A107" s="16" t="s">
        <v>592</v>
      </c>
      <c r="B107" s="16" t="s">
        <v>10</v>
      </c>
      <c r="C107" s="16" t="s">
        <v>353</v>
      </c>
      <c r="D107" s="16">
        <v>197</v>
      </c>
      <c r="E107" s="16">
        <v>1</v>
      </c>
      <c r="F107" s="16">
        <v>10</v>
      </c>
      <c r="G107" s="16" t="s">
        <v>593</v>
      </c>
      <c r="H107" s="16" t="s">
        <v>594</v>
      </c>
      <c r="I107" s="16">
        <f>IF(OR(Picker!$B$10="Yes",SUMPRODUCT((Picker!$A$5:$A$9&lt;&gt;"")*(Picker!$A$5:$A$9&lt;&gt;"(none)"))=0),1,IF($L107="",0,COUNTIF(Picker!$A$5:$A$9,$L107))+IF($N107="",0,COUNTIF(Picker!$A$5:$A$9,$N107))+IF($P107="",0,COUNTIF(Picker!$A$5:$A$9,$P107)))</f>
      </c>
      <c r="J107" s="16">
        <f>IF($I107=0,"",COUNTIFS($B$2:$B$346,$B107,$I$2:$I$346,"&gt;"&amp;$I107)+COUNTIFS($B$2:$B107,$B107,$I$2:$I107,$I107))</f>
      </c>
      <c r="K107" s="16">
        <f>IF($J107="","",$B107&amp;"#"&amp;$J107)</f>
      </c>
      <c r="L107" s="16" t="s">
        <v>72</v>
      </c>
      <c r="M107" s="16">
        <v>1</v>
      </c>
      <c r="N107" s="16" t="s">
        <v>110</v>
      </c>
      <c r="O107" s="16">
        <v>1</v>
      </c>
    </row>
    <row r="108" spans="1:15" x14ac:dyDescent="0.25">
      <c r="A108" s="16" t="s">
        <v>595</v>
      </c>
      <c r="B108" s="16" t="s">
        <v>10</v>
      </c>
      <c r="C108" s="16" t="s">
        <v>357</v>
      </c>
      <c r="D108" s="16">
        <v>197</v>
      </c>
      <c r="E108" s="16">
        <v>1</v>
      </c>
      <c r="F108" s="16">
        <v>10</v>
      </c>
      <c r="G108" s="16" t="s">
        <v>596</v>
      </c>
      <c r="H108" s="16" t="s">
        <v>597</v>
      </c>
      <c r="I108" s="16">
        <f>IF(OR(Picker!$B$10="Yes",SUMPRODUCT((Picker!$A$5:$A$9&lt;&gt;"")*(Picker!$A$5:$A$9&lt;&gt;"(none)"))=0),1,IF($L108="",0,COUNTIF(Picker!$A$5:$A$9,$L108))+IF($N108="",0,COUNTIF(Picker!$A$5:$A$9,$N108))+IF($P108="",0,COUNTIF(Picker!$A$5:$A$9,$P108)))</f>
      </c>
      <c r="J108" s="16">
        <f>IF($I108=0,"",COUNTIFS($B$2:$B$346,$B108,$I$2:$I$346,"&gt;"&amp;$I108)+COUNTIFS($B$2:$B108,$B108,$I$2:$I108,$I108))</f>
      </c>
      <c r="K108" s="16">
        <f>IF($J108="","",$B108&amp;"#"&amp;$J108)</f>
      </c>
      <c r="L108" s="16" t="s">
        <v>99</v>
      </c>
      <c r="M108" s="16">
        <v>2</v>
      </c>
      <c r="N108" s="16" t="s">
        <v>193</v>
      </c>
      <c r="O108" s="16">
        <v>1</v>
      </c>
    </row>
    <row r="109" spans="1:15" x14ac:dyDescent="0.25">
      <c r="A109" s="16" t="s">
        <v>598</v>
      </c>
      <c r="B109" s="16" t="s">
        <v>10</v>
      </c>
      <c r="C109" s="16" t="s">
        <v>361</v>
      </c>
      <c r="D109" s="16">
        <v>197</v>
      </c>
      <c r="E109" s="16">
        <v>1</v>
      </c>
      <c r="F109" s="16">
        <v>10</v>
      </c>
      <c r="G109" s="16" t="s">
        <v>599</v>
      </c>
      <c r="H109" s="16" t="s">
        <v>600</v>
      </c>
      <c r="I109" s="16">
        <f>IF(OR(Picker!$B$10="Yes",SUMPRODUCT((Picker!$A$5:$A$9&lt;&gt;"")*(Picker!$A$5:$A$9&lt;&gt;"(none)"))=0),1,IF($L109="",0,COUNTIF(Picker!$A$5:$A$9,$L109))+IF($N109="",0,COUNTIF(Picker!$A$5:$A$9,$N109))+IF($P109="",0,COUNTIF(Picker!$A$5:$A$9,$P109)))</f>
      </c>
      <c r="J109" s="16">
        <f>IF($I109=0,"",COUNTIFS($B$2:$B$346,$B109,$I$2:$I$346,"&gt;"&amp;$I109)+COUNTIFS($B$2:$B109,$B109,$I$2:$I109,$I109))</f>
      </c>
      <c r="K109" s="16">
        <f>IF($J109="","",$B109&amp;"#"&amp;$J109)</f>
      </c>
      <c r="L109" s="16" t="s">
        <v>155</v>
      </c>
      <c r="M109" s="16">
        <v>2</v>
      </c>
      <c r="N109" s="16" t="s">
        <v>193</v>
      </c>
      <c r="O109" s="16">
        <v>1</v>
      </c>
    </row>
    <row r="110" spans="1:15" x14ac:dyDescent="0.25">
      <c r="A110" s="16" t="s">
        <v>601</v>
      </c>
      <c r="B110" s="16" t="s">
        <v>10</v>
      </c>
      <c r="C110" s="16" t="s">
        <v>365</v>
      </c>
      <c r="D110" s="16">
        <v>197</v>
      </c>
      <c r="E110" s="16">
        <v>1</v>
      </c>
      <c r="F110" s="16">
        <v>10</v>
      </c>
      <c r="G110" s="16" t="s">
        <v>602</v>
      </c>
      <c r="H110" s="16" t="s">
        <v>603</v>
      </c>
      <c r="I110" s="16">
        <f>IF(OR(Picker!$B$10="Yes",SUMPRODUCT((Picker!$A$5:$A$9&lt;&gt;"")*(Picker!$A$5:$A$9&lt;&gt;"(none)"))=0),1,IF($L110="",0,COUNTIF(Picker!$A$5:$A$9,$L110))+IF($N110="",0,COUNTIF(Picker!$A$5:$A$9,$N110))+IF($P110="",0,COUNTIF(Picker!$A$5:$A$9,$P110)))</f>
      </c>
      <c r="J110" s="16">
        <f>IF($I110=0,"",COUNTIFS($B$2:$B$346,$B110,$I$2:$I$346,"&gt;"&amp;$I110)+COUNTIFS($B$2:$B110,$B110,$I$2:$I110,$I110))</f>
      </c>
      <c r="K110" s="16">
        <f>IF($J110="","",$B110&amp;"#"&amp;$J110)</f>
      </c>
      <c r="L110" s="16" t="s">
        <v>112</v>
      </c>
      <c r="M110" s="16">
        <v>2</v>
      </c>
      <c r="N110" s="16" t="s">
        <v>167</v>
      </c>
      <c r="O110" s="16">
        <v>1</v>
      </c>
    </row>
    <row r="111" spans="1:13" x14ac:dyDescent="0.25">
      <c r="A111" s="16" t="s">
        <v>604</v>
      </c>
      <c r="B111" s="16" t="s">
        <v>10</v>
      </c>
      <c r="C111" s="16" t="s">
        <v>369</v>
      </c>
      <c r="D111" s="16">
        <v>197</v>
      </c>
      <c r="E111" s="16">
        <v>1</v>
      </c>
      <c r="F111" s="16">
        <v>10</v>
      </c>
      <c r="G111" s="16" t="s">
        <v>605</v>
      </c>
      <c r="H111" s="16" t="s">
        <v>606</v>
      </c>
      <c r="I111" s="16">
        <f>IF(OR(Picker!$B$10="Yes",SUMPRODUCT((Picker!$A$5:$A$9&lt;&gt;"")*(Picker!$A$5:$A$9&lt;&gt;"(none)"))=0),1,IF($L111="",0,COUNTIF(Picker!$A$5:$A$9,$L111))+IF($N111="",0,COUNTIF(Picker!$A$5:$A$9,$N111))+IF($P111="",0,COUNTIF(Picker!$A$5:$A$9,$P111)))</f>
      </c>
      <c r="J111" s="16">
        <f>IF($I111=0,"",COUNTIFS($B$2:$B$346,$B111,$I$2:$I$346,"&gt;"&amp;$I111)+COUNTIFS($B$2:$B111,$B111,$I$2:$I111,$I111))</f>
      </c>
      <c r="K111" s="16">
        <f>IF($J111="","",$B111&amp;"#"&amp;$J111)</f>
      </c>
      <c r="L111" s="16" t="s">
        <v>187</v>
      </c>
      <c r="M111" s="16">
        <v>2</v>
      </c>
    </row>
    <row r="112" spans="1:15" x14ac:dyDescent="0.25">
      <c r="A112" s="16" t="s">
        <v>607</v>
      </c>
      <c r="B112" s="16" t="s">
        <v>10</v>
      </c>
      <c r="C112" s="16" t="s">
        <v>373</v>
      </c>
      <c r="D112" s="16">
        <v>197</v>
      </c>
      <c r="E112" s="16">
        <v>1</v>
      </c>
      <c r="F112" s="16">
        <v>10</v>
      </c>
      <c r="G112" s="16" t="s">
        <v>608</v>
      </c>
      <c r="H112" s="16" t="s">
        <v>609</v>
      </c>
      <c r="I112" s="16">
        <f>IF(OR(Picker!$B$10="Yes",SUMPRODUCT((Picker!$A$5:$A$9&lt;&gt;"")*(Picker!$A$5:$A$9&lt;&gt;"(none)"))=0),1,IF($L112="",0,COUNTIF(Picker!$A$5:$A$9,$L112))+IF($N112="",0,COUNTIF(Picker!$A$5:$A$9,$N112))+IF($P112="",0,COUNTIF(Picker!$A$5:$A$9,$P112)))</f>
      </c>
      <c r="J112" s="16">
        <f>IF($I112=0,"",COUNTIFS($B$2:$B$346,$B112,$I$2:$I$346,"&gt;"&amp;$I112)+COUNTIFS($B$2:$B112,$B112,$I$2:$I112,$I112))</f>
      </c>
      <c r="K112" s="16">
        <f>IF($J112="","",$B112&amp;"#"&amp;$J112)</f>
      </c>
      <c r="L112" s="16" t="s">
        <v>131</v>
      </c>
      <c r="M112" s="16">
        <v>1</v>
      </c>
      <c r="N112" s="16" t="s">
        <v>80</v>
      </c>
      <c r="O112" s="16">
        <v>2</v>
      </c>
    </row>
    <row r="113" spans="1:15" x14ac:dyDescent="0.25">
      <c r="A113" s="16" t="s">
        <v>610</v>
      </c>
      <c r="B113" s="16" t="s">
        <v>10</v>
      </c>
      <c r="C113" s="16" t="s">
        <v>377</v>
      </c>
      <c r="D113" s="16">
        <v>197</v>
      </c>
      <c r="E113" s="16">
        <v>1</v>
      </c>
      <c r="F113" s="16">
        <v>10</v>
      </c>
      <c r="G113" s="16" t="s">
        <v>611</v>
      </c>
      <c r="H113" s="16" t="s">
        <v>612</v>
      </c>
      <c r="I113" s="16">
        <f>IF(OR(Picker!$B$10="Yes",SUMPRODUCT((Picker!$A$5:$A$9&lt;&gt;"")*(Picker!$A$5:$A$9&lt;&gt;"(none)"))=0),1,IF($L113="",0,COUNTIF(Picker!$A$5:$A$9,$L113))+IF($N113="",0,COUNTIF(Picker!$A$5:$A$9,$N113))+IF($P113="",0,COUNTIF(Picker!$A$5:$A$9,$P113)))</f>
      </c>
      <c r="J113" s="16">
        <f>IF($I113=0,"",COUNTIFS($B$2:$B$346,$B113,$I$2:$I$346,"&gt;"&amp;$I113)+COUNTIFS($B$2:$B113,$B113,$I$2:$I113,$I113))</f>
      </c>
      <c r="K113" s="16">
        <f>IF($J113="","",$B113&amp;"#"&amp;$J113)</f>
      </c>
      <c r="L113" s="16" t="s">
        <v>112</v>
      </c>
      <c r="M113" s="16">
        <v>2</v>
      </c>
      <c r="N113" s="16" t="s">
        <v>85</v>
      </c>
      <c r="O113" s="16">
        <v>1</v>
      </c>
    </row>
    <row r="114" spans="1:13" x14ac:dyDescent="0.25">
      <c r="A114" s="16" t="s">
        <v>613</v>
      </c>
      <c r="B114" s="16" t="s">
        <v>10</v>
      </c>
      <c r="C114" s="16" t="s">
        <v>381</v>
      </c>
      <c r="D114" s="16">
        <v>197</v>
      </c>
      <c r="E114" s="16">
        <v>2</v>
      </c>
      <c r="F114" s="16">
        <v>10</v>
      </c>
      <c r="G114" s="16" t="s">
        <v>614</v>
      </c>
      <c r="H114" s="16" t="s">
        <v>615</v>
      </c>
      <c r="I114" s="16">
        <f>IF(OR(Picker!$B$10="Yes",SUMPRODUCT((Picker!$A$5:$A$9&lt;&gt;"")*(Picker!$A$5:$A$9&lt;&gt;"(none)"))=0),1,IF($L114="",0,COUNTIF(Picker!$A$5:$A$9,$L114))+IF($N114="",0,COUNTIF(Picker!$A$5:$A$9,$N114))+IF($P114="",0,COUNTIF(Picker!$A$5:$A$9,$P114)))</f>
      </c>
      <c r="J114" s="16">
        <f>IF($I114=0,"",COUNTIFS($B$2:$B$346,$B114,$I$2:$I$346,"&gt;"&amp;$I114)+COUNTIFS($B$2:$B114,$B114,$I$2:$I114,$I114))</f>
      </c>
      <c r="K114" s="16">
        <f>IF($J114="","",$B114&amp;"#"&amp;$J114)</f>
      </c>
      <c r="L114" s="16" t="s">
        <v>82</v>
      </c>
      <c r="M114" s="16">
        <v>2</v>
      </c>
    </row>
    <row r="115" spans="1:15" x14ac:dyDescent="0.25">
      <c r="A115" s="16" t="s">
        <v>616</v>
      </c>
      <c r="B115" s="16" t="s">
        <v>10</v>
      </c>
      <c r="C115" s="16" t="s">
        <v>385</v>
      </c>
      <c r="D115" s="16">
        <v>197</v>
      </c>
      <c r="E115" s="16">
        <v>1</v>
      </c>
      <c r="F115" s="16">
        <v>10</v>
      </c>
      <c r="G115" s="16" t="s">
        <v>617</v>
      </c>
      <c r="H115" s="16" t="s">
        <v>618</v>
      </c>
      <c r="I115" s="16">
        <f>IF(OR(Picker!$B$10="Yes",SUMPRODUCT((Picker!$A$5:$A$9&lt;&gt;"")*(Picker!$A$5:$A$9&lt;&gt;"(none)"))=0),1,IF($L115="",0,COUNTIF(Picker!$A$5:$A$9,$L115))+IF($N115="",0,COUNTIF(Picker!$A$5:$A$9,$N115))+IF($P115="",0,COUNTIF(Picker!$A$5:$A$9,$P115)))</f>
      </c>
      <c r="J115" s="16">
        <f>IF($I115=0,"",COUNTIFS($B$2:$B$346,$B115,$I$2:$I$346,"&gt;"&amp;$I115)+COUNTIFS($B$2:$B115,$B115,$I$2:$I115,$I115))</f>
      </c>
      <c r="K115" s="16">
        <f>IF($J115="","",$B115&amp;"#"&amp;$J115)</f>
      </c>
      <c r="L115" s="16" t="s">
        <v>90</v>
      </c>
      <c r="M115" s="16">
        <v>2</v>
      </c>
      <c r="N115" s="16" t="s">
        <v>130</v>
      </c>
      <c r="O115" s="16">
        <v>1</v>
      </c>
    </row>
    <row r="116" spans="1:17" x14ac:dyDescent="0.25">
      <c r="A116" s="16" t="s">
        <v>619</v>
      </c>
      <c r="B116" s="16" t="s">
        <v>10</v>
      </c>
      <c r="C116" s="16" t="s">
        <v>389</v>
      </c>
      <c r="D116" s="16">
        <v>197</v>
      </c>
      <c r="E116" s="16">
        <v>1</v>
      </c>
      <c r="F116" s="16">
        <v>10</v>
      </c>
      <c r="G116" s="16" t="s">
        <v>620</v>
      </c>
      <c r="H116" s="16" t="s">
        <v>621</v>
      </c>
      <c r="I116" s="16">
        <f>IF(OR(Picker!$B$10="Yes",SUMPRODUCT((Picker!$A$5:$A$9&lt;&gt;"")*(Picker!$A$5:$A$9&lt;&gt;"(none)"))=0),1,IF($L116="",0,COUNTIF(Picker!$A$5:$A$9,$L116))+IF($N116="",0,COUNTIF(Picker!$A$5:$A$9,$N116))+IF($P116="",0,COUNTIF(Picker!$A$5:$A$9,$P116)))</f>
      </c>
      <c r="J116" s="16">
        <f>IF($I116=0,"",COUNTIFS($B$2:$B$346,$B116,$I$2:$I$346,"&gt;"&amp;$I116)+COUNTIFS($B$2:$B116,$B116,$I$2:$I116,$I116))</f>
      </c>
      <c r="K116" s="16">
        <f>IF($J116="","",$B116&amp;"#"&amp;$J116)</f>
      </c>
      <c r="L116" s="16" t="s">
        <v>104</v>
      </c>
      <c r="M116" s="16">
        <v>1</v>
      </c>
      <c r="N116" s="16" t="s">
        <v>170</v>
      </c>
      <c r="O116" s="16">
        <v>2</v>
      </c>
      <c r="P116" s="16" t="s">
        <v>136</v>
      </c>
      <c r="Q116" s="16">
        <v>1</v>
      </c>
    </row>
    <row r="117" spans="1:15" x14ac:dyDescent="0.25">
      <c r="A117" s="16" t="s">
        <v>622</v>
      </c>
      <c r="B117" s="16" t="s">
        <v>10</v>
      </c>
      <c r="C117" s="16" t="s">
        <v>393</v>
      </c>
      <c r="D117" s="16">
        <v>197</v>
      </c>
      <c r="E117" s="16">
        <v>1</v>
      </c>
      <c r="F117" s="16">
        <v>10</v>
      </c>
      <c r="G117" s="16" t="s">
        <v>623</v>
      </c>
      <c r="H117" s="16" t="s">
        <v>624</v>
      </c>
      <c r="I117" s="16">
        <f>IF(OR(Picker!$B$10="Yes",SUMPRODUCT((Picker!$A$5:$A$9&lt;&gt;"")*(Picker!$A$5:$A$9&lt;&gt;"(none)"))=0),1,IF($L117="",0,COUNTIF(Picker!$A$5:$A$9,$L117))+IF($N117="",0,COUNTIF(Picker!$A$5:$A$9,$N117))+IF($P117="",0,COUNTIF(Picker!$A$5:$A$9,$P117)))</f>
      </c>
      <c r="J117" s="16">
        <f>IF($I117=0,"",COUNTIFS($B$2:$B$346,$B117,$I$2:$I$346,"&gt;"&amp;$I117)+COUNTIFS($B$2:$B117,$B117,$I$2:$I117,$I117))</f>
      </c>
      <c r="K117" s="16">
        <f>IF($J117="","",$B117&amp;"#"&amp;$J117)</f>
      </c>
      <c r="L117" s="16" t="s">
        <v>92</v>
      </c>
      <c r="M117" s="16">
        <v>2</v>
      </c>
      <c r="N117" s="16" t="s">
        <v>79</v>
      </c>
      <c r="O117" s="16">
        <v>1</v>
      </c>
    </row>
    <row r="118" spans="1:15" x14ac:dyDescent="0.25">
      <c r="A118" s="16" t="s">
        <v>625</v>
      </c>
      <c r="B118" s="16" t="s">
        <v>10</v>
      </c>
      <c r="C118" s="16" t="s">
        <v>401</v>
      </c>
      <c r="D118" s="16">
        <v>197</v>
      </c>
      <c r="E118" s="16">
        <v>1</v>
      </c>
      <c r="F118" s="16">
        <v>10</v>
      </c>
      <c r="G118" s="16" t="s">
        <v>626</v>
      </c>
      <c r="H118" s="16" t="s">
        <v>627</v>
      </c>
      <c r="I118" s="16">
        <f>IF(OR(Picker!$B$10="Yes",SUMPRODUCT((Picker!$A$5:$A$9&lt;&gt;"")*(Picker!$A$5:$A$9&lt;&gt;"(none)"))=0),1,IF($L118="",0,COUNTIF(Picker!$A$5:$A$9,$L118))+IF($N118="",0,COUNTIF(Picker!$A$5:$A$9,$N118))+IF($P118="",0,COUNTIF(Picker!$A$5:$A$9,$P118)))</f>
      </c>
      <c r="J118" s="16">
        <f>IF($I118=0,"",COUNTIFS($B$2:$B$346,$B118,$I$2:$I$346,"&gt;"&amp;$I118)+COUNTIFS($B$2:$B118,$B118,$I$2:$I118,$I118))</f>
      </c>
      <c r="K118" s="16">
        <f>IF($J118="","",$B118&amp;"#"&amp;$J118)</f>
      </c>
      <c r="L118" s="16" t="s">
        <v>161</v>
      </c>
      <c r="M118" s="16">
        <v>1</v>
      </c>
      <c r="N118" s="16" t="s">
        <v>150</v>
      </c>
      <c r="O118" s="16">
        <v>2</v>
      </c>
    </row>
    <row r="119" spans="1:15" x14ac:dyDescent="0.25">
      <c r="A119" s="16" t="s">
        <v>628</v>
      </c>
      <c r="B119" s="16" t="s">
        <v>10</v>
      </c>
      <c r="C119" s="16" t="s">
        <v>397</v>
      </c>
      <c r="D119" s="16">
        <v>197</v>
      </c>
      <c r="E119" s="16">
        <v>1</v>
      </c>
      <c r="F119" s="16">
        <v>10</v>
      </c>
      <c r="G119" s="16" t="s">
        <v>629</v>
      </c>
      <c r="H119" s="16" t="s">
        <v>630</v>
      </c>
      <c r="I119" s="16">
        <f>IF(OR(Picker!$B$10="Yes",SUMPRODUCT((Picker!$A$5:$A$9&lt;&gt;"")*(Picker!$A$5:$A$9&lt;&gt;"(none)"))=0),1,IF($L119="",0,COUNTIF(Picker!$A$5:$A$9,$L119))+IF($N119="",0,COUNTIF(Picker!$A$5:$A$9,$N119))+IF($P119="",0,COUNTIF(Picker!$A$5:$A$9,$P119)))</f>
      </c>
      <c r="J119" s="16">
        <f>IF($I119=0,"",COUNTIFS($B$2:$B$346,$B119,$I$2:$I$346,"&gt;"&amp;$I119)+COUNTIFS($B$2:$B119,$B119,$I$2:$I119,$I119))</f>
      </c>
      <c r="K119" s="16">
        <f>IF($J119="","",$B119&amp;"#"&amp;$J119)</f>
      </c>
      <c r="L119" s="16" t="s">
        <v>149</v>
      </c>
      <c r="M119" s="16">
        <v>1</v>
      </c>
      <c r="N119" s="16" t="s">
        <v>112</v>
      </c>
      <c r="O119" s="16">
        <v>2</v>
      </c>
    </row>
    <row r="120" spans="1:15" x14ac:dyDescent="0.25">
      <c r="A120" s="16" t="s">
        <v>631</v>
      </c>
      <c r="B120" s="16" t="s">
        <v>10</v>
      </c>
      <c r="C120" s="16" t="s">
        <v>405</v>
      </c>
      <c r="D120" s="16">
        <v>197</v>
      </c>
      <c r="E120" s="16">
        <v>1</v>
      </c>
      <c r="F120" s="16">
        <v>10</v>
      </c>
      <c r="G120" s="16" t="s">
        <v>632</v>
      </c>
      <c r="H120" s="16" t="s">
        <v>633</v>
      </c>
      <c r="I120" s="16">
        <f>IF(OR(Picker!$B$10="Yes",SUMPRODUCT((Picker!$A$5:$A$9&lt;&gt;"")*(Picker!$A$5:$A$9&lt;&gt;"(none)"))=0),1,IF($L120="",0,COUNTIF(Picker!$A$5:$A$9,$L120))+IF($N120="",0,COUNTIF(Picker!$A$5:$A$9,$N120))+IF($P120="",0,COUNTIF(Picker!$A$5:$A$9,$P120)))</f>
      </c>
      <c r="J120" s="16">
        <f>IF($I120=0,"",COUNTIFS($B$2:$B$346,$B120,$I$2:$I$346,"&gt;"&amp;$I120)+COUNTIFS($B$2:$B120,$B120,$I$2:$I120,$I120))</f>
      </c>
      <c r="K120" s="16">
        <f>IF($J120="","",$B120&amp;"#"&amp;$J120)</f>
      </c>
      <c r="L120" s="16" t="s">
        <v>171</v>
      </c>
      <c r="M120" s="16">
        <v>1</v>
      </c>
      <c r="N120" s="16" t="s">
        <v>137</v>
      </c>
      <c r="O120" s="16">
        <v>2</v>
      </c>
    </row>
    <row r="121" spans="1:15" x14ac:dyDescent="0.25">
      <c r="A121" s="16" t="s">
        <v>634</v>
      </c>
      <c r="B121" s="16" t="s">
        <v>10</v>
      </c>
      <c r="C121" s="16" t="s">
        <v>409</v>
      </c>
      <c r="D121" s="16">
        <v>197</v>
      </c>
      <c r="E121" s="16">
        <v>1</v>
      </c>
      <c r="F121" s="16">
        <v>10</v>
      </c>
      <c r="G121" s="16" t="s">
        <v>635</v>
      </c>
      <c r="H121" s="16" t="s">
        <v>636</v>
      </c>
      <c r="I121" s="16">
        <f>IF(OR(Picker!$B$10="Yes",SUMPRODUCT((Picker!$A$5:$A$9&lt;&gt;"")*(Picker!$A$5:$A$9&lt;&gt;"(none)"))=0),1,IF($L121="",0,COUNTIF(Picker!$A$5:$A$9,$L121))+IF($N121="",0,COUNTIF(Picker!$A$5:$A$9,$N121))+IF($P121="",0,COUNTIF(Picker!$A$5:$A$9,$P121)))</f>
      </c>
      <c r="J121" s="16">
        <f>IF($I121=0,"",COUNTIFS($B$2:$B$346,$B121,$I$2:$I$346,"&gt;"&amp;$I121)+COUNTIFS($B$2:$B121,$B121,$I$2:$I121,$I121))</f>
      </c>
      <c r="K121" s="16">
        <f>IF($J121="","",$B121&amp;"#"&amp;$J121)</f>
      </c>
      <c r="L121" s="16" t="s">
        <v>112</v>
      </c>
      <c r="M121" s="16">
        <v>1</v>
      </c>
      <c r="N121" s="16" t="s">
        <v>100</v>
      </c>
      <c r="O121" s="16">
        <v>1</v>
      </c>
    </row>
    <row r="122" spans="1:15" x14ac:dyDescent="0.25">
      <c r="A122" s="16" t="s">
        <v>637</v>
      </c>
      <c r="B122" s="16" t="s">
        <v>10</v>
      </c>
      <c r="C122" s="16" t="s">
        <v>413</v>
      </c>
      <c r="D122" s="16">
        <v>197</v>
      </c>
      <c r="E122" s="16">
        <v>1</v>
      </c>
      <c r="F122" s="16">
        <v>10</v>
      </c>
      <c r="G122" s="16" t="s">
        <v>638</v>
      </c>
      <c r="H122" s="16" t="s">
        <v>639</v>
      </c>
      <c r="I122" s="16">
        <f>IF(OR(Picker!$B$10="Yes",SUMPRODUCT((Picker!$A$5:$A$9&lt;&gt;"")*(Picker!$A$5:$A$9&lt;&gt;"(none)"))=0),1,IF($L122="",0,COUNTIF(Picker!$A$5:$A$9,$L122))+IF($N122="",0,COUNTIF(Picker!$A$5:$A$9,$N122))+IF($P122="",0,COUNTIF(Picker!$A$5:$A$9,$P122)))</f>
      </c>
      <c r="J122" s="16">
        <f>IF($I122=0,"",COUNTIFS($B$2:$B$346,$B122,$I$2:$I$346,"&gt;"&amp;$I122)+COUNTIFS($B$2:$B122,$B122,$I$2:$I122,$I122))</f>
      </c>
      <c r="K122" s="16">
        <f>IF($J122="","",$B122&amp;"#"&amp;$J122)</f>
      </c>
      <c r="L122" s="16" t="s">
        <v>109</v>
      </c>
      <c r="M122" s="16">
        <v>1</v>
      </c>
      <c r="N122" s="16" t="s">
        <v>102</v>
      </c>
      <c r="O122" s="16">
        <v>2</v>
      </c>
    </row>
    <row r="123" spans="1:13" x14ac:dyDescent="0.25">
      <c r="A123" s="16" t="s">
        <v>640</v>
      </c>
      <c r="B123" s="16" t="s">
        <v>10</v>
      </c>
      <c r="C123" s="16" t="s">
        <v>417</v>
      </c>
      <c r="D123" s="16">
        <v>197</v>
      </c>
      <c r="E123" s="16">
        <v>1</v>
      </c>
      <c r="F123" s="16">
        <v>10</v>
      </c>
      <c r="G123" s="16" t="s">
        <v>641</v>
      </c>
      <c r="H123" s="16" t="s">
        <v>642</v>
      </c>
      <c r="I123" s="16">
        <f>IF(OR(Picker!$B$10="Yes",SUMPRODUCT((Picker!$A$5:$A$9&lt;&gt;"")*(Picker!$A$5:$A$9&lt;&gt;"(none)"))=0),1,IF($L123="",0,COUNTIF(Picker!$A$5:$A$9,$L123))+IF($N123="",0,COUNTIF(Picker!$A$5:$A$9,$N123))+IF($P123="",0,COUNTIF(Picker!$A$5:$A$9,$P123)))</f>
      </c>
      <c r="J123" s="16">
        <f>IF($I123=0,"",COUNTIFS($B$2:$B$346,$B123,$I$2:$I$346,"&gt;"&amp;$I123)+COUNTIFS($B$2:$B123,$B123,$I$2:$I123,$I123))</f>
      </c>
      <c r="K123" s="16">
        <f>IF($J123="","",$B123&amp;"#"&amp;$J123)</f>
      </c>
      <c r="L123" s="16" t="s">
        <v>192</v>
      </c>
      <c r="M123" s="16">
        <v>2</v>
      </c>
    </row>
    <row r="124" spans="1:13" x14ac:dyDescent="0.25">
      <c r="A124" s="16" t="s">
        <v>643</v>
      </c>
      <c r="B124" s="16" t="s">
        <v>10</v>
      </c>
      <c r="C124" s="16" t="s">
        <v>421</v>
      </c>
      <c r="D124" s="16">
        <v>197</v>
      </c>
      <c r="E124" s="16">
        <v>1</v>
      </c>
      <c r="F124" s="16">
        <v>10</v>
      </c>
      <c r="G124" s="16" t="s">
        <v>644</v>
      </c>
      <c r="H124" s="16" t="s">
        <v>645</v>
      </c>
      <c r="I124" s="16">
        <f>IF(OR(Picker!$B$10="Yes",SUMPRODUCT((Picker!$A$5:$A$9&lt;&gt;"")*(Picker!$A$5:$A$9&lt;&gt;"(none)"))=0),1,IF($L124="",0,COUNTIF(Picker!$A$5:$A$9,$L124))+IF($N124="",0,COUNTIF(Picker!$A$5:$A$9,$N124))+IF($P124="",0,COUNTIF(Picker!$A$5:$A$9,$P124)))</f>
      </c>
      <c r="J124" s="16">
        <f>IF($I124=0,"",COUNTIFS($B$2:$B$346,$B124,$I$2:$I$346,"&gt;"&amp;$I124)+COUNTIFS($B$2:$B124,$B124,$I$2:$I124,$I124))</f>
      </c>
      <c r="K124" s="16">
        <f>IF($J124="","",$B124&amp;"#"&amp;$J124)</f>
      </c>
      <c r="L124" s="16" t="s">
        <v>147</v>
      </c>
      <c r="M124" s="16">
        <v>2</v>
      </c>
    </row>
    <row r="125" spans="1:15" x14ac:dyDescent="0.25">
      <c r="A125" s="16" t="s">
        <v>646</v>
      </c>
      <c r="B125" s="16" t="s">
        <v>10</v>
      </c>
      <c r="C125" s="16" t="s">
        <v>425</v>
      </c>
      <c r="D125" s="16">
        <v>197</v>
      </c>
      <c r="E125" s="16">
        <v>1</v>
      </c>
      <c r="F125" s="16">
        <v>10</v>
      </c>
      <c r="G125" s="16" t="s">
        <v>647</v>
      </c>
      <c r="H125" s="16" t="s">
        <v>648</v>
      </c>
      <c r="I125" s="16">
        <f>IF(OR(Picker!$B$10="Yes",SUMPRODUCT((Picker!$A$5:$A$9&lt;&gt;"")*(Picker!$A$5:$A$9&lt;&gt;"(none)"))=0),1,IF($L125="",0,COUNTIF(Picker!$A$5:$A$9,$L125))+IF($N125="",0,COUNTIF(Picker!$A$5:$A$9,$N125))+IF($P125="",0,COUNTIF(Picker!$A$5:$A$9,$P125)))</f>
      </c>
      <c r="J125" s="16">
        <f>IF($I125=0,"",COUNTIFS($B$2:$B$346,$B125,$I$2:$I$346,"&gt;"&amp;$I125)+COUNTIFS($B$2:$B125,$B125,$I$2:$I125,$I125))</f>
      </c>
      <c r="K125" s="16">
        <f>IF($J125="","",$B125&amp;"#"&amp;$J125)</f>
      </c>
      <c r="L125" s="16" t="s">
        <v>84</v>
      </c>
      <c r="M125" s="16">
        <v>1</v>
      </c>
      <c r="N125" s="16" t="s">
        <v>73</v>
      </c>
      <c r="O125" s="16">
        <v>1</v>
      </c>
    </row>
    <row r="126" spans="1:17" x14ac:dyDescent="0.25">
      <c r="A126" s="16" t="s">
        <v>649</v>
      </c>
      <c r="B126" s="16" t="s">
        <v>10</v>
      </c>
      <c r="C126" s="16" t="s">
        <v>429</v>
      </c>
      <c r="D126" s="16">
        <v>197</v>
      </c>
      <c r="E126" s="16">
        <v>1</v>
      </c>
      <c r="F126" s="16">
        <v>10</v>
      </c>
      <c r="G126" s="16" t="s">
        <v>650</v>
      </c>
      <c r="H126" s="16" t="s">
        <v>651</v>
      </c>
      <c r="I126" s="16">
        <f>IF(OR(Picker!$B$10="Yes",SUMPRODUCT((Picker!$A$5:$A$9&lt;&gt;"")*(Picker!$A$5:$A$9&lt;&gt;"(none)"))=0),1,IF($L126="",0,COUNTIF(Picker!$A$5:$A$9,$L126))+IF($N126="",0,COUNTIF(Picker!$A$5:$A$9,$N126))+IF($P126="",0,COUNTIF(Picker!$A$5:$A$9,$P126)))</f>
      </c>
      <c r="J126" s="16">
        <f>IF($I126=0,"",COUNTIFS($B$2:$B$346,$B126,$I$2:$I$346,"&gt;"&amp;$I126)+COUNTIFS($B$2:$B126,$B126,$I$2:$I126,$I126))</f>
      </c>
      <c r="K126" s="16">
        <f>IF($J126="","",$B126&amp;"#"&amp;$J126)</f>
      </c>
      <c r="L126" s="16" t="s">
        <v>72</v>
      </c>
      <c r="M126" s="16">
        <v>1</v>
      </c>
      <c r="N126" s="16" t="s">
        <v>130</v>
      </c>
      <c r="O126" s="16">
        <v>1</v>
      </c>
      <c r="P126" s="16" t="s">
        <v>59</v>
      </c>
      <c r="Q126" s="16">
        <v>1</v>
      </c>
    </row>
    <row r="127" spans="1:15" x14ac:dyDescent="0.25">
      <c r="A127" s="16" t="s">
        <v>652</v>
      </c>
      <c r="B127" s="16" t="s">
        <v>10</v>
      </c>
      <c r="C127" s="16" t="s">
        <v>433</v>
      </c>
      <c r="D127" s="16">
        <v>197</v>
      </c>
      <c r="E127" s="16">
        <v>1</v>
      </c>
      <c r="F127" s="16">
        <v>10</v>
      </c>
      <c r="G127" s="16" t="s">
        <v>653</v>
      </c>
      <c r="H127" s="16" t="s">
        <v>654</v>
      </c>
      <c r="I127" s="16">
        <f>IF(OR(Picker!$B$10="Yes",SUMPRODUCT((Picker!$A$5:$A$9&lt;&gt;"")*(Picker!$A$5:$A$9&lt;&gt;"(none)"))=0),1,IF($L127="",0,COUNTIF(Picker!$A$5:$A$9,$L127))+IF($N127="",0,COUNTIF(Picker!$A$5:$A$9,$N127))+IF($P127="",0,COUNTIF(Picker!$A$5:$A$9,$P127)))</f>
      </c>
      <c r="J127" s="16">
        <f>IF($I127=0,"",COUNTIFS($B$2:$B$346,$B127,$I$2:$I$346,"&gt;"&amp;$I127)+COUNTIFS($B$2:$B127,$B127,$I$2:$I127,$I127))</f>
      </c>
      <c r="K127" s="16">
        <f>IF($J127="","",$B127&amp;"#"&amp;$J127)</f>
      </c>
      <c r="L127" s="16" t="s">
        <v>132</v>
      </c>
      <c r="M127" s="16">
        <v>2</v>
      </c>
      <c r="N127" s="16" t="s">
        <v>184</v>
      </c>
      <c r="O127" s="16">
        <v>1</v>
      </c>
    </row>
    <row r="128" spans="1:15" x14ac:dyDescent="0.25">
      <c r="A128" s="16" t="s">
        <v>655</v>
      </c>
      <c r="B128" s="16" t="s">
        <v>10</v>
      </c>
      <c r="C128" s="16" t="s">
        <v>437</v>
      </c>
      <c r="D128" s="16">
        <v>197</v>
      </c>
      <c r="E128" s="16">
        <v>1</v>
      </c>
      <c r="F128" s="16">
        <v>10</v>
      </c>
      <c r="G128" s="16" t="s">
        <v>656</v>
      </c>
      <c r="H128" s="16" t="s">
        <v>657</v>
      </c>
      <c r="I128" s="16">
        <f>IF(OR(Picker!$B$10="Yes",SUMPRODUCT((Picker!$A$5:$A$9&lt;&gt;"")*(Picker!$A$5:$A$9&lt;&gt;"(none)"))=0),1,IF($L128="",0,COUNTIF(Picker!$A$5:$A$9,$L128))+IF($N128="",0,COUNTIF(Picker!$A$5:$A$9,$N128))+IF($P128="",0,COUNTIF(Picker!$A$5:$A$9,$P128)))</f>
      </c>
      <c r="J128" s="16">
        <f>IF($I128=0,"",COUNTIFS($B$2:$B$346,$B128,$I$2:$I$346,"&gt;"&amp;$I128)+COUNTIFS($B$2:$B128,$B128,$I$2:$I128,$I128))</f>
      </c>
      <c r="K128" s="16">
        <f>IF($J128="","",$B128&amp;"#"&amp;$J128)</f>
      </c>
      <c r="L128" s="16" t="s">
        <v>109</v>
      </c>
      <c r="M128" s="16">
        <v>1</v>
      </c>
      <c r="N128" s="16" t="s">
        <v>90</v>
      </c>
      <c r="O128" s="16">
        <v>1</v>
      </c>
    </row>
    <row r="129" spans="1:15" x14ac:dyDescent="0.25">
      <c r="A129" s="16" t="s">
        <v>658</v>
      </c>
      <c r="B129" s="16" t="s">
        <v>10</v>
      </c>
      <c r="C129" s="16" t="s">
        <v>441</v>
      </c>
      <c r="D129" s="16">
        <v>197</v>
      </c>
      <c r="E129" s="16">
        <v>1</v>
      </c>
      <c r="F129" s="16">
        <v>10</v>
      </c>
      <c r="G129" s="16" t="s">
        <v>659</v>
      </c>
      <c r="H129" s="16" t="s">
        <v>660</v>
      </c>
      <c r="I129" s="16">
        <f>IF(OR(Picker!$B$10="Yes",SUMPRODUCT((Picker!$A$5:$A$9&lt;&gt;"")*(Picker!$A$5:$A$9&lt;&gt;"(none)"))=0),1,IF($L129="",0,COUNTIF(Picker!$A$5:$A$9,$L129))+IF($N129="",0,COUNTIF(Picker!$A$5:$A$9,$N129))+IF($P129="",0,COUNTIF(Picker!$A$5:$A$9,$P129)))</f>
      </c>
      <c r="J129" s="16">
        <f>IF($I129=0,"",COUNTIFS($B$2:$B$346,$B129,$I$2:$I$346,"&gt;"&amp;$I129)+COUNTIFS($B$2:$B129,$B129,$I$2:$I129,$I129))</f>
      </c>
      <c r="K129" s="16">
        <f>IF($J129="","",$B129&amp;"#"&amp;$J129)</f>
      </c>
      <c r="L129" s="16" t="s">
        <v>157</v>
      </c>
      <c r="M129" s="16">
        <v>2</v>
      </c>
      <c r="N129" s="16" t="s">
        <v>76</v>
      </c>
      <c r="O129" s="16">
        <v>1</v>
      </c>
    </row>
    <row r="130" spans="1:13" x14ac:dyDescent="0.25">
      <c r="A130" s="16" t="s">
        <v>661</v>
      </c>
      <c r="B130" s="16" t="s">
        <v>10</v>
      </c>
      <c r="C130" s="16" t="s">
        <v>445</v>
      </c>
      <c r="D130" s="16">
        <v>197</v>
      </c>
      <c r="E130" s="16">
        <v>1</v>
      </c>
      <c r="F130" s="16">
        <v>10</v>
      </c>
      <c r="G130" s="16" t="s">
        <v>662</v>
      </c>
      <c r="H130" s="16" t="s">
        <v>663</v>
      </c>
      <c r="I130" s="16">
        <f>IF(OR(Picker!$B$10="Yes",SUMPRODUCT((Picker!$A$5:$A$9&lt;&gt;"")*(Picker!$A$5:$A$9&lt;&gt;"(none)"))=0),1,IF($L130="",0,COUNTIF(Picker!$A$5:$A$9,$L130))+IF($N130="",0,COUNTIF(Picker!$A$5:$A$9,$N130))+IF($P130="",0,COUNTIF(Picker!$A$5:$A$9,$P130)))</f>
      </c>
      <c r="J130" s="16">
        <f>IF($I130=0,"",COUNTIFS($B$2:$B$346,$B130,$I$2:$I$346,"&gt;"&amp;$I130)+COUNTIFS($B$2:$B130,$B130,$I$2:$I130,$I130))</f>
      </c>
      <c r="K130" s="16">
        <f>IF($J130="","",$B130&amp;"#"&amp;$J130)</f>
      </c>
      <c r="L130" s="16" t="s">
        <v>165</v>
      </c>
      <c r="M130" s="16">
        <v>2</v>
      </c>
    </row>
    <row r="131" spans="1:15" x14ac:dyDescent="0.25">
      <c r="A131" s="16" t="s">
        <v>664</v>
      </c>
      <c r="B131" s="16" t="s">
        <v>10</v>
      </c>
      <c r="C131" s="16" t="s">
        <v>449</v>
      </c>
      <c r="D131" s="16">
        <v>197</v>
      </c>
      <c r="E131" s="16">
        <v>1</v>
      </c>
      <c r="F131" s="16">
        <v>10</v>
      </c>
      <c r="G131" s="16" t="s">
        <v>665</v>
      </c>
      <c r="H131" s="16" t="s">
        <v>666</v>
      </c>
      <c r="I131" s="16">
        <f>IF(OR(Picker!$B$10="Yes",SUMPRODUCT((Picker!$A$5:$A$9&lt;&gt;"")*(Picker!$A$5:$A$9&lt;&gt;"(none)"))=0),1,IF($L131="",0,COUNTIF(Picker!$A$5:$A$9,$L131))+IF($N131="",0,COUNTIF(Picker!$A$5:$A$9,$N131))+IF($P131="",0,COUNTIF(Picker!$A$5:$A$9,$P131)))</f>
      </c>
      <c r="J131" s="16">
        <f>IF($I131=0,"",COUNTIFS($B$2:$B$346,$B131,$I$2:$I$346,"&gt;"&amp;$I131)+COUNTIFS($B$2:$B131,$B131,$I$2:$I131,$I131))</f>
      </c>
      <c r="K131" s="16">
        <f>IF($J131="","",$B131&amp;"#"&amp;$J131)</f>
      </c>
      <c r="L131" s="16" t="s">
        <v>62</v>
      </c>
      <c r="M131" s="16">
        <v>1</v>
      </c>
      <c r="N131" s="16" t="s">
        <v>103</v>
      </c>
      <c r="O131" s="16">
        <v>2</v>
      </c>
    </row>
    <row r="132" spans="1:17" x14ac:dyDescent="0.25">
      <c r="A132" s="16" t="s">
        <v>667</v>
      </c>
      <c r="B132" s="16" t="s">
        <v>10</v>
      </c>
      <c r="C132" s="16" t="s">
        <v>453</v>
      </c>
      <c r="D132" s="16">
        <v>197</v>
      </c>
      <c r="E132" s="16">
        <v>1</v>
      </c>
      <c r="F132" s="16">
        <v>10</v>
      </c>
      <c r="G132" s="16" t="s">
        <v>668</v>
      </c>
      <c r="H132" s="16" t="s">
        <v>669</v>
      </c>
      <c r="I132" s="16">
        <f>IF(OR(Picker!$B$10="Yes",SUMPRODUCT((Picker!$A$5:$A$9&lt;&gt;"")*(Picker!$A$5:$A$9&lt;&gt;"(none)"))=0),1,IF($L132="",0,COUNTIF(Picker!$A$5:$A$9,$L132))+IF($N132="",0,COUNTIF(Picker!$A$5:$A$9,$N132))+IF($P132="",0,COUNTIF(Picker!$A$5:$A$9,$P132)))</f>
      </c>
      <c r="J132" s="16">
        <f>IF($I132=0,"",COUNTIFS($B$2:$B$346,$B132,$I$2:$I$346,"&gt;"&amp;$I132)+COUNTIFS($B$2:$B132,$B132,$I$2:$I132,$I132))</f>
      </c>
      <c r="K132" s="16">
        <f>IF($J132="","",$B132&amp;"#"&amp;$J132)</f>
      </c>
      <c r="L132" s="16" t="s">
        <v>90</v>
      </c>
      <c r="M132" s="16">
        <v>1</v>
      </c>
      <c r="N132" s="16" t="s">
        <v>128</v>
      </c>
      <c r="O132" s="16">
        <v>1</v>
      </c>
      <c r="P132" s="16" t="s">
        <v>135</v>
      </c>
      <c r="Q132" s="16">
        <v>1</v>
      </c>
    </row>
    <row r="133" spans="1:15" x14ac:dyDescent="0.25">
      <c r="A133" s="16" t="s">
        <v>670</v>
      </c>
      <c r="B133" s="16" t="s">
        <v>10</v>
      </c>
      <c r="C133" s="16" t="s">
        <v>457</v>
      </c>
      <c r="D133" s="16">
        <v>197</v>
      </c>
      <c r="E133" s="16">
        <v>1</v>
      </c>
      <c r="F133" s="16">
        <v>10</v>
      </c>
      <c r="G133" s="16" t="s">
        <v>671</v>
      </c>
      <c r="H133" s="16" t="s">
        <v>672</v>
      </c>
      <c r="I133" s="16">
        <f>IF(OR(Picker!$B$10="Yes",SUMPRODUCT((Picker!$A$5:$A$9&lt;&gt;"")*(Picker!$A$5:$A$9&lt;&gt;"(none)"))=0),1,IF($L133="",0,COUNTIF(Picker!$A$5:$A$9,$L133))+IF($N133="",0,COUNTIF(Picker!$A$5:$A$9,$N133))+IF($P133="",0,COUNTIF(Picker!$A$5:$A$9,$P133)))</f>
      </c>
      <c r="J133" s="16">
        <f>IF($I133=0,"",COUNTIFS($B$2:$B$346,$B133,$I$2:$I$346,"&gt;"&amp;$I133)+COUNTIFS($B$2:$B133,$B133,$I$2:$I133,$I133))</f>
      </c>
      <c r="K133" s="16">
        <f>IF($J133="","",$B133&amp;"#"&amp;$J133)</f>
      </c>
      <c r="L133" s="16" t="s">
        <v>117</v>
      </c>
      <c r="M133" s="16">
        <v>1</v>
      </c>
      <c r="N133" s="16" t="s">
        <v>121</v>
      </c>
      <c r="O133" s="16">
        <v>2</v>
      </c>
    </row>
    <row r="134" spans="1:15" x14ac:dyDescent="0.25">
      <c r="A134" s="16" t="s">
        <v>673</v>
      </c>
      <c r="B134" s="16" t="s">
        <v>10</v>
      </c>
      <c r="C134" s="16" t="s">
        <v>461</v>
      </c>
      <c r="D134" s="16">
        <v>197</v>
      </c>
      <c r="E134" s="16">
        <v>1</v>
      </c>
      <c r="F134" s="16">
        <v>10</v>
      </c>
      <c r="G134" s="16" t="s">
        <v>674</v>
      </c>
      <c r="H134" s="16" t="s">
        <v>675</v>
      </c>
      <c r="I134" s="16">
        <f>IF(OR(Picker!$B$10="Yes",SUMPRODUCT((Picker!$A$5:$A$9&lt;&gt;"")*(Picker!$A$5:$A$9&lt;&gt;"(none)"))=0),1,IF($L134="",0,COUNTIF(Picker!$A$5:$A$9,$L134))+IF($N134="",0,COUNTIF(Picker!$A$5:$A$9,$N134))+IF($P134="",0,COUNTIF(Picker!$A$5:$A$9,$P134)))</f>
      </c>
      <c r="J134" s="16">
        <f>IF($I134=0,"",COUNTIFS($B$2:$B$346,$B134,$I$2:$I$346,"&gt;"&amp;$I134)+COUNTIFS($B$2:$B134,$B134,$I$2:$I134,$I134))</f>
      </c>
      <c r="K134" s="16">
        <f>IF($J134="","",$B134&amp;"#"&amp;$J134)</f>
      </c>
      <c r="L134" s="16" t="s">
        <v>69</v>
      </c>
      <c r="M134" s="16">
        <v>1</v>
      </c>
      <c r="N134" s="16" t="s">
        <v>175</v>
      </c>
      <c r="O134" s="16">
        <v>1</v>
      </c>
    </row>
    <row r="135" spans="1:13" x14ac:dyDescent="0.25">
      <c r="A135" s="16" t="s">
        <v>676</v>
      </c>
      <c r="B135" s="16" t="s">
        <v>10</v>
      </c>
      <c r="C135" s="16" t="s">
        <v>465</v>
      </c>
      <c r="D135" s="16">
        <v>197</v>
      </c>
      <c r="E135" s="16">
        <v>1</v>
      </c>
      <c r="F135" s="16">
        <v>10</v>
      </c>
      <c r="G135" s="16" t="s">
        <v>677</v>
      </c>
      <c r="H135" s="16" t="s">
        <v>678</v>
      </c>
      <c r="I135" s="16">
        <f>IF(OR(Picker!$B$10="Yes",SUMPRODUCT((Picker!$A$5:$A$9&lt;&gt;"")*(Picker!$A$5:$A$9&lt;&gt;"(none)"))=0),1,IF($L135="",0,COUNTIF(Picker!$A$5:$A$9,$L135))+IF($N135="",0,COUNTIF(Picker!$A$5:$A$9,$N135))+IF($P135="",0,COUNTIF(Picker!$A$5:$A$9,$P135)))</f>
      </c>
      <c r="J135" s="16">
        <f>IF($I135=0,"",COUNTIFS($B$2:$B$346,$B135,$I$2:$I$346,"&gt;"&amp;$I135)+COUNTIFS($B$2:$B135,$B135,$I$2:$I135,$I135))</f>
      </c>
      <c r="K135" s="16">
        <f>IF($J135="","",$B135&amp;"#"&amp;$J135)</f>
      </c>
      <c r="L135" s="16" t="s">
        <v>128</v>
      </c>
      <c r="M135" s="16">
        <v>2</v>
      </c>
    </row>
    <row r="136" spans="1:13" x14ac:dyDescent="0.25">
      <c r="A136" s="16" t="s">
        <v>679</v>
      </c>
      <c r="B136" s="16" t="s">
        <v>10</v>
      </c>
      <c r="C136" s="16" t="s">
        <v>469</v>
      </c>
      <c r="D136" s="16">
        <v>197</v>
      </c>
      <c r="E136" s="16">
        <v>1</v>
      </c>
      <c r="F136" s="16">
        <v>10</v>
      </c>
      <c r="G136" s="16" t="s">
        <v>680</v>
      </c>
      <c r="H136" s="16" t="s">
        <v>681</v>
      </c>
      <c r="I136" s="16">
        <f>IF(OR(Picker!$B$10="Yes",SUMPRODUCT((Picker!$A$5:$A$9&lt;&gt;"")*(Picker!$A$5:$A$9&lt;&gt;"(none)"))=0),1,IF($L136="",0,COUNTIF(Picker!$A$5:$A$9,$L136))+IF($N136="",0,COUNTIF(Picker!$A$5:$A$9,$N136))+IF($P136="",0,COUNTIF(Picker!$A$5:$A$9,$P136)))</f>
      </c>
      <c r="J136" s="16">
        <f>IF($I136=0,"",COUNTIFS($B$2:$B$346,$B136,$I$2:$I$346,"&gt;"&amp;$I136)+COUNTIFS($B$2:$B136,$B136,$I$2:$I136,$I136))</f>
      </c>
      <c r="K136" s="16">
        <f>IF($J136="","",$B136&amp;"#"&amp;$J136)</f>
      </c>
      <c r="L136" s="16" t="s">
        <v>88</v>
      </c>
      <c r="M136" s="16">
        <v>2</v>
      </c>
    </row>
    <row r="137" spans="1:13" x14ac:dyDescent="0.25">
      <c r="A137" s="16" t="s">
        <v>682</v>
      </c>
      <c r="B137" s="16" t="s">
        <v>10</v>
      </c>
      <c r="C137" s="16" t="s">
        <v>473</v>
      </c>
      <c r="D137" s="16">
        <v>197</v>
      </c>
      <c r="E137" s="16">
        <v>1</v>
      </c>
      <c r="F137" s="16">
        <v>10</v>
      </c>
      <c r="G137" s="16" t="s">
        <v>683</v>
      </c>
      <c r="H137" s="16" t="s">
        <v>684</v>
      </c>
      <c r="I137" s="16">
        <f>IF(OR(Picker!$B$10="Yes",SUMPRODUCT((Picker!$A$5:$A$9&lt;&gt;"")*(Picker!$A$5:$A$9&lt;&gt;"(none)"))=0),1,IF($L137="",0,COUNTIF(Picker!$A$5:$A$9,$L137))+IF($N137="",0,COUNTIF(Picker!$A$5:$A$9,$N137))+IF($P137="",0,COUNTIF(Picker!$A$5:$A$9,$P137)))</f>
      </c>
      <c r="J137" s="16">
        <f>IF($I137=0,"",COUNTIFS($B$2:$B$346,$B137,$I$2:$I$346,"&gt;"&amp;$I137)+COUNTIFS($B$2:$B137,$B137,$I$2:$I137,$I137))</f>
      </c>
      <c r="K137" s="16">
        <f>IF($J137="","",$B137&amp;"#"&amp;$J137)</f>
      </c>
      <c r="L137" s="16" t="s">
        <v>140</v>
      </c>
      <c r="M137" s="16">
        <v>2</v>
      </c>
    </row>
    <row r="138" spans="1:15" x14ac:dyDescent="0.25">
      <c r="A138" s="16" t="s">
        <v>685</v>
      </c>
      <c r="B138" s="16" t="s">
        <v>10</v>
      </c>
      <c r="C138" s="16" t="s">
        <v>477</v>
      </c>
      <c r="D138" s="16">
        <v>197</v>
      </c>
      <c r="E138" s="16">
        <v>1</v>
      </c>
      <c r="F138" s="16">
        <v>10</v>
      </c>
      <c r="G138" s="16" t="s">
        <v>686</v>
      </c>
      <c r="H138" s="16" t="s">
        <v>687</v>
      </c>
      <c r="I138" s="16">
        <f>IF(OR(Picker!$B$10="Yes",SUMPRODUCT((Picker!$A$5:$A$9&lt;&gt;"")*(Picker!$A$5:$A$9&lt;&gt;"(none)"))=0),1,IF($L138="",0,COUNTIF(Picker!$A$5:$A$9,$L138))+IF($N138="",0,COUNTIF(Picker!$A$5:$A$9,$N138))+IF($P138="",0,COUNTIF(Picker!$A$5:$A$9,$P138)))</f>
      </c>
      <c r="J138" s="16">
        <f>IF($I138=0,"",COUNTIFS($B$2:$B$346,$B138,$I$2:$I$346,"&gt;"&amp;$I138)+COUNTIFS($B$2:$B138,$B138,$I$2:$I138,$I138))</f>
      </c>
      <c r="K138" s="16">
        <f>IF($J138="","",$B138&amp;"#"&amp;$J138)</f>
      </c>
      <c r="L138" s="16" t="s">
        <v>155</v>
      </c>
      <c r="M138" s="16">
        <v>1</v>
      </c>
      <c r="N138" s="16" t="s">
        <v>108</v>
      </c>
      <c r="O138" s="16">
        <v>1</v>
      </c>
    </row>
    <row r="139" spans="1:15" x14ac:dyDescent="0.25">
      <c r="A139" s="16" t="s">
        <v>688</v>
      </c>
      <c r="B139" s="16" t="s">
        <v>10</v>
      </c>
      <c r="C139" s="16" t="s">
        <v>481</v>
      </c>
      <c r="D139" s="16">
        <v>197</v>
      </c>
      <c r="E139" s="16">
        <v>1</v>
      </c>
      <c r="F139" s="16">
        <v>10</v>
      </c>
      <c r="G139" s="16" t="s">
        <v>689</v>
      </c>
      <c r="H139" s="16" t="s">
        <v>690</v>
      </c>
      <c r="I139" s="16">
        <f>IF(OR(Picker!$B$10="Yes",SUMPRODUCT((Picker!$A$5:$A$9&lt;&gt;"")*(Picker!$A$5:$A$9&lt;&gt;"(none)"))=0),1,IF($L139="",0,COUNTIF(Picker!$A$5:$A$9,$L139))+IF($N139="",0,COUNTIF(Picker!$A$5:$A$9,$N139))+IF($P139="",0,COUNTIF(Picker!$A$5:$A$9,$P139)))</f>
      </c>
      <c r="J139" s="16">
        <f>IF($I139=0,"",COUNTIFS($B$2:$B$346,$B139,$I$2:$I$346,"&gt;"&amp;$I139)+COUNTIFS($B$2:$B139,$B139,$I$2:$I139,$I139))</f>
      </c>
      <c r="K139" s="16">
        <f>IF($J139="","",$B139&amp;"#"&amp;$J139)</f>
      </c>
      <c r="L139" s="16" t="s">
        <v>180</v>
      </c>
      <c r="M139" s="16">
        <v>1</v>
      </c>
      <c r="N139" s="16" t="s">
        <v>106</v>
      </c>
      <c r="O139" s="16">
        <v>2</v>
      </c>
    </row>
    <row r="140" spans="1:15" x14ac:dyDescent="0.25">
      <c r="A140" s="16" t="s">
        <v>691</v>
      </c>
      <c r="B140" s="16" t="s">
        <v>11</v>
      </c>
      <c r="C140" s="16" t="s">
        <v>209</v>
      </c>
      <c r="D140" s="16">
        <v>197</v>
      </c>
      <c r="E140" s="16">
        <v>1</v>
      </c>
      <c r="F140" s="16">
        <v>10</v>
      </c>
      <c r="G140" s="16" t="s">
        <v>692</v>
      </c>
      <c r="H140" s="16" t="s">
        <v>693</v>
      </c>
      <c r="I140" s="16">
        <f>IF(OR(Picker!$B$10="Yes",SUMPRODUCT((Picker!$A$5:$A$9&lt;&gt;"")*(Picker!$A$5:$A$9&lt;&gt;"(none)"))=0),1,IF($L140="",0,COUNTIF(Picker!$A$5:$A$9,$L140))+IF($N140="",0,COUNTIF(Picker!$A$5:$A$9,$N140))+IF($P140="",0,COUNTIF(Picker!$A$5:$A$9,$P140)))</f>
      </c>
      <c r="J140" s="16">
        <f>IF($I140=0,"",COUNTIFS($B$2:$B$346,$B140,$I$2:$I$346,"&gt;"&amp;$I140)+COUNTIFS($B$2:$B140,$B140,$I$2:$I140,$I140))</f>
      </c>
      <c r="K140" s="16">
        <f>IF($J140="","",$B140&amp;"#"&amp;$J140)</f>
      </c>
      <c r="L140" s="16" t="s">
        <v>152</v>
      </c>
      <c r="M140" s="16">
        <v>1</v>
      </c>
      <c r="N140" s="16" t="s">
        <v>150</v>
      </c>
      <c r="O140" s="16">
        <v>1</v>
      </c>
    </row>
    <row r="141" spans="1:13" x14ac:dyDescent="0.25">
      <c r="A141" s="16" t="s">
        <v>694</v>
      </c>
      <c r="B141" s="16" t="s">
        <v>11</v>
      </c>
      <c r="C141" s="16" t="s">
        <v>213</v>
      </c>
      <c r="D141" s="16">
        <v>197</v>
      </c>
      <c r="E141" s="16">
        <v>1</v>
      </c>
      <c r="F141" s="16">
        <v>10</v>
      </c>
      <c r="G141" s="16" t="s">
        <v>695</v>
      </c>
      <c r="H141" s="16" t="s">
        <v>696</v>
      </c>
      <c r="I141" s="16">
        <f>IF(OR(Picker!$B$10="Yes",SUMPRODUCT((Picker!$A$5:$A$9&lt;&gt;"")*(Picker!$A$5:$A$9&lt;&gt;"(none)"))=0),1,IF($L141="",0,COUNTIF(Picker!$A$5:$A$9,$L141))+IF($N141="",0,COUNTIF(Picker!$A$5:$A$9,$N141))+IF($P141="",0,COUNTIF(Picker!$A$5:$A$9,$P141)))</f>
      </c>
      <c r="J141" s="16">
        <f>IF($I141=0,"",COUNTIFS($B$2:$B$346,$B141,$I$2:$I$346,"&gt;"&amp;$I141)+COUNTIFS($B$2:$B141,$B141,$I$2:$I141,$I141))</f>
      </c>
      <c r="K141" s="16">
        <f>IF($J141="","",$B141&amp;"#"&amp;$J141)</f>
      </c>
      <c r="L141" s="16" t="s">
        <v>119</v>
      </c>
      <c r="M141" s="16">
        <v>3</v>
      </c>
    </row>
    <row r="142" spans="1:15" x14ac:dyDescent="0.25">
      <c r="A142" s="16" t="s">
        <v>697</v>
      </c>
      <c r="B142" s="16" t="s">
        <v>11</v>
      </c>
      <c r="C142" s="16" t="s">
        <v>217</v>
      </c>
      <c r="D142" s="16">
        <v>197</v>
      </c>
      <c r="E142" s="16">
        <v>2</v>
      </c>
      <c r="F142" s="16">
        <v>10</v>
      </c>
      <c r="G142" s="16" t="s">
        <v>698</v>
      </c>
      <c r="H142" s="16" t="s">
        <v>699</v>
      </c>
      <c r="I142" s="16">
        <f>IF(OR(Picker!$B$10="Yes",SUMPRODUCT((Picker!$A$5:$A$9&lt;&gt;"")*(Picker!$A$5:$A$9&lt;&gt;"(none)"))=0),1,IF($L142="",0,COUNTIF(Picker!$A$5:$A$9,$L142))+IF($N142="",0,COUNTIF(Picker!$A$5:$A$9,$N142))+IF($P142="",0,COUNTIF(Picker!$A$5:$A$9,$P142)))</f>
      </c>
      <c r="J142" s="16">
        <f>IF($I142=0,"",COUNTIFS($B$2:$B$346,$B142,$I$2:$I$346,"&gt;"&amp;$I142)+COUNTIFS($B$2:$B142,$B142,$I$2:$I142,$I142))</f>
      </c>
      <c r="K142" s="16">
        <f>IF($J142="","",$B142&amp;"#"&amp;$J142)</f>
      </c>
      <c r="L142" s="16" t="s">
        <v>69</v>
      </c>
      <c r="M142" s="16">
        <v>1</v>
      </c>
      <c r="N142" s="16" t="s">
        <v>74</v>
      </c>
      <c r="O142" s="16">
        <v>1</v>
      </c>
    </row>
    <row r="143" spans="1:13" x14ac:dyDescent="0.25">
      <c r="A143" s="16" t="s">
        <v>700</v>
      </c>
      <c r="B143" s="16" t="s">
        <v>11</v>
      </c>
      <c r="C143" s="16" t="s">
        <v>221</v>
      </c>
      <c r="D143" s="16">
        <v>197</v>
      </c>
      <c r="E143" s="16">
        <v>1</v>
      </c>
      <c r="F143" s="16">
        <v>10</v>
      </c>
      <c r="G143" s="16" t="s">
        <v>701</v>
      </c>
      <c r="H143" s="16" t="s">
        <v>702</v>
      </c>
      <c r="I143" s="16">
        <f>IF(OR(Picker!$B$10="Yes",SUMPRODUCT((Picker!$A$5:$A$9&lt;&gt;"")*(Picker!$A$5:$A$9&lt;&gt;"(none)"))=0),1,IF($L143="",0,COUNTIF(Picker!$A$5:$A$9,$L143))+IF($N143="",0,COUNTIF(Picker!$A$5:$A$9,$N143))+IF($P143="",0,COUNTIF(Picker!$A$5:$A$9,$P143)))</f>
      </c>
      <c r="J143" s="16">
        <f>IF($I143=0,"",COUNTIFS($B$2:$B$346,$B143,$I$2:$I$346,"&gt;"&amp;$I143)+COUNTIFS($B$2:$B143,$B143,$I$2:$I143,$I143))</f>
      </c>
      <c r="K143" s="16">
        <f>IF($J143="","",$B143&amp;"#"&amp;$J143)</f>
      </c>
      <c r="L143" s="16" t="s">
        <v>109</v>
      </c>
      <c r="M143" s="16">
        <v>2</v>
      </c>
    </row>
    <row r="144" spans="1:15" x14ac:dyDescent="0.25">
      <c r="A144" s="16" t="s">
        <v>703</v>
      </c>
      <c r="B144" s="16" t="s">
        <v>11</v>
      </c>
      <c r="C144" s="16" t="s">
        <v>225</v>
      </c>
      <c r="D144" s="16">
        <v>197</v>
      </c>
      <c r="E144" s="16">
        <v>1</v>
      </c>
      <c r="F144" s="16">
        <v>10</v>
      </c>
      <c r="G144" s="16" t="s">
        <v>704</v>
      </c>
      <c r="H144" s="16" t="s">
        <v>705</v>
      </c>
      <c r="I144" s="16">
        <f>IF(OR(Picker!$B$10="Yes",SUMPRODUCT((Picker!$A$5:$A$9&lt;&gt;"")*(Picker!$A$5:$A$9&lt;&gt;"(none)"))=0),1,IF($L144="",0,COUNTIF(Picker!$A$5:$A$9,$L144))+IF($N144="",0,COUNTIF(Picker!$A$5:$A$9,$N144))+IF($P144="",0,COUNTIF(Picker!$A$5:$A$9,$P144)))</f>
      </c>
      <c r="J144" s="16">
        <f>IF($I144=0,"",COUNTIFS($B$2:$B$346,$B144,$I$2:$I$346,"&gt;"&amp;$I144)+COUNTIFS($B$2:$B144,$B144,$I$2:$I144,$I144))</f>
      </c>
      <c r="K144" s="16">
        <f>IF($J144="","",$B144&amp;"#"&amp;$J144)</f>
      </c>
      <c r="L144" s="16" t="s">
        <v>89</v>
      </c>
      <c r="M144" s="16">
        <v>1</v>
      </c>
      <c r="N144" s="16" t="s">
        <v>112</v>
      </c>
      <c r="O144" s="16">
        <v>2</v>
      </c>
    </row>
    <row r="145" spans="1:17" x14ac:dyDescent="0.25">
      <c r="A145" s="16" t="s">
        <v>706</v>
      </c>
      <c r="B145" s="16" t="s">
        <v>11</v>
      </c>
      <c r="C145" s="16" t="s">
        <v>229</v>
      </c>
      <c r="D145" s="16">
        <v>197</v>
      </c>
      <c r="E145" s="16">
        <v>1</v>
      </c>
      <c r="F145" s="16">
        <v>10</v>
      </c>
      <c r="G145" s="16" t="s">
        <v>707</v>
      </c>
      <c r="H145" s="16" t="s">
        <v>708</v>
      </c>
      <c r="I145" s="16">
        <f>IF(OR(Picker!$B$10="Yes",SUMPRODUCT((Picker!$A$5:$A$9&lt;&gt;"")*(Picker!$A$5:$A$9&lt;&gt;"(none)"))=0),1,IF($L145="",0,COUNTIF(Picker!$A$5:$A$9,$L145))+IF($N145="",0,COUNTIF(Picker!$A$5:$A$9,$N145))+IF($P145="",0,COUNTIF(Picker!$A$5:$A$9,$P145)))</f>
      </c>
      <c r="J145" s="16">
        <f>IF($I145=0,"",COUNTIFS($B$2:$B$346,$B145,$I$2:$I$346,"&gt;"&amp;$I145)+COUNTIFS($B$2:$B145,$B145,$I$2:$I145,$I145))</f>
      </c>
      <c r="K145" s="16">
        <f>IF($J145="","",$B145&amp;"#"&amp;$J145)</f>
      </c>
      <c r="L145" s="16" t="s">
        <v>146</v>
      </c>
      <c r="M145" s="16">
        <v>1</v>
      </c>
      <c r="N145" s="16" t="s">
        <v>138</v>
      </c>
      <c r="O145" s="16">
        <v>1</v>
      </c>
      <c r="P145" s="16" t="s">
        <v>65</v>
      </c>
      <c r="Q145" s="16">
        <v>1</v>
      </c>
    </row>
    <row r="146" spans="1:15" x14ac:dyDescent="0.25">
      <c r="A146" s="16" t="s">
        <v>709</v>
      </c>
      <c r="B146" s="16" t="s">
        <v>11</v>
      </c>
      <c r="C146" s="16" t="s">
        <v>233</v>
      </c>
      <c r="D146" s="16">
        <v>197</v>
      </c>
      <c r="E146" s="16">
        <v>1</v>
      </c>
      <c r="F146" s="16">
        <v>10</v>
      </c>
      <c r="G146" s="16" t="s">
        <v>710</v>
      </c>
      <c r="H146" s="16" t="s">
        <v>711</v>
      </c>
      <c r="I146" s="16">
        <f>IF(OR(Picker!$B$10="Yes",SUMPRODUCT((Picker!$A$5:$A$9&lt;&gt;"")*(Picker!$A$5:$A$9&lt;&gt;"(none)"))=0),1,IF($L146="",0,COUNTIF(Picker!$A$5:$A$9,$L146))+IF($N146="",0,COUNTIF(Picker!$A$5:$A$9,$N146))+IF($P146="",0,COUNTIF(Picker!$A$5:$A$9,$P146)))</f>
      </c>
      <c r="J146" s="16">
        <f>IF($I146=0,"",COUNTIFS($B$2:$B$346,$B146,$I$2:$I$346,"&gt;"&amp;$I146)+COUNTIFS($B$2:$B146,$B146,$I$2:$I146,$I146))</f>
      </c>
      <c r="K146" s="16">
        <f>IF($J146="","",$B146&amp;"#"&amp;$J146)</f>
      </c>
      <c r="L146" s="16" t="s">
        <v>169</v>
      </c>
      <c r="M146" s="16">
        <v>1</v>
      </c>
      <c r="N146" s="16" t="s">
        <v>167</v>
      </c>
      <c r="O146" s="16">
        <v>1</v>
      </c>
    </row>
    <row r="147" spans="1:15" x14ac:dyDescent="0.25">
      <c r="A147" s="16" t="s">
        <v>712</v>
      </c>
      <c r="B147" s="16" t="s">
        <v>11</v>
      </c>
      <c r="C147" s="16" t="s">
        <v>237</v>
      </c>
      <c r="D147" s="16">
        <v>197</v>
      </c>
      <c r="E147" s="16">
        <v>1</v>
      </c>
      <c r="F147" s="16">
        <v>10</v>
      </c>
      <c r="G147" s="16" t="s">
        <v>713</v>
      </c>
      <c r="H147" s="16" t="s">
        <v>714</v>
      </c>
      <c r="I147" s="16">
        <f>IF(OR(Picker!$B$10="Yes",SUMPRODUCT((Picker!$A$5:$A$9&lt;&gt;"")*(Picker!$A$5:$A$9&lt;&gt;"(none)"))=0),1,IF($L147="",0,COUNTIF(Picker!$A$5:$A$9,$L147))+IF($N147="",0,COUNTIF(Picker!$A$5:$A$9,$N147))+IF($P147="",0,COUNTIF(Picker!$A$5:$A$9,$P147)))</f>
      </c>
      <c r="J147" s="16">
        <f>IF($I147=0,"",COUNTIFS($B$2:$B$346,$B147,$I$2:$I$346,"&gt;"&amp;$I147)+COUNTIFS($B$2:$B147,$B147,$I$2:$I147,$I147))</f>
      </c>
      <c r="K147" s="16">
        <f>IF($J147="","",$B147&amp;"#"&amp;$J147)</f>
      </c>
      <c r="L147" s="16" t="s">
        <v>139</v>
      </c>
      <c r="M147" s="16">
        <v>2</v>
      </c>
      <c r="N147" s="16" t="s">
        <v>182</v>
      </c>
      <c r="O147" s="16">
        <v>1</v>
      </c>
    </row>
    <row r="148" spans="1:13" x14ac:dyDescent="0.25">
      <c r="A148" s="16" t="s">
        <v>715</v>
      </c>
      <c r="B148" s="16" t="s">
        <v>11</v>
      </c>
      <c r="C148" s="16" t="s">
        <v>241</v>
      </c>
      <c r="D148" s="16">
        <v>197</v>
      </c>
      <c r="E148" s="16">
        <v>1</v>
      </c>
      <c r="F148" s="16">
        <v>10</v>
      </c>
      <c r="G148" s="16" t="s">
        <v>716</v>
      </c>
      <c r="H148" s="16" t="s">
        <v>717</v>
      </c>
      <c r="I148" s="16">
        <f>IF(OR(Picker!$B$10="Yes",SUMPRODUCT((Picker!$A$5:$A$9&lt;&gt;"")*(Picker!$A$5:$A$9&lt;&gt;"(none)"))=0),1,IF($L148="",0,COUNTIF(Picker!$A$5:$A$9,$L148))+IF($N148="",0,COUNTIF(Picker!$A$5:$A$9,$N148))+IF($P148="",0,COUNTIF(Picker!$A$5:$A$9,$P148)))</f>
      </c>
      <c r="J148" s="16">
        <f>IF($I148=0,"",COUNTIFS($B$2:$B$346,$B148,$I$2:$I$346,"&gt;"&amp;$I148)+COUNTIFS($B$2:$B148,$B148,$I$2:$I148,$I148))</f>
      </c>
      <c r="K148" s="16">
        <f>IF($J148="","",$B148&amp;"#"&amp;$J148)</f>
      </c>
      <c r="L148" s="16" t="s">
        <v>123</v>
      </c>
      <c r="M148" s="16">
        <v>2</v>
      </c>
    </row>
    <row r="149" spans="1:13" x14ac:dyDescent="0.25">
      <c r="A149" s="16" t="s">
        <v>718</v>
      </c>
      <c r="B149" s="16" t="s">
        <v>11</v>
      </c>
      <c r="C149" s="16" t="s">
        <v>245</v>
      </c>
      <c r="D149" s="16">
        <v>197</v>
      </c>
      <c r="E149" s="16">
        <v>1</v>
      </c>
      <c r="F149" s="16">
        <v>10</v>
      </c>
      <c r="G149" s="16" t="s">
        <v>234</v>
      </c>
      <c r="H149" s="16" t="s">
        <v>719</v>
      </c>
      <c r="I149" s="16">
        <f>IF(OR(Picker!$B$10="Yes",SUMPRODUCT((Picker!$A$5:$A$9&lt;&gt;"")*(Picker!$A$5:$A$9&lt;&gt;"(none)"))=0),1,IF($L149="",0,COUNTIF(Picker!$A$5:$A$9,$L149))+IF($N149="",0,COUNTIF(Picker!$A$5:$A$9,$N149))+IF($P149="",0,COUNTIF(Picker!$A$5:$A$9,$P149)))</f>
      </c>
      <c r="J149" s="16">
        <f>IF($I149=0,"",COUNTIFS($B$2:$B$346,$B149,$I$2:$I$346,"&gt;"&amp;$I149)+COUNTIFS($B$2:$B149,$B149,$I$2:$I149,$I149))</f>
      </c>
      <c r="K149" s="16">
        <f>IF($J149="","",$B149&amp;"#"&amp;$J149)</f>
      </c>
      <c r="L149" s="16" t="s">
        <v>114</v>
      </c>
      <c r="M149" s="16">
        <v>2</v>
      </c>
    </row>
    <row r="150" spans="1:13" x14ac:dyDescent="0.25">
      <c r="A150" s="16" t="s">
        <v>720</v>
      </c>
      <c r="B150" s="16" t="s">
        <v>11</v>
      </c>
      <c r="C150" s="16" t="s">
        <v>249</v>
      </c>
      <c r="D150" s="16">
        <v>197</v>
      </c>
      <c r="E150" s="16">
        <v>1</v>
      </c>
      <c r="F150" s="16">
        <v>10</v>
      </c>
      <c r="G150" s="16" t="s">
        <v>721</v>
      </c>
      <c r="H150" s="16" t="s">
        <v>722</v>
      </c>
      <c r="I150" s="16">
        <f>IF(OR(Picker!$B$10="Yes",SUMPRODUCT((Picker!$A$5:$A$9&lt;&gt;"")*(Picker!$A$5:$A$9&lt;&gt;"(none)"))=0),1,IF($L150="",0,COUNTIF(Picker!$A$5:$A$9,$L150))+IF($N150="",0,COUNTIF(Picker!$A$5:$A$9,$N150))+IF($P150="",0,COUNTIF(Picker!$A$5:$A$9,$P150)))</f>
      </c>
      <c r="J150" s="16">
        <f>IF($I150=0,"",COUNTIFS($B$2:$B$346,$B150,$I$2:$I$346,"&gt;"&amp;$I150)+COUNTIFS($B$2:$B150,$B150,$I$2:$I150,$I150))</f>
      </c>
      <c r="K150" s="16">
        <f>IF($J150="","",$B150&amp;"#"&amp;$J150)</f>
      </c>
      <c r="L150" s="16" t="s">
        <v>155</v>
      </c>
      <c r="M150" s="16">
        <v>2</v>
      </c>
    </row>
    <row r="151" spans="1:13" x14ac:dyDescent="0.25">
      <c r="A151" s="16" t="s">
        <v>723</v>
      </c>
      <c r="B151" s="16" t="s">
        <v>11</v>
      </c>
      <c r="C151" s="16" t="s">
        <v>253</v>
      </c>
      <c r="D151" s="16">
        <v>197</v>
      </c>
      <c r="E151" s="16">
        <v>1</v>
      </c>
      <c r="F151" s="16">
        <v>10</v>
      </c>
      <c r="G151" s="16" t="s">
        <v>310</v>
      </c>
      <c r="H151" s="16" t="s">
        <v>724</v>
      </c>
      <c r="I151" s="16">
        <f>IF(OR(Picker!$B$10="Yes",SUMPRODUCT((Picker!$A$5:$A$9&lt;&gt;"")*(Picker!$A$5:$A$9&lt;&gt;"(none)"))=0),1,IF($L151="",0,COUNTIF(Picker!$A$5:$A$9,$L151))+IF($N151="",0,COUNTIF(Picker!$A$5:$A$9,$N151))+IF($P151="",0,COUNTIF(Picker!$A$5:$A$9,$P151)))</f>
      </c>
      <c r="J151" s="16">
        <f>IF($I151=0,"",COUNTIFS($B$2:$B$346,$B151,$I$2:$I$346,"&gt;"&amp;$I151)+COUNTIFS($B$2:$B151,$B151,$I$2:$I151,$I151))</f>
      </c>
      <c r="K151" s="16">
        <f>IF($J151="","",$B151&amp;"#"&amp;$J151)</f>
      </c>
      <c r="L151" s="16" t="s">
        <v>93</v>
      </c>
      <c r="M151" s="16">
        <v>2</v>
      </c>
    </row>
    <row r="152" spans="1:15" x14ac:dyDescent="0.25">
      <c r="A152" s="16" t="s">
        <v>725</v>
      </c>
      <c r="B152" s="16" t="s">
        <v>11</v>
      </c>
      <c r="C152" s="16" t="s">
        <v>257</v>
      </c>
      <c r="D152" s="16">
        <v>197</v>
      </c>
      <c r="E152" s="16">
        <v>1</v>
      </c>
      <c r="F152" s="16">
        <v>10</v>
      </c>
      <c r="G152" s="16" t="s">
        <v>726</v>
      </c>
      <c r="H152" s="16" t="s">
        <v>727</v>
      </c>
      <c r="I152" s="16">
        <f>IF(OR(Picker!$B$10="Yes",SUMPRODUCT((Picker!$A$5:$A$9&lt;&gt;"")*(Picker!$A$5:$A$9&lt;&gt;"(none)"))=0),1,IF($L152="",0,COUNTIF(Picker!$A$5:$A$9,$L152))+IF($N152="",0,COUNTIF(Picker!$A$5:$A$9,$N152))+IF($P152="",0,COUNTIF(Picker!$A$5:$A$9,$P152)))</f>
      </c>
      <c r="J152" s="16">
        <f>IF($I152=0,"",COUNTIFS($B$2:$B$346,$B152,$I$2:$I$346,"&gt;"&amp;$I152)+COUNTIFS($B$2:$B152,$B152,$I$2:$I152,$I152))</f>
      </c>
      <c r="K152" s="16">
        <f>IF($J152="","",$B152&amp;"#"&amp;$J152)</f>
      </c>
      <c r="L152" s="16" t="s">
        <v>112</v>
      </c>
      <c r="M152" s="16">
        <v>2</v>
      </c>
      <c r="N152" s="16" t="s">
        <v>130</v>
      </c>
      <c r="O152" s="16">
        <v>1</v>
      </c>
    </row>
    <row r="153" spans="1:15" x14ac:dyDescent="0.25">
      <c r="A153" s="16" t="s">
        <v>728</v>
      </c>
      <c r="B153" s="16" t="s">
        <v>11</v>
      </c>
      <c r="C153" s="16" t="s">
        <v>261</v>
      </c>
      <c r="D153" s="16">
        <v>197</v>
      </c>
      <c r="E153" s="16">
        <v>1</v>
      </c>
      <c r="F153" s="16">
        <v>10</v>
      </c>
      <c r="G153" s="16" t="s">
        <v>729</v>
      </c>
      <c r="H153" s="16" t="s">
        <v>730</v>
      </c>
      <c r="I153" s="16">
        <f>IF(OR(Picker!$B$10="Yes",SUMPRODUCT((Picker!$A$5:$A$9&lt;&gt;"")*(Picker!$A$5:$A$9&lt;&gt;"(none)"))=0),1,IF($L153="",0,COUNTIF(Picker!$A$5:$A$9,$L153))+IF($N153="",0,COUNTIF(Picker!$A$5:$A$9,$N153))+IF($P153="",0,COUNTIF(Picker!$A$5:$A$9,$P153)))</f>
      </c>
      <c r="J153" s="16">
        <f>IF($I153=0,"",COUNTIFS($B$2:$B$346,$B153,$I$2:$I$346,"&gt;"&amp;$I153)+COUNTIFS($B$2:$B153,$B153,$I$2:$I153,$I153))</f>
      </c>
      <c r="K153" s="16">
        <f>IF($J153="","",$B153&amp;"#"&amp;$J153)</f>
      </c>
      <c r="L153" s="16" t="s">
        <v>169</v>
      </c>
      <c r="M153" s="16">
        <v>2</v>
      </c>
      <c r="N153" s="16" t="s">
        <v>165</v>
      </c>
      <c r="O153" s="16">
        <v>1</v>
      </c>
    </row>
    <row r="154" spans="1:17" x14ac:dyDescent="0.25">
      <c r="A154" s="16" t="s">
        <v>731</v>
      </c>
      <c r="B154" s="16" t="s">
        <v>11</v>
      </c>
      <c r="C154" s="16" t="s">
        <v>265</v>
      </c>
      <c r="D154" s="16">
        <v>197</v>
      </c>
      <c r="E154" s="16">
        <v>1</v>
      </c>
      <c r="F154" s="16">
        <v>10</v>
      </c>
      <c r="G154" s="16" t="s">
        <v>732</v>
      </c>
      <c r="H154" s="16" t="s">
        <v>733</v>
      </c>
      <c r="I154" s="16">
        <f>IF(OR(Picker!$B$10="Yes",SUMPRODUCT((Picker!$A$5:$A$9&lt;&gt;"")*(Picker!$A$5:$A$9&lt;&gt;"(none)"))=0),1,IF($L154="",0,COUNTIF(Picker!$A$5:$A$9,$L154))+IF($N154="",0,COUNTIF(Picker!$A$5:$A$9,$N154))+IF($P154="",0,COUNTIF(Picker!$A$5:$A$9,$P154)))</f>
      </c>
      <c r="J154" s="16">
        <f>IF($I154=0,"",COUNTIFS($B$2:$B$346,$B154,$I$2:$I$346,"&gt;"&amp;$I154)+COUNTIFS($B$2:$B154,$B154,$I$2:$I154,$I154))</f>
      </c>
      <c r="K154" s="16">
        <f>IF($J154="","",$B154&amp;"#"&amp;$J154)</f>
      </c>
      <c r="L154" s="16" t="s">
        <v>190</v>
      </c>
      <c r="M154" s="16">
        <v>1</v>
      </c>
      <c r="N154" s="16" t="s">
        <v>130</v>
      </c>
      <c r="O154" s="16">
        <v>1</v>
      </c>
      <c r="P154" s="16" t="s">
        <v>66</v>
      </c>
      <c r="Q154" s="16">
        <v>1</v>
      </c>
    </row>
    <row r="155" spans="1:13" x14ac:dyDescent="0.25">
      <c r="A155" s="16" t="s">
        <v>734</v>
      </c>
      <c r="B155" s="16" t="s">
        <v>11</v>
      </c>
      <c r="C155" s="16" t="s">
        <v>269</v>
      </c>
      <c r="D155" s="16">
        <v>197</v>
      </c>
      <c r="E155" s="16">
        <v>2</v>
      </c>
      <c r="F155" s="16">
        <v>10</v>
      </c>
      <c r="G155" s="16" t="s">
        <v>735</v>
      </c>
      <c r="H155" s="16" t="s">
        <v>736</v>
      </c>
      <c r="I155" s="16">
        <f>IF(OR(Picker!$B$10="Yes",SUMPRODUCT((Picker!$A$5:$A$9&lt;&gt;"")*(Picker!$A$5:$A$9&lt;&gt;"(none)"))=0),1,IF($L155="",0,COUNTIF(Picker!$A$5:$A$9,$L155))+IF($N155="",0,COUNTIF(Picker!$A$5:$A$9,$N155))+IF($P155="",0,COUNTIF(Picker!$A$5:$A$9,$P155)))</f>
      </c>
      <c r="J155" s="16">
        <f>IF($I155=0,"",COUNTIFS($B$2:$B$346,$B155,$I$2:$I$346,"&gt;"&amp;$I155)+COUNTIFS($B$2:$B155,$B155,$I$2:$I155,$I155))</f>
      </c>
      <c r="K155" s="16">
        <f>IF($J155="","",$B155&amp;"#"&amp;$J155)</f>
      </c>
      <c r="L155" s="16" t="s">
        <v>129</v>
      </c>
      <c r="M155" s="16">
        <v>2</v>
      </c>
    </row>
    <row r="156" spans="1:13" x14ac:dyDescent="0.25">
      <c r="A156" s="16" t="s">
        <v>737</v>
      </c>
      <c r="B156" s="16" t="s">
        <v>11</v>
      </c>
      <c r="C156" s="16" t="s">
        <v>273</v>
      </c>
      <c r="D156" s="16">
        <v>197</v>
      </c>
      <c r="E156" s="16">
        <v>1</v>
      </c>
      <c r="F156" s="16">
        <v>10</v>
      </c>
      <c r="G156" s="16" t="s">
        <v>738</v>
      </c>
      <c r="H156" s="16" t="s">
        <v>739</v>
      </c>
      <c r="I156" s="16">
        <f>IF(OR(Picker!$B$10="Yes",SUMPRODUCT((Picker!$A$5:$A$9&lt;&gt;"")*(Picker!$A$5:$A$9&lt;&gt;"(none)"))=0),1,IF($L156="",0,COUNTIF(Picker!$A$5:$A$9,$L156))+IF($N156="",0,COUNTIF(Picker!$A$5:$A$9,$N156))+IF($P156="",0,COUNTIF(Picker!$A$5:$A$9,$P156)))</f>
      </c>
      <c r="J156" s="16">
        <f>IF($I156=0,"",COUNTIFS($B$2:$B$346,$B156,$I$2:$I$346,"&gt;"&amp;$I156)+COUNTIFS($B$2:$B156,$B156,$I$2:$I156,$I156))</f>
      </c>
      <c r="K156" s="16">
        <f>IF($J156="","",$B156&amp;"#"&amp;$J156)</f>
      </c>
      <c r="L156" s="16" t="s">
        <v>78</v>
      </c>
      <c r="M156" s="16">
        <v>2</v>
      </c>
    </row>
    <row r="157" spans="1:15" x14ac:dyDescent="0.25">
      <c r="A157" s="16" t="s">
        <v>740</v>
      </c>
      <c r="B157" s="16" t="s">
        <v>11</v>
      </c>
      <c r="C157" s="16" t="s">
        <v>281</v>
      </c>
      <c r="D157" s="16">
        <v>197</v>
      </c>
      <c r="E157" s="16">
        <v>1</v>
      </c>
      <c r="F157" s="16">
        <v>10</v>
      </c>
      <c r="G157" s="16" t="s">
        <v>741</v>
      </c>
      <c r="H157" s="16" t="s">
        <v>742</v>
      </c>
      <c r="I157" s="16">
        <f>IF(OR(Picker!$B$10="Yes",SUMPRODUCT((Picker!$A$5:$A$9&lt;&gt;"")*(Picker!$A$5:$A$9&lt;&gt;"(none)"))=0),1,IF($L157="",0,COUNTIF(Picker!$A$5:$A$9,$L157))+IF($N157="",0,COUNTIF(Picker!$A$5:$A$9,$N157))+IF($P157="",0,COUNTIF(Picker!$A$5:$A$9,$P157)))</f>
      </c>
      <c r="J157" s="16">
        <f>IF($I157=0,"",COUNTIFS($B$2:$B$346,$B157,$I$2:$I$346,"&gt;"&amp;$I157)+COUNTIFS($B$2:$B157,$B157,$I$2:$I157,$I157))</f>
      </c>
      <c r="K157" s="16">
        <f>IF($J157="","",$B157&amp;"#"&amp;$J157)</f>
      </c>
      <c r="L157" s="16" t="s">
        <v>112</v>
      </c>
      <c r="M157" s="16">
        <v>1</v>
      </c>
      <c r="N157" s="16" t="s">
        <v>158</v>
      </c>
      <c r="O157" s="16">
        <v>1</v>
      </c>
    </row>
    <row r="158" spans="1:15" x14ac:dyDescent="0.25">
      <c r="A158" s="16" t="s">
        <v>743</v>
      </c>
      <c r="B158" s="16" t="s">
        <v>11</v>
      </c>
      <c r="C158" s="16" t="s">
        <v>277</v>
      </c>
      <c r="D158" s="16">
        <v>197</v>
      </c>
      <c r="E158" s="16">
        <v>1</v>
      </c>
      <c r="F158" s="16">
        <v>10</v>
      </c>
      <c r="G158" s="16" t="s">
        <v>744</v>
      </c>
      <c r="H158" s="16" t="s">
        <v>745</v>
      </c>
      <c r="I158" s="16">
        <f>IF(OR(Picker!$B$10="Yes",SUMPRODUCT((Picker!$A$5:$A$9&lt;&gt;"")*(Picker!$A$5:$A$9&lt;&gt;"(none)"))=0),1,IF($L158="",0,COUNTIF(Picker!$A$5:$A$9,$L158))+IF($N158="",0,COUNTIF(Picker!$A$5:$A$9,$N158))+IF($P158="",0,COUNTIF(Picker!$A$5:$A$9,$P158)))</f>
      </c>
      <c r="J158" s="16">
        <f>IF($I158=0,"",COUNTIFS($B$2:$B$346,$B158,$I$2:$I$346,"&gt;"&amp;$I158)+COUNTIFS($B$2:$B158,$B158,$I$2:$I158,$I158))</f>
      </c>
      <c r="K158" s="16">
        <f>IF($J158="","",$B158&amp;"#"&amp;$J158)</f>
      </c>
      <c r="L158" s="16" t="s">
        <v>144</v>
      </c>
      <c r="M158" s="16">
        <v>1</v>
      </c>
      <c r="N158" s="16" t="s">
        <v>121</v>
      </c>
      <c r="O158" s="16">
        <v>2</v>
      </c>
    </row>
    <row r="159" spans="1:15" x14ac:dyDescent="0.25">
      <c r="A159" s="16" t="s">
        <v>746</v>
      </c>
      <c r="B159" s="16" t="s">
        <v>11</v>
      </c>
      <c r="C159" s="16" t="s">
        <v>285</v>
      </c>
      <c r="D159" s="16">
        <v>197</v>
      </c>
      <c r="E159" s="16">
        <v>1</v>
      </c>
      <c r="F159" s="16">
        <v>10</v>
      </c>
      <c r="G159" s="16" t="s">
        <v>747</v>
      </c>
      <c r="H159" s="16" t="s">
        <v>748</v>
      </c>
      <c r="I159" s="16">
        <f>IF(OR(Picker!$B$10="Yes",SUMPRODUCT((Picker!$A$5:$A$9&lt;&gt;"")*(Picker!$A$5:$A$9&lt;&gt;"(none)"))=0),1,IF($L159="",0,COUNTIF(Picker!$A$5:$A$9,$L159))+IF($N159="",0,COUNTIF(Picker!$A$5:$A$9,$N159))+IF($P159="",0,COUNTIF(Picker!$A$5:$A$9,$P159)))</f>
      </c>
      <c r="J159" s="16">
        <f>IF($I159=0,"",COUNTIFS($B$2:$B$346,$B159,$I$2:$I$346,"&gt;"&amp;$I159)+COUNTIFS($B$2:$B159,$B159,$I$2:$I159,$I159))</f>
      </c>
      <c r="K159" s="16">
        <f>IF($J159="","",$B159&amp;"#"&amp;$J159)</f>
      </c>
      <c r="L159" s="16" t="s">
        <v>130</v>
      </c>
      <c r="M159" s="16">
        <v>1</v>
      </c>
      <c r="N159" s="16" t="s">
        <v>174</v>
      </c>
      <c r="O159" s="16">
        <v>2</v>
      </c>
    </row>
    <row r="160" spans="1:13" x14ac:dyDescent="0.25">
      <c r="A160" s="16" t="s">
        <v>749</v>
      </c>
      <c r="B160" s="16" t="s">
        <v>11</v>
      </c>
      <c r="C160" s="16" t="s">
        <v>289</v>
      </c>
      <c r="D160" s="16">
        <v>197</v>
      </c>
      <c r="E160" s="16">
        <v>1</v>
      </c>
      <c r="F160" s="16">
        <v>10</v>
      </c>
      <c r="G160" s="16" t="s">
        <v>750</v>
      </c>
      <c r="H160" s="16" t="s">
        <v>751</v>
      </c>
      <c r="I160" s="16">
        <f>IF(OR(Picker!$B$10="Yes",SUMPRODUCT((Picker!$A$5:$A$9&lt;&gt;"")*(Picker!$A$5:$A$9&lt;&gt;"(none)"))=0),1,IF($L160="",0,COUNTIF(Picker!$A$5:$A$9,$L160))+IF($N160="",0,COUNTIF(Picker!$A$5:$A$9,$N160))+IF($P160="",0,COUNTIF(Picker!$A$5:$A$9,$P160)))</f>
      </c>
      <c r="J160" s="16">
        <f>IF($I160=0,"",COUNTIFS($B$2:$B$346,$B160,$I$2:$I$346,"&gt;"&amp;$I160)+COUNTIFS($B$2:$B160,$B160,$I$2:$I160,$I160))</f>
      </c>
      <c r="K160" s="16">
        <f>IF($J160="","",$B160&amp;"#"&amp;$J160)</f>
      </c>
      <c r="L160" s="16" t="s">
        <v>188</v>
      </c>
      <c r="M160" s="16">
        <v>2</v>
      </c>
    </row>
    <row r="161" spans="1:15" x14ac:dyDescent="0.25">
      <c r="A161" s="16" t="s">
        <v>752</v>
      </c>
      <c r="B161" s="16" t="s">
        <v>11</v>
      </c>
      <c r="C161" s="16" t="s">
        <v>293</v>
      </c>
      <c r="D161" s="16">
        <v>197</v>
      </c>
      <c r="E161" s="16">
        <v>1</v>
      </c>
      <c r="F161" s="16">
        <v>10</v>
      </c>
      <c r="G161" s="16" t="s">
        <v>753</v>
      </c>
      <c r="H161" s="16" t="s">
        <v>754</v>
      </c>
      <c r="I161" s="16">
        <f>IF(OR(Picker!$B$10="Yes",SUMPRODUCT((Picker!$A$5:$A$9&lt;&gt;"")*(Picker!$A$5:$A$9&lt;&gt;"(none)"))=0),1,IF($L161="",0,COUNTIF(Picker!$A$5:$A$9,$L161))+IF($N161="",0,COUNTIF(Picker!$A$5:$A$9,$N161))+IF($P161="",0,COUNTIF(Picker!$A$5:$A$9,$P161)))</f>
      </c>
      <c r="J161" s="16">
        <f>IF($I161=0,"",COUNTIFS($B$2:$B$346,$B161,$I$2:$I$346,"&gt;"&amp;$I161)+COUNTIFS($B$2:$B161,$B161,$I$2:$I161,$I161))</f>
      </c>
      <c r="K161" s="16">
        <f>IF($J161="","",$B161&amp;"#"&amp;$J161)</f>
      </c>
      <c r="L161" s="16" t="s">
        <v>102</v>
      </c>
      <c r="M161" s="16">
        <v>1</v>
      </c>
      <c r="N161" s="16" t="s">
        <v>170</v>
      </c>
      <c r="O161" s="16">
        <v>1</v>
      </c>
    </row>
    <row r="162" spans="1:13" x14ac:dyDescent="0.25">
      <c r="A162" s="16" t="s">
        <v>755</v>
      </c>
      <c r="B162" s="16" t="s">
        <v>11</v>
      </c>
      <c r="C162" s="16" t="s">
        <v>297</v>
      </c>
      <c r="D162" s="16">
        <v>197</v>
      </c>
      <c r="E162" s="16">
        <v>1</v>
      </c>
      <c r="F162" s="16">
        <v>10</v>
      </c>
      <c r="G162" s="16" t="s">
        <v>641</v>
      </c>
      <c r="H162" s="16" t="s">
        <v>756</v>
      </c>
      <c r="I162" s="16">
        <f>IF(OR(Picker!$B$10="Yes",SUMPRODUCT((Picker!$A$5:$A$9&lt;&gt;"")*(Picker!$A$5:$A$9&lt;&gt;"(none)"))=0),1,IF($L162="",0,COUNTIF(Picker!$A$5:$A$9,$L162))+IF($N162="",0,COUNTIF(Picker!$A$5:$A$9,$N162))+IF($P162="",0,COUNTIF(Picker!$A$5:$A$9,$P162)))</f>
      </c>
      <c r="J162" s="16">
        <f>IF($I162=0,"",COUNTIFS($B$2:$B$346,$B162,$I$2:$I$346,"&gt;"&amp;$I162)+COUNTIFS($B$2:$B162,$B162,$I$2:$I162,$I162))</f>
      </c>
      <c r="K162" s="16">
        <f>IF($J162="","",$B162&amp;"#"&amp;$J162)</f>
      </c>
      <c r="L162" s="16" t="s">
        <v>192</v>
      </c>
      <c r="M162" s="16">
        <v>2</v>
      </c>
    </row>
    <row r="163" spans="1:13" x14ac:dyDescent="0.25">
      <c r="A163" s="16" t="s">
        <v>757</v>
      </c>
      <c r="B163" s="16" t="s">
        <v>11</v>
      </c>
      <c r="C163" s="16" t="s">
        <v>301</v>
      </c>
      <c r="D163" s="16">
        <v>197</v>
      </c>
      <c r="E163" s="16">
        <v>1</v>
      </c>
      <c r="F163" s="16">
        <v>10</v>
      </c>
      <c r="G163" s="16" t="s">
        <v>758</v>
      </c>
      <c r="H163" s="16" t="s">
        <v>759</v>
      </c>
      <c r="I163" s="16">
        <f>IF(OR(Picker!$B$10="Yes",SUMPRODUCT((Picker!$A$5:$A$9&lt;&gt;"")*(Picker!$A$5:$A$9&lt;&gt;"(none)"))=0),1,IF($L163="",0,COUNTIF(Picker!$A$5:$A$9,$L163))+IF($N163="",0,COUNTIF(Picker!$A$5:$A$9,$N163))+IF($P163="",0,COUNTIF(Picker!$A$5:$A$9,$P163)))</f>
      </c>
      <c r="J163" s="16">
        <f>IF($I163=0,"",COUNTIFS($B$2:$B$346,$B163,$I$2:$I$346,"&gt;"&amp;$I163)+COUNTIFS($B$2:$B163,$B163,$I$2:$I163,$I163))</f>
      </c>
      <c r="K163" s="16">
        <f>IF($J163="","",$B163&amp;"#"&amp;$J163)</f>
      </c>
      <c r="L163" s="16" t="s">
        <v>107</v>
      </c>
      <c r="M163" s="16">
        <v>2</v>
      </c>
    </row>
    <row r="164" spans="1:13" x14ac:dyDescent="0.25">
      <c r="A164" s="16" t="s">
        <v>760</v>
      </c>
      <c r="B164" s="16" t="s">
        <v>11</v>
      </c>
      <c r="C164" s="16" t="s">
        <v>305</v>
      </c>
      <c r="D164" s="16">
        <v>197</v>
      </c>
      <c r="E164" s="16">
        <v>1</v>
      </c>
      <c r="F164" s="16">
        <v>10</v>
      </c>
      <c r="G164" s="16" t="s">
        <v>761</v>
      </c>
      <c r="H164" s="16" t="s">
        <v>762</v>
      </c>
      <c r="I164" s="16">
        <f>IF(OR(Picker!$B$10="Yes",SUMPRODUCT((Picker!$A$5:$A$9&lt;&gt;"")*(Picker!$A$5:$A$9&lt;&gt;"(none)"))=0),1,IF($L164="",0,COUNTIF(Picker!$A$5:$A$9,$L164))+IF($N164="",0,COUNTIF(Picker!$A$5:$A$9,$N164))+IF($P164="",0,COUNTIF(Picker!$A$5:$A$9,$P164)))</f>
      </c>
      <c r="J164" s="16">
        <f>IF($I164=0,"",COUNTIFS($B$2:$B$346,$B164,$I$2:$I$346,"&gt;"&amp;$I164)+COUNTIFS($B$2:$B164,$B164,$I$2:$I164,$I164))</f>
      </c>
      <c r="K164" s="16">
        <f>IF($J164="","",$B164&amp;"#"&amp;$J164)</f>
      </c>
      <c r="L164" s="16" t="s">
        <v>148</v>
      </c>
      <c r="M164" s="16">
        <v>2</v>
      </c>
    </row>
    <row r="165" spans="1:13" x14ac:dyDescent="0.25">
      <c r="A165" s="16" t="s">
        <v>763</v>
      </c>
      <c r="B165" s="16" t="s">
        <v>11</v>
      </c>
      <c r="C165" s="16" t="s">
        <v>309</v>
      </c>
      <c r="D165" s="16">
        <v>197</v>
      </c>
      <c r="E165" s="16">
        <v>1</v>
      </c>
      <c r="F165" s="16">
        <v>10</v>
      </c>
      <c r="G165" s="16" t="s">
        <v>764</v>
      </c>
      <c r="H165" s="16" t="s">
        <v>765</v>
      </c>
      <c r="I165" s="16">
        <f>IF(OR(Picker!$B$10="Yes",SUMPRODUCT((Picker!$A$5:$A$9&lt;&gt;"")*(Picker!$A$5:$A$9&lt;&gt;"(none)"))=0),1,IF($L165="",0,COUNTIF(Picker!$A$5:$A$9,$L165))+IF($N165="",0,COUNTIF(Picker!$A$5:$A$9,$N165))+IF($P165="",0,COUNTIF(Picker!$A$5:$A$9,$P165)))</f>
      </c>
      <c r="J165" s="16">
        <f>IF($I165=0,"",COUNTIFS($B$2:$B$346,$B165,$I$2:$I$346,"&gt;"&amp;$I165)+COUNTIFS($B$2:$B165,$B165,$I$2:$I165,$I165))</f>
      </c>
      <c r="K165" s="16">
        <f>IF($J165="","",$B165&amp;"#"&amp;$J165)</f>
      </c>
      <c r="L165" s="16" t="s">
        <v>154</v>
      </c>
      <c r="M165" s="16">
        <v>2</v>
      </c>
    </row>
    <row r="166" spans="1:15" x14ac:dyDescent="0.25">
      <c r="A166" s="16" t="s">
        <v>766</v>
      </c>
      <c r="B166" s="16" t="s">
        <v>11</v>
      </c>
      <c r="C166" s="16" t="s">
        <v>313</v>
      </c>
      <c r="D166" s="16">
        <v>197</v>
      </c>
      <c r="E166" s="16">
        <v>2</v>
      </c>
      <c r="F166" s="16">
        <v>10</v>
      </c>
      <c r="G166" s="16" t="s">
        <v>767</v>
      </c>
      <c r="H166" s="16" t="s">
        <v>768</v>
      </c>
      <c r="I166" s="16">
        <f>IF(OR(Picker!$B$10="Yes",SUMPRODUCT((Picker!$A$5:$A$9&lt;&gt;"")*(Picker!$A$5:$A$9&lt;&gt;"(none)"))=0),1,IF($L166="",0,COUNTIF(Picker!$A$5:$A$9,$L166))+IF($N166="",0,COUNTIF(Picker!$A$5:$A$9,$N166))+IF($P166="",0,COUNTIF(Picker!$A$5:$A$9,$P166)))</f>
      </c>
      <c r="J166" s="16">
        <f>IF($I166=0,"",COUNTIFS($B$2:$B$346,$B166,$I$2:$I$346,"&gt;"&amp;$I166)+COUNTIFS($B$2:$B166,$B166,$I$2:$I166,$I166))</f>
      </c>
      <c r="K166" s="16">
        <f>IF($J166="","",$B166&amp;"#"&amp;$J166)</f>
      </c>
      <c r="L166" s="16" t="s">
        <v>99</v>
      </c>
      <c r="M166" s="16">
        <v>1</v>
      </c>
      <c r="N166" s="16" t="s">
        <v>64</v>
      </c>
      <c r="O166" s="16">
        <v>1</v>
      </c>
    </row>
    <row r="167" spans="1:15" x14ac:dyDescent="0.25">
      <c r="A167" s="16" t="s">
        <v>769</v>
      </c>
      <c r="B167" s="16" t="s">
        <v>11</v>
      </c>
      <c r="C167" s="16" t="s">
        <v>317</v>
      </c>
      <c r="D167" s="16">
        <v>197</v>
      </c>
      <c r="E167" s="16">
        <v>1</v>
      </c>
      <c r="F167" s="16">
        <v>10</v>
      </c>
      <c r="G167" s="16" t="s">
        <v>770</v>
      </c>
      <c r="H167" s="16" t="s">
        <v>771</v>
      </c>
      <c r="I167" s="16">
        <f>IF(OR(Picker!$B$10="Yes",SUMPRODUCT((Picker!$A$5:$A$9&lt;&gt;"")*(Picker!$A$5:$A$9&lt;&gt;"(none)"))=0),1,IF($L167="",0,COUNTIF(Picker!$A$5:$A$9,$L167))+IF($N167="",0,COUNTIF(Picker!$A$5:$A$9,$N167))+IF($P167="",0,COUNTIF(Picker!$A$5:$A$9,$P167)))</f>
      </c>
      <c r="J167" s="16">
        <f>IF($I167=0,"",COUNTIFS($B$2:$B$346,$B167,$I$2:$I$346,"&gt;"&amp;$I167)+COUNTIFS($B$2:$B167,$B167,$I$2:$I167,$I167))</f>
      </c>
      <c r="K167" s="16">
        <f>IF($J167="","",$B167&amp;"#"&amp;$J167)</f>
      </c>
      <c r="L167" s="16" t="s">
        <v>190</v>
      </c>
      <c r="M167" s="16">
        <v>1</v>
      </c>
      <c r="N167" s="16" t="s">
        <v>111</v>
      </c>
      <c r="O167" s="16">
        <v>2</v>
      </c>
    </row>
    <row r="168" spans="1:13" x14ac:dyDescent="0.25">
      <c r="A168" s="16" t="s">
        <v>772</v>
      </c>
      <c r="B168" s="16" t="s">
        <v>11</v>
      </c>
      <c r="C168" s="16" t="s">
        <v>321</v>
      </c>
      <c r="D168" s="16">
        <v>197</v>
      </c>
      <c r="E168" s="16">
        <v>1</v>
      </c>
      <c r="F168" s="16">
        <v>10</v>
      </c>
      <c r="G168" s="16" t="s">
        <v>382</v>
      </c>
      <c r="H168" s="16" t="s">
        <v>773</v>
      </c>
      <c r="I168" s="16">
        <f>IF(OR(Picker!$B$10="Yes",SUMPRODUCT((Picker!$A$5:$A$9&lt;&gt;"")*(Picker!$A$5:$A$9&lt;&gt;"(none)"))=0),1,IF($L168="",0,COUNTIF(Picker!$A$5:$A$9,$L168))+IF($N168="",0,COUNTIF(Picker!$A$5:$A$9,$N168))+IF($P168="",0,COUNTIF(Picker!$A$5:$A$9,$P168)))</f>
      </c>
      <c r="J168" s="16">
        <f>IF($I168=0,"",COUNTIFS($B$2:$B$346,$B168,$I$2:$I$346,"&gt;"&amp;$I168)+COUNTIFS($B$2:$B168,$B168,$I$2:$I168,$I168))</f>
      </c>
      <c r="K168" s="16">
        <f>IF($J168="","",$B168&amp;"#"&amp;$J168)</f>
      </c>
      <c r="L168" s="16" t="s">
        <v>190</v>
      </c>
      <c r="M168" s="16">
        <v>2</v>
      </c>
    </row>
    <row r="169" spans="1:15" x14ac:dyDescent="0.25">
      <c r="A169" s="16" t="s">
        <v>774</v>
      </c>
      <c r="B169" s="16" t="s">
        <v>11</v>
      </c>
      <c r="C169" s="16" t="s">
        <v>325</v>
      </c>
      <c r="D169" s="16">
        <v>197</v>
      </c>
      <c r="E169" s="16">
        <v>1</v>
      </c>
      <c r="F169" s="16">
        <v>10</v>
      </c>
      <c r="G169" s="16" t="s">
        <v>775</v>
      </c>
      <c r="H169" s="16" t="s">
        <v>776</v>
      </c>
      <c r="I169" s="16">
        <f>IF(OR(Picker!$B$10="Yes",SUMPRODUCT((Picker!$A$5:$A$9&lt;&gt;"")*(Picker!$A$5:$A$9&lt;&gt;"(none)"))=0),1,IF($L169="",0,COUNTIF(Picker!$A$5:$A$9,$L169))+IF($N169="",0,COUNTIF(Picker!$A$5:$A$9,$N169))+IF($P169="",0,COUNTIF(Picker!$A$5:$A$9,$P169)))</f>
      </c>
      <c r="J169" s="16">
        <f>IF($I169=0,"",COUNTIFS($B$2:$B$346,$B169,$I$2:$I$346,"&gt;"&amp;$I169)+COUNTIFS($B$2:$B169,$B169,$I$2:$I169,$I169))</f>
      </c>
      <c r="K169" s="16">
        <f>IF($J169="","",$B169&amp;"#"&amp;$J169)</f>
      </c>
      <c r="L169" s="16" t="s">
        <v>104</v>
      </c>
      <c r="M169" s="16">
        <v>2</v>
      </c>
      <c r="N169" s="16" t="s">
        <v>69</v>
      </c>
      <c r="O169" s="16">
        <v>1</v>
      </c>
    </row>
    <row r="170" spans="1:17" x14ac:dyDescent="0.25">
      <c r="A170" s="16" t="s">
        <v>777</v>
      </c>
      <c r="B170" s="16" t="s">
        <v>11</v>
      </c>
      <c r="C170" s="16" t="s">
        <v>329</v>
      </c>
      <c r="D170" s="16">
        <v>197</v>
      </c>
      <c r="E170" s="16">
        <v>1</v>
      </c>
      <c r="F170" s="16">
        <v>10</v>
      </c>
      <c r="G170" s="16" t="s">
        <v>778</v>
      </c>
      <c r="H170" s="16" t="s">
        <v>779</v>
      </c>
      <c r="I170" s="16">
        <f>IF(OR(Picker!$B$10="Yes",SUMPRODUCT((Picker!$A$5:$A$9&lt;&gt;"")*(Picker!$A$5:$A$9&lt;&gt;"(none)"))=0),1,IF($L170="",0,COUNTIF(Picker!$A$5:$A$9,$L170))+IF($N170="",0,COUNTIF(Picker!$A$5:$A$9,$N170))+IF($P170="",0,COUNTIF(Picker!$A$5:$A$9,$P170)))</f>
      </c>
      <c r="J170" s="16">
        <f>IF($I170=0,"",COUNTIFS($B$2:$B$346,$B170,$I$2:$I$346,"&gt;"&amp;$I170)+COUNTIFS($B$2:$B170,$B170,$I$2:$I170,$I170))</f>
      </c>
      <c r="K170" s="16">
        <f>IF($J170="","",$B170&amp;"#"&amp;$J170)</f>
      </c>
      <c r="L170" s="16" t="s">
        <v>114</v>
      </c>
      <c r="M170" s="16">
        <v>1</v>
      </c>
      <c r="N170" s="16" t="s">
        <v>71</v>
      </c>
      <c r="O170" s="16">
        <v>2</v>
      </c>
      <c r="P170" s="16" t="s">
        <v>178</v>
      </c>
      <c r="Q170" s="16">
        <v>1</v>
      </c>
    </row>
    <row r="171" spans="1:15" x14ac:dyDescent="0.25">
      <c r="A171" s="16" t="s">
        <v>780</v>
      </c>
      <c r="B171" s="16" t="s">
        <v>11</v>
      </c>
      <c r="C171" s="16" t="s">
        <v>333</v>
      </c>
      <c r="D171" s="16">
        <v>197</v>
      </c>
      <c r="E171" s="16">
        <v>1</v>
      </c>
      <c r="F171" s="16">
        <v>10</v>
      </c>
      <c r="G171" s="16" t="s">
        <v>781</v>
      </c>
      <c r="H171" s="16" t="s">
        <v>782</v>
      </c>
      <c r="I171" s="16">
        <f>IF(OR(Picker!$B$10="Yes",SUMPRODUCT((Picker!$A$5:$A$9&lt;&gt;"")*(Picker!$A$5:$A$9&lt;&gt;"(none)"))=0),1,IF($L171="",0,COUNTIF(Picker!$A$5:$A$9,$L171))+IF($N171="",0,COUNTIF(Picker!$A$5:$A$9,$N171))+IF($P171="",0,COUNTIF(Picker!$A$5:$A$9,$P171)))</f>
      </c>
      <c r="J171" s="16">
        <f>IF($I171=0,"",COUNTIFS($B$2:$B$346,$B171,$I$2:$I$346,"&gt;"&amp;$I171)+COUNTIFS($B$2:$B171,$B171,$I$2:$I171,$I171))</f>
      </c>
      <c r="K171" s="16">
        <f>IF($J171="","",$B171&amp;"#"&amp;$J171)</f>
      </c>
      <c r="L171" s="16" t="s">
        <v>113</v>
      </c>
      <c r="M171" s="16">
        <v>1</v>
      </c>
      <c r="N171" s="16" t="s">
        <v>173</v>
      </c>
      <c r="O171" s="16">
        <v>2</v>
      </c>
    </row>
    <row r="172" spans="1:17" x14ac:dyDescent="0.25">
      <c r="A172" s="16" t="s">
        <v>783</v>
      </c>
      <c r="B172" s="16" t="s">
        <v>11</v>
      </c>
      <c r="C172" s="16" t="s">
        <v>337</v>
      </c>
      <c r="D172" s="16">
        <v>197</v>
      </c>
      <c r="E172" s="16">
        <v>1</v>
      </c>
      <c r="F172" s="16">
        <v>10</v>
      </c>
      <c r="G172" s="16" t="s">
        <v>784</v>
      </c>
      <c r="H172" s="16" t="s">
        <v>785</v>
      </c>
      <c r="I172" s="16">
        <f>IF(OR(Picker!$B$10="Yes",SUMPRODUCT((Picker!$A$5:$A$9&lt;&gt;"")*(Picker!$A$5:$A$9&lt;&gt;"(none)"))=0),1,IF($L172="",0,COUNTIF(Picker!$A$5:$A$9,$L172))+IF($N172="",0,COUNTIF(Picker!$A$5:$A$9,$N172))+IF($P172="",0,COUNTIF(Picker!$A$5:$A$9,$P172)))</f>
      </c>
      <c r="J172" s="16">
        <f>IF($I172=0,"",COUNTIFS($B$2:$B$346,$B172,$I$2:$I$346,"&gt;"&amp;$I172)+COUNTIFS($B$2:$B172,$B172,$I$2:$I172,$I172))</f>
      </c>
      <c r="K172" s="16">
        <f>IF($J172="","",$B172&amp;"#"&amp;$J172)</f>
      </c>
      <c r="L172" s="16" t="s">
        <v>192</v>
      </c>
      <c r="M172" s="16">
        <v>1</v>
      </c>
      <c r="N172" s="16" t="s">
        <v>90</v>
      </c>
      <c r="O172" s="16">
        <v>1</v>
      </c>
      <c r="P172" s="16" t="s">
        <v>125</v>
      </c>
      <c r="Q172" s="16">
        <v>1</v>
      </c>
    </row>
    <row r="173" spans="1:15" x14ac:dyDescent="0.25">
      <c r="A173" s="16" t="s">
        <v>786</v>
      </c>
      <c r="B173" s="16" t="s">
        <v>11</v>
      </c>
      <c r="C173" s="16" t="s">
        <v>341</v>
      </c>
      <c r="D173" s="16">
        <v>197</v>
      </c>
      <c r="E173" s="16">
        <v>1</v>
      </c>
      <c r="F173" s="16">
        <v>10</v>
      </c>
      <c r="G173" s="16" t="s">
        <v>787</v>
      </c>
      <c r="H173" s="16" t="s">
        <v>788</v>
      </c>
      <c r="I173" s="16">
        <f>IF(OR(Picker!$B$10="Yes",SUMPRODUCT((Picker!$A$5:$A$9&lt;&gt;"")*(Picker!$A$5:$A$9&lt;&gt;"(none)"))=0),1,IF($L173="",0,COUNTIF(Picker!$A$5:$A$9,$L173))+IF($N173="",0,COUNTIF(Picker!$A$5:$A$9,$N173))+IF($P173="",0,COUNTIF(Picker!$A$5:$A$9,$P173)))</f>
      </c>
      <c r="J173" s="16">
        <f>IF($I173=0,"",COUNTIFS($B$2:$B$346,$B173,$I$2:$I$346,"&gt;"&amp;$I173)+COUNTIFS($B$2:$B173,$B173,$I$2:$I173,$I173))</f>
      </c>
      <c r="K173" s="16">
        <f>IF($J173="","",$B173&amp;"#"&amp;$J173)</f>
      </c>
      <c r="L173" s="16" t="s">
        <v>92</v>
      </c>
      <c r="M173" s="16">
        <v>1</v>
      </c>
      <c r="N173" s="16" t="s">
        <v>127</v>
      </c>
      <c r="O173" s="16">
        <v>1</v>
      </c>
    </row>
    <row r="174" spans="1:17" x14ac:dyDescent="0.25">
      <c r="A174" s="16" t="s">
        <v>789</v>
      </c>
      <c r="B174" s="16" t="s">
        <v>11</v>
      </c>
      <c r="C174" s="16" t="s">
        <v>345</v>
      </c>
      <c r="D174" s="16">
        <v>197</v>
      </c>
      <c r="E174" s="16">
        <v>1</v>
      </c>
      <c r="F174" s="16">
        <v>10</v>
      </c>
      <c r="G174" s="16" t="s">
        <v>790</v>
      </c>
      <c r="H174" s="16" t="s">
        <v>791</v>
      </c>
      <c r="I174" s="16">
        <f>IF(OR(Picker!$B$10="Yes",SUMPRODUCT((Picker!$A$5:$A$9&lt;&gt;"")*(Picker!$A$5:$A$9&lt;&gt;"(none)"))=0),1,IF($L174="",0,COUNTIF(Picker!$A$5:$A$9,$L174))+IF($N174="",0,COUNTIF(Picker!$A$5:$A$9,$N174))+IF($P174="",0,COUNTIF(Picker!$A$5:$A$9,$P174)))</f>
      </c>
      <c r="J174" s="16">
        <f>IF($I174=0,"",COUNTIFS($B$2:$B$346,$B174,$I$2:$I$346,"&gt;"&amp;$I174)+COUNTIFS($B$2:$B174,$B174,$I$2:$I174,$I174))</f>
      </c>
      <c r="K174" s="16">
        <f>IF($J174="","",$B174&amp;"#"&amp;$J174)</f>
      </c>
      <c r="L174" s="16" t="s">
        <v>104</v>
      </c>
      <c r="M174" s="16">
        <v>1</v>
      </c>
      <c r="N174" s="16" t="s">
        <v>112</v>
      </c>
      <c r="O174" s="16">
        <v>2</v>
      </c>
      <c r="P174" s="16" t="s">
        <v>126</v>
      </c>
      <c r="Q174" s="16">
        <v>1</v>
      </c>
    </row>
    <row r="175" spans="1:15" x14ac:dyDescent="0.25">
      <c r="A175" s="16" t="s">
        <v>792</v>
      </c>
      <c r="B175" s="16" t="s">
        <v>11</v>
      </c>
      <c r="C175" s="16" t="s">
        <v>349</v>
      </c>
      <c r="D175" s="16">
        <v>197</v>
      </c>
      <c r="E175" s="16">
        <v>2</v>
      </c>
      <c r="F175" s="16">
        <v>10</v>
      </c>
      <c r="G175" s="16" t="s">
        <v>793</v>
      </c>
      <c r="H175" s="16" t="s">
        <v>794</v>
      </c>
      <c r="I175" s="16">
        <f>IF(OR(Picker!$B$10="Yes",SUMPRODUCT((Picker!$A$5:$A$9&lt;&gt;"")*(Picker!$A$5:$A$9&lt;&gt;"(none)"))=0),1,IF($L175="",0,COUNTIF(Picker!$A$5:$A$9,$L175))+IF($N175="",0,COUNTIF(Picker!$A$5:$A$9,$N175))+IF($P175="",0,COUNTIF(Picker!$A$5:$A$9,$P175)))</f>
      </c>
      <c r="J175" s="16">
        <f>IF($I175=0,"",COUNTIFS($B$2:$B$346,$B175,$I$2:$I$346,"&gt;"&amp;$I175)+COUNTIFS($B$2:$B175,$B175,$I$2:$I175,$I175))</f>
      </c>
      <c r="K175" s="16">
        <f>IF($J175="","",$B175&amp;"#"&amp;$J175)</f>
      </c>
      <c r="L175" s="16" t="s">
        <v>158</v>
      </c>
      <c r="M175" s="16">
        <v>1</v>
      </c>
      <c r="N175" s="16" t="s">
        <v>163</v>
      </c>
      <c r="O175" s="16">
        <v>1</v>
      </c>
    </row>
    <row r="176" spans="1:15" x14ac:dyDescent="0.25">
      <c r="A176" s="16" t="s">
        <v>795</v>
      </c>
      <c r="B176" s="16" t="s">
        <v>11</v>
      </c>
      <c r="C176" s="16" t="s">
        <v>353</v>
      </c>
      <c r="D176" s="16">
        <v>197</v>
      </c>
      <c r="E176" s="16">
        <v>1</v>
      </c>
      <c r="F176" s="16">
        <v>10</v>
      </c>
      <c r="G176" s="16" t="s">
        <v>796</v>
      </c>
      <c r="H176" s="16" t="s">
        <v>797</v>
      </c>
      <c r="I176" s="16">
        <f>IF(OR(Picker!$B$10="Yes",SUMPRODUCT((Picker!$A$5:$A$9&lt;&gt;"")*(Picker!$A$5:$A$9&lt;&gt;"(none)"))=0),1,IF($L176="",0,COUNTIF(Picker!$A$5:$A$9,$L176))+IF($N176="",0,COUNTIF(Picker!$A$5:$A$9,$N176))+IF($P176="",0,COUNTIF(Picker!$A$5:$A$9,$P176)))</f>
      </c>
      <c r="J176" s="16">
        <f>IF($I176=0,"",COUNTIFS($B$2:$B$346,$B176,$I$2:$I$346,"&gt;"&amp;$I176)+COUNTIFS($B$2:$B176,$B176,$I$2:$I176,$I176))</f>
      </c>
      <c r="K176" s="16">
        <f>IF($J176="","",$B176&amp;"#"&amp;$J176)</f>
      </c>
      <c r="L176" s="16" t="s">
        <v>97</v>
      </c>
      <c r="M176" s="16">
        <v>1</v>
      </c>
      <c r="N176" s="16" t="s">
        <v>180</v>
      </c>
      <c r="O176" s="16">
        <v>1</v>
      </c>
    </row>
    <row r="177" spans="1:13" x14ac:dyDescent="0.25">
      <c r="A177" s="16" t="s">
        <v>798</v>
      </c>
      <c r="B177" s="16" t="s">
        <v>11</v>
      </c>
      <c r="C177" s="16" t="s">
        <v>357</v>
      </c>
      <c r="D177" s="16">
        <v>197</v>
      </c>
      <c r="E177" s="16">
        <v>1</v>
      </c>
      <c r="F177" s="16">
        <v>10</v>
      </c>
      <c r="G177" s="16" t="s">
        <v>799</v>
      </c>
      <c r="H177" s="16" t="s">
        <v>800</v>
      </c>
      <c r="I177" s="16">
        <f>IF(OR(Picker!$B$10="Yes",SUMPRODUCT((Picker!$A$5:$A$9&lt;&gt;"")*(Picker!$A$5:$A$9&lt;&gt;"(none)"))=0),1,IF($L177="",0,COUNTIF(Picker!$A$5:$A$9,$L177))+IF($N177="",0,COUNTIF(Picker!$A$5:$A$9,$N177))+IF($P177="",0,COUNTIF(Picker!$A$5:$A$9,$P177)))</f>
      </c>
      <c r="J177" s="16">
        <f>IF($I177=0,"",COUNTIFS($B$2:$B$346,$B177,$I$2:$I$346,"&gt;"&amp;$I177)+COUNTIFS($B$2:$B177,$B177,$I$2:$I177,$I177))</f>
      </c>
      <c r="K177" s="16">
        <f>IF($J177="","",$B177&amp;"#"&amp;$J177)</f>
      </c>
      <c r="L177" s="16" t="s">
        <v>157</v>
      </c>
      <c r="M177" s="16">
        <v>2</v>
      </c>
    </row>
    <row r="178" spans="1:13" x14ac:dyDescent="0.25">
      <c r="A178" s="16" t="s">
        <v>801</v>
      </c>
      <c r="B178" s="16" t="s">
        <v>11</v>
      </c>
      <c r="C178" s="16" t="s">
        <v>365</v>
      </c>
      <c r="D178" s="16">
        <v>197</v>
      </c>
      <c r="E178" s="16">
        <v>1</v>
      </c>
      <c r="F178" s="16">
        <v>10</v>
      </c>
      <c r="G178" s="16" t="s">
        <v>802</v>
      </c>
      <c r="H178" s="16" t="s">
        <v>803</v>
      </c>
      <c r="I178" s="16">
        <f>IF(OR(Picker!$B$10="Yes",SUMPRODUCT((Picker!$A$5:$A$9&lt;&gt;"")*(Picker!$A$5:$A$9&lt;&gt;"(none)"))=0),1,IF($L178="",0,COUNTIF(Picker!$A$5:$A$9,$L178))+IF($N178="",0,COUNTIF(Picker!$A$5:$A$9,$N178))+IF($P178="",0,COUNTIF(Picker!$A$5:$A$9,$P178)))</f>
      </c>
      <c r="J178" s="16">
        <f>IF($I178=0,"",COUNTIFS($B$2:$B$346,$B178,$I$2:$I$346,"&gt;"&amp;$I178)+COUNTIFS($B$2:$B178,$B178,$I$2:$I178,$I178))</f>
      </c>
      <c r="K178" s="16">
        <f>IF($J178="","",$B178&amp;"#"&amp;$J178)</f>
      </c>
      <c r="L178" s="16" t="s">
        <v>166</v>
      </c>
      <c r="M178" s="16">
        <v>2</v>
      </c>
    </row>
    <row r="179" spans="1:15" x14ac:dyDescent="0.25">
      <c r="A179" s="16" t="s">
        <v>804</v>
      </c>
      <c r="B179" s="16" t="s">
        <v>11</v>
      </c>
      <c r="C179" s="16" t="s">
        <v>361</v>
      </c>
      <c r="D179" s="16">
        <v>197</v>
      </c>
      <c r="E179" s="16">
        <v>1</v>
      </c>
      <c r="F179" s="16">
        <v>10</v>
      </c>
      <c r="G179" s="16" t="s">
        <v>805</v>
      </c>
      <c r="H179" s="16" t="s">
        <v>806</v>
      </c>
      <c r="I179" s="16">
        <f>IF(OR(Picker!$B$10="Yes",SUMPRODUCT((Picker!$A$5:$A$9&lt;&gt;"")*(Picker!$A$5:$A$9&lt;&gt;"(none)"))=0),1,IF($L179="",0,COUNTIF(Picker!$A$5:$A$9,$L179))+IF($N179="",0,COUNTIF(Picker!$A$5:$A$9,$N179))+IF($P179="",0,COUNTIF(Picker!$A$5:$A$9,$P179)))</f>
      </c>
      <c r="J179" s="16">
        <f>IF($I179=0,"",COUNTIFS($B$2:$B$346,$B179,$I$2:$I$346,"&gt;"&amp;$I179)+COUNTIFS($B$2:$B179,$B179,$I$2:$I179,$I179))</f>
      </c>
      <c r="K179" s="16">
        <f>IF($J179="","",$B179&amp;"#"&amp;$J179)</f>
      </c>
      <c r="L179" s="16" t="s">
        <v>89</v>
      </c>
      <c r="M179" s="16">
        <v>2</v>
      </c>
      <c r="N179" s="16" t="s">
        <v>99</v>
      </c>
      <c r="O179" s="16">
        <v>1</v>
      </c>
    </row>
    <row r="180" spans="1:13" x14ac:dyDescent="0.25">
      <c r="A180" s="16" t="s">
        <v>807</v>
      </c>
      <c r="B180" s="16" t="s">
        <v>11</v>
      </c>
      <c r="C180" s="16" t="s">
        <v>369</v>
      </c>
      <c r="D180" s="16">
        <v>197</v>
      </c>
      <c r="E180" s="16">
        <v>1</v>
      </c>
      <c r="F180" s="16">
        <v>10</v>
      </c>
      <c r="G180" s="16" t="s">
        <v>808</v>
      </c>
      <c r="H180" s="16" t="s">
        <v>809</v>
      </c>
      <c r="I180" s="16">
        <f>IF(OR(Picker!$B$10="Yes",SUMPRODUCT((Picker!$A$5:$A$9&lt;&gt;"")*(Picker!$A$5:$A$9&lt;&gt;"(none)"))=0),1,IF($L180="",0,COUNTIF(Picker!$A$5:$A$9,$L180))+IF($N180="",0,COUNTIF(Picker!$A$5:$A$9,$N180))+IF($P180="",0,COUNTIF(Picker!$A$5:$A$9,$P180)))</f>
      </c>
      <c r="J180" s="16">
        <f>IF($I180=0,"",COUNTIFS($B$2:$B$346,$B180,$I$2:$I$346,"&gt;"&amp;$I180)+COUNTIFS($B$2:$B180,$B180,$I$2:$I180,$I180))</f>
      </c>
      <c r="K180" s="16">
        <f>IF($J180="","",$B180&amp;"#"&amp;$J180)</f>
      </c>
      <c r="L180" s="16" t="s">
        <v>81</v>
      </c>
      <c r="M180" s="16">
        <v>2</v>
      </c>
    </row>
    <row r="181" spans="1:17" x14ac:dyDescent="0.25">
      <c r="A181" s="16" t="s">
        <v>810</v>
      </c>
      <c r="B181" s="16" t="s">
        <v>11</v>
      </c>
      <c r="C181" s="16" t="s">
        <v>373</v>
      </c>
      <c r="D181" s="16">
        <v>197</v>
      </c>
      <c r="E181" s="16">
        <v>1</v>
      </c>
      <c r="F181" s="16">
        <v>10</v>
      </c>
      <c r="G181" s="16" t="s">
        <v>811</v>
      </c>
      <c r="H181" s="16" t="s">
        <v>812</v>
      </c>
      <c r="I181" s="16">
        <f>IF(OR(Picker!$B$10="Yes",SUMPRODUCT((Picker!$A$5:$A$9&lt;&gt;"")*(Picker!$A$5:$A$9&lt;&gt;"(none)"))=0),1,IF($L181="",0,COUNTIF(Picker!$A$5:$A$9,$L181))+IF($N181="",0,COUNTIF(Picker!$A$5:$A$9,$N181))+IF($P181="",0,COUNTIF(Picker!$A$5:$A$9,$P181)))</f>
      </c>
      <c r="J181" s="16">
        <f>IF($I181=0,"",COUNTIFS($B$2:$B$346,$B181,$I$2:$I$346,"&gt;"&amp;$I181)+COUNTIFS($B$2:$B181,$B181,$I$2:$I181,$I181))</f>
      </c>
      <c r="K181" s="16">
        <f>IF($J181="","",$B181&amp;"#"&amp;$J181)</f>
      </c>
      <c r="L181" s="16" t="s">
        <v>159</v>
      </c>
      <c r="M181" s="16">
        <v>1</v>
      </c>
      <c r="N181" s="16" t="s">
        <v>131</v>
      </c>
      <c r="O181" s="16">
        <v>1</v>
      </c>
      <c r="P181" s="16" t="s">
        <v>80</v>
      </c>
      <c r="Q181" s="16">
        <v>1</v>
      </c>
    </row>
    <row r="182" spans="1:15" x14ac:dyDescent="0.25">
      <c r="A182" s="16" t="s">
        <v>813</v>
      </c>
      <c r="B182" s="16" t="s">
        <v>11</v>
      </c>
      <c r="C182" s="16" t="s">
        <v>377</v>
      </c>
      <c r="D182" s="16">
        <v>197</v>
      </c>
      <c r="E182" s="16">
        <v>1</v>
      </c>
      <c r="F182" s="16">
        <v>10</v>
      </c>
      <c r="G182" s="16" t="s">
        <v>814</v>
      </c>
      <c r="H182" s="16" t="s">
        <v>815</v>
      </c>
      <c r="I182" s="16">
        <f>IF(OR(Picker!$B$10="Yes",SUMPRODUCT((Picker!$A$5:$A$9&lt;&gt;"")*(Picker!$A$5:$A$9&lt;&gt;"(none)"))=0),1,IF($L182="",0,COUNTIF(Picker!$A$5:$A$9,$L182))+IF($N182="",0,COUNTIF(Picker!$A$5:$A$9,$N182))+IF($P182="",0,COUNTIF(Picker!$A$5:$A$9,$P182)))</f>
      </c>
      <c r="J182" s="16">
        <f>IF($I182=0,"",COUNTIFS($B$2:$B$346,$B182,$I$2:$I$346,"&gt;"&amp;$I182)+COUNTIFS($B$2:$B182,$B182,$I$2:$I182,$I182))</f>
      </c>
      <c r="K182" s="16">
        <f>IF($J182="","",$B182&amp;"#"&amp;$J182)</f>
      </c>
      <c r="L182" s="16" t="s">
        <v>183</v>
      </c>
      <c r="M182" s="16">
        <v>2</v>
      </c>
      <c r="N182" s="16" t="s">
        <v>85</v>
      </c>
      <c r="O182" s="16">
        <v>1</v>
      </c>
    </row>
    <row r="183" spans="1:15" x14ac:dyDescent="0.25">
      <c r="A183" s="16" t="s">
        <v>816</v>
      </c>
      <c r="B183" s="16" t="s">
        <v>11</v>
      </c>
      <c r="C183" s="16" t="s">
        <v>381</v>
      </c>
      <c r="D183" s="16">
        <v>197</v>
      </c>
      <c r="E183" s="16">
        <v>1</v>
      </c>
      <c r="F183" s="16">
        <v>10</v>
      </c>
      <c r="G183" s="16" t="s">
        <v>817</v>
      </c>
      <c r="H183" s="16" t="s">
        <v>818</v>
      </c>
      <c r="I183" s="16">
        <f>IF(OR(Picker!$B$10="Yes",SUMPRODUCT((Picker!$A$5:$A$9&lt;&gt;"")*(Picker!$A$5:$A$9&lt;&gt;"(none)"))=0),1,IF($L183="",0,COUNTIF(Picker!$A$5:$A$9,$L183))+IF($N183="",0,COUNTIF(Picker!$A$5:$A$9,$N183))+IF($P183="",0,COUNTIF(Picker!$A$5:$A$9,$P183)))</f>
      </c>
      <c r="J183" s="16">
        <f>IF($I183=0,"",COUNTIFS($B$2:$B$346,$B183,$I$2:$I$346,"&gt;"&amp;$I183)+COUNTIFS($B$2:$B183,$B183,$I$2:$I183,$I183))</f>
      </c>
      <c r="K183" s="16">
        <f>IF($J183="","",$B183&amp;"#"&amp;$J183)</f>
      </c>
      <c r="L183" s="16" t="s">
        <v>82</v>
      </c>
      <c r="M183" s="16">
        <v>1</v>
      </c>
      <c r="N183" s="16" t="s">
        <v>159</v>
      </c>
      <c r="O183" s="16">
        <v>1</v>
      </c>
    </row>
    <row r="184" spans="1:13" x14ac:dyDescent="0.25">
      <c r="A184" s="16" t="s">
        <v>819</v>
      </c>
      <c r="B184" s="16" t="s">
        <v>11</v>
      </c>
      <c r="C184" s="16" t="s">
        <v>385</v>
      </c>
      <c r="D184" s="16">
        <v>197</v>
      </c>
      <c r="E184" s="16">
        <v>1</v>
      </c>
      <c r="F184" s="16">
        <v>10</v>
      </c>
      <c r="G184" s="16" t="s">
        <v>820</v>
      </c>
      <c r="H184" s="16" t="s">
        <v>821</v>
      </c>
      <c r="I184" s="16">
        <f>IF(OR(Picker!$B$10="Yes",SUMPRODUCT((Picker!$A$5:$A$9&lt;&gt;"")*(Picker!$A$5:$A$9&lt;&gt;"(none)"))=0),1,IF($L184="",0,COUNTIF(Picker!$A$5:$A$9,$L184))+IF($N184="",0,COUNTIF(Picker!$A$5:$A$9,$N184))+IF($P184="",0,COUNTIF(Picker!$A$5:$A$9,$P184)))</f>
      </c>
      <c r="J184" s="16">
        <f>IF($I184=0,"",COUNTIFS($B$2:$B$346,$B184,$I$2:$I$346,"&gt;"&amp;$I184)+COUNTIFS($B$2:$B184,$B184,$I$2:$I184,$I184))</f>
      </c>
      <c r="K184" s="16">
        <f>IF($J184="","",$B184&amp;"#"&amp;$J184)</f>
      </c>
      <c r="L184" s="16" t="s">
        <v>83</v>
      </c>
      <c r="M184" s="16">
        <v>3</v>
      </c>
    </row>
    <row r="185" spans="1:17" x14ac:dyDescent="0.25">
      <c r="A185" s="16" t="s">
        <v>822</v>
      </c>
      <c r="B185" s="16" t="s">
        <v>11</v>
      </c>
      <c r="C185" s="16" t="s">
        <v>389</v>
      </c>
      <c r="D185" s="16">
        <v>197</v>
      </c>
      <c r="E185" s="16">
        <v>1</v>
      </c>
      <c r="F185" s="16">
        <v>10</v>
      </c>
      <c r="G185" s="16" t="s">
        <v>823</v>
      </c>
      <c r="H185" s="16" t="s">
        <v>824</v>
      </c>
      <c r="I185" s="16">
        <f>IF(OR(Picker!$B$10="Yes",SUMPRODUCT((Picker!$A$5:$A$9&lt;&gt;"")*(Picker!$A$5:$A$9&lt;&gt;"(none)"))=0),1,IF($L185="",0,COUNTIF(Picker!$A$5:$A$9,$L185))+IF($N185="",0,COUNTIF(Picker!$A$5:$A$9,$N185))+IF($P185="",0,COUNTIF(Picker!$A$5:$A$9,$P185)))</f>
      </c>
      <c r="J185" s="16">
        <f>IF($I185=0,"",COUNTIFS($B$2:$B$346,$B185,$I$2:$I$346,"&gt;"&amp;$I185)+COUNTIFS($B$2:$B185,$B185,$I$2:$I185,$I185))</f>
      </c>
      <c r="K185" s="16">
        <f>IF($J185="","",$B185&amp;"#"&amp;$J185)</f>
      </c>
      <c r="L185" s="16" t="s">
        <v>139</v>
      </c>
      <c r="M185" s="16">
        <v>1</v>
      </c>
      <c r="N185" s="16" t="s">
        <v>114</v>
      </c>
      <c r="O185" s="16">
        <v>1</v>
      </c>
      <c r="P185" s="16" t="s">
        <v>136</v>
      </c>
      <c r="Q185" s="16">
        <v>1</v>
      </c>
    </row>
    <row r="186" spans="1:15" x14ac:dyDescent="0.25">
      <c r="A186" s="16" t="s">
        <v>825</v>
      </c>
      <c r="B186" s="16" t="s">
        <v>11</v>
      </c>
      <c r="C186" s="16" t="s">
        <v>393</v>
      </c>
      <c r="D186" s="16">
        <v>197</v>
      </c>
      <c r="E186" s="16">
        <v>1</v>
      </c>
      <c r="F186" s="16">
        <v>10</v>
      </c>
      <c r="G186" s="16" t="s">
        <v>826</v>
      </c>
      <c r="H186" s="16" t="s">
        <v>827</v>
      </c>
      <c r="I186" s="16">
        <f>IF(OR(Picker!$B$10="Yes",SUMPRODUCT((Picker!$A$5:$A$9&lt;&gt;"")*(Picker!$A$5:$A$9&lt;&gt;"(none)"))=0),1,IF($L186="",0,COUNTIF(Picker!$A$5:$A$9,$L186))+IF($N186="",0,COUNTIF(Picker!$A$5:$A$9,$N186))+IF($P186="",0,COUNTIF(Picker!$A$5:$A$9,$P186)))</f>
      </c>
      <c r="J186" s="16">
        <f>IF($I186=0,"",COUNTIFS($B$2:$B$346,$B186,$I$2:$I$346,"&gt;"&amp;$I186)+COUNTIFS($B$2:$B186,$B186,$I$2:$I186,$I186))</f>
      </c>
      <c r="K186" s="16">
        <f>IF($J186="","",$B186&amp;"#"&amp;$J186)</f>
      </c>
      <c r="L186" s="16" t="s">
        <v>79</v>
      </c>
      <c r="M186" s="16">
        <v>2</v>
      </c>
      <c r="N186" s="16" t="s">
        <v>152</v>
      </c>
      <c r="O186" s="16">
        <v>1</v>
      </c>
    </row>
    <row r="187" spans="1:15" x14ac:dyDescent="0.25">
      <c r="A187" s="16" t="s">
        <v>828</v>
      </c>
      <c r="B187" s="16" t="s">
        <v>11</v>
      </c>
      <c r="C187" s="16" t="s">
        <v>401</v>
      </c>
      <c r="D187" s="16">
        <v>197</v>
      </c>
      <c r="E187" s="16">
        <v>1</v>
      </c>
      <c r="F187" s="16">
        <v>10</v>
      </c>
      <c r="G187" s="16" t="s">
        <v>829</v>
      </c>
      <c r="H187" s="16" t="s">
        <v>830</v>
      </c>
      <c r="I187" s="16">
        <f>IF(OR(Picker!$B$10="Yes",SUMPRODUCT((Picker!$A$5:$A$9&lt;&gt;"")*(Picker!$A$5:$A$9&lt;&gt;"(none)"))=0),1,IF($L187="",0,COUNTIF(Picker!$A$5:$A$9,$L187))+IF($N187="",0,COUNTIF(Picker!$A$5:$A$9,$N187))+IF($P187="",0,COUNTIF(Picker!$A$5:$A$9,$P187)))</f>
      </c>
      <c r="J187" s="16">
        <f>IF($I187=0,"",COUNTIFS($B$2:$B$346,$B187,$I$2:$I$346,"&gt;"&amp;$I187)+COUNTIFS($B$2:$B187,$B187,$I$2:$I187,$I187))</f>
      </c>
      <c r="K187" s="16">
        <f>IF($J187="","",$B187&amp;"#"&amp;$J187)</f>
      </c>
      <c r="L187" s="16" t="s">
        <v>161</v>
      </c>
      <c r="M187" s="16">
        <v>1</v>
      </c>
      <c r="N187" s="16" t="s">
        <v>165</v>
      </c>
      <c r="O187" s="16">
        <v>1</v>
      </c>
    </row>
    <row r="188" spans="1:15" x14ac:dyDescent="0.25">
      <c r="A188" s="16" t="s">
        <v>831</v>
      </c>
      <c r="B188" s="16" t="s">
        <v>11</v>
      </c>
      <c r="C188" s="16" t="s">
        <v>397</v>
      </c>
      <c r="D188" s="16">
        <v>197</v>
      </c>
      <c r="E188" s="16">
        <v>1</v>
      </c>
      <c r="F188" s="16">
        <v>10</v>
      </c>
      <c r="G188" s="16" t="s">
        <v>832</v>
      </c>
      <c r="H188" s="16" t="s">
        <v>833</v>
      </c>
      <c r="I188" s="16">
        <f>IF(OR(Picker!$B$10="Yes",SUMPRODUCT((Picker!$A$5:$A$9&lt;&gt;"")*(Picker!$A$5:$A$9&lt;&gt;"(none)"))=0),1,IF($L188="",0,COUNTIF(Picker!$A$5:$A$9,$L188))+IF($N188="",0,COUNTIF(Picker!$A$5:$A$9,$N188))+IF($P188="",0,COUNTIF(Picker!$A$5:$A$9,$P188)))</f>
      </c>
      <c r="J188" s="16">
        <f>IF($I188=0,"",COUNTIFS($B$2:$B$346,$B188,$I$2:$I$346,"&gt;"&amp;$I188)+COUNTIFS($B$2:$B188,$B188,$I$2:$I188,$I188))</f>
      </c>
      <c r="K188" s="16">
        <f>IF($J188="","",$B188&amp;"#"&amp;$J188)</f>
      </c>
      <c r="L188" s="16" t="s">
        <v>149</v>
      </c>
      <c r="M188" s="16">
        <v>1</v>
      </c>
      <c r="N188" s="16" t="s">
        <v>147</v>
      </c>
      <c r="O188" s="16">
        <v>2</v>
      </c>
    </row>
    <row r="189" spans="1:15" x14ac:dyDescent="0.25">
      <c r="A189" s="16" t="s">
        <v>834</v>
      </c>
      <c r="B189" s="16" t="s">
        <v>11</v>
      </c>
      <c r="C189" s="16" t="s">
        <v>405</v>
      </c>
      <c r="D189" s="16">
        <v>197</v>
      </c>
      <c r="E189" s="16">
        <v>1</v>
      </c>
      <c r="F189" s="16">
        <v>10</v>
      </c>
      <c r="G189" s="16" t="s">
        <v>835</v>
      </c>
      <c r="H189" s="16" t="s">
        <v>836</v>
      </c>
      <c r="I189" s="16">
        <f>IF(OR(Picker!$B$10="Yes",SUMPRODUCT((Picker!$A$5:$A$9&lt;&gt;"")*(Picker!$A$5:$A$9&lt;&gt;"(none)"))=0),1,IF($L189="",0,COUNTIF(Picker!$A$5:$A$9,$L189))+IF($N189="",0,COUNTIF(Picker!$A$5:$A$9,$N189))+IF($P189="",0,COUNTIF(Picker!$A$5:$A$9,$P189)))</f>
      </c>
      <c r="J189" s="16">
        <f>IF($I189=0,"",COUNTIFS($B$2:$B$346,$B189,$I$2:$I$346,"&gt;"&amp;$I189)+COUNTIFS($B$2:$B189,$B189,$I$2:$I189,$I189))</f>
      </c>
      <c r="K189" s="16">
        <f>IF($J189="","",$B189&amp;"#"&amp;$J189)</f>
      </c>
      <c r="L189" s="16" t="s">
        <v>155</v>
      </c>
      <c r="M189" s="16">
        <v>1</v>
      </c>
      <c r="N189" s="16" t="s">
        <v>171</v>
      </c>
      <c r="O189" s="16">
        <v>1</v>
      </c>
    </row>
    <row r="190" spans="1:15" x14ac:dyDescent="0.25">
      <c r="A190" s="16" t="s">
        <v>837</v>
      </c>
      <c r="B190" s="16" t="s">
        <v>11</v>
      </c>
      <c r="C190" s="16" t="s">
        <v>409</v>
      </c>
      <c r="D190" s="16">
        <v>197</v>
      </c>
      <c r="E190" s="16">
        <v>1</v>
      </c>
      <c r="F190" s="16">
        <v>10</v>
      </c>
      <c r="G190" s="16" t="s">
        <v>838</v>
      </c>
      <c r="H190" s="16" t="s">
        <v>839</v>
      </c>
      <c r="I190" s="16">
        <f>IF(OR(Picker!$B$10="Yes",SUMPRODUCT((Picker!$A$5:$A$9&lt;&gt;"")*(Picker!$A$5:$A$9&lt;&gt;"(none)"))=0),1,IF($L190="",0,COUNTIF(Picker!$A$5:$A$9,$L190))+IF($N190="",0,COUNTIF(Picker!$A$5:$A$9,$N190))+IF($P190="",0,COUNTIF(Picker!$A$5:$A$9,$P190)))</f>
      </c>
      <c r="J190" s="16">
        <f>IF($I190=0,"",COUNTIFS($B$2:$B$346,$B190,$I$2:$I$346,"&gt;"&amp;$I190)+COUNTIFS($B$2:$B190,$B190,$I$2:$I190,$I190))</f>
      </c>
      <c r="K190" s="16">
        <f>IF($J190="","",$B190&amp;"#"&amp;$J190)</f>
      </c>
      <c r="L190" s="16" t="s">
        <v>92</v>
      </c>
      <c r="M190" s="16">
        <v>1</v>
      </c>
      <c r="N190" s="16" t="s">
        <v>193</v>
      </c>
      <c r="O190" s="16">
        <v>2</v>
      </c>
    </row>
    <row r="191" spans="1:13" x14ac:dyDescent="0.25">
      <c r="A191" s="16" t="s">
        <v>840</v>
      </c>
      <c r="B191" s="16" t="s">
        <v>11</v>
      </c>
      <c r="C191" s="16" t="s">
        <v>413</v>
      </c>
      <c r="D191" s="16">
        <v>197</v>
      </c>
      <c r="E191" s="16">
        <v>1</v>
      </c>
      <c r="F191" s="16">
        <v>10</v>
      </c>
      <c r="G191" s="16" t="s">
        <v>841</v>
      </c>
      <c r="H191" s="16" t="s">
        <v>842</v>
      </c>
      <c r="I191" s="16">
        <f>IF(OR(Picker!$B$10="Yes",SUMPRODUCT((Picker!$A$5:$A$9&lt;&gt;"")*(Picker!$A$5:$A$9&lt;&gt;"(none)"))=0),1,IF($L191="",0,COUNTIF(Picker!$A$5:$A$9,$L191))+IF($N191="",0,COUNTIF(Picker!$A$5:$A$9,$N191))+IF($P191="",0,COUNTIF(Picker!$A$5:$A$9,$P191)))</f>
      </c>
      <c r="J191" s="16">
        <f>IF($I191=0,"",COUNTIFS($B$2:$B$346,$B191,$I$2:$I$346,"&gt;"&amp;$I191)+COUNTIFS($B$2:$B191,$B191,$I$2:$I191,$I191))</f>
      </c>
      <c r="K191" s="16">
        <f>IF($J191="","",$B191&amp;"#"&amp;$J191)</f>
      </c>
      <c r="L191" s="16" t="s">
        <v>90</v>
      </c>
      <c r="M191" s="16">
        <v>2</v>
      </c>
    </row>
    <row r="192" spans="1:15" x14ac:dyDescent="0.25">
      <c r="A192" s="16" t="s">
        <v>843</v>
      </c>
      <c r="B192" s="16" t="s">
        <v>11</v>
      </c>
      <c r="C192" s="16" t="s">
        <v>417</v>
      </c>
      <c r="D192" s="16">
        <v>197</v>
      </c>
      <c r="E192" s="16">
        <v>2</v>
      </c>
      <c r="F192" s="16">
        <v>10</v>
      </c>
      <c r="G192" s="16" t="s">
        <v>844</v>
      </c>
      <c r="H192" s="16" t="s">
        <v>845</v>
      </c>
      <c r="I192" s="16">
        <f>IF(OR(Picker!$B$10="Yes",SUMPRODUCT((Picker!$A$5:$A$9&lt;&gt;"")*(Picker!$A$5:$A$9&lt;&gt;"(none)"))=0),1,IF($L192="",0,COUNTIF(Picker!$A$5:$A$9,$L192))+IF($N192="",0,COUNTIF(Picker!$A$5:$A$9,$N192))+IF($P192="",0,COUNTIF(Picker!$A$5:$A$9,$P192)))</f>
      </c>
      <c r="J192" s="16">
        <f>IF($I192=0,"",COUNTIFS($B$2:$B$346,$B192,$I$2:$I$346,"&gt;"&amp;$I192)+COUNTIFS($B$2:$B192,$B192,$I$2:$I192,$I192))</f>
      </c>
      <c r="K192" s="16">
        <f>IF($J192="","",$B192&amp;"#"&amp;$J192)</f>
      </c>
      <c r="L192" s="16" t="s">
        <v>72</v>
      </c>
      <c r="M192" s="16">
        <v>2</v>
      </c>
      <c r="N192" s="16" t="s">
        <v>110</v>
      </c>
      <c r="O192" s="16">
        <v>1</v>
      </c>
    </row>
    <row r="193" spans="1:15" x14ac:dyDescent="0.25">
      <c r="A193" s="16" t="s">
        <v>846</v>
      </c>
      <c r="B193" s="16" t="s">
        <v>11</v>
      </c>
      <c r="C193" s="16" t="s">
        <v>421</v>
      </c>
      <c r="D193" s="16">
        <v>197</v>
      </c>
      <c r="E193" s="16">
        <v>1</v>
      </c>
      <c r="F193" s="16">
        <v>10</v>
      </c>
      <c r="G193" s="16" t="s">
        <v>847</v>
      </c>
      <c r="H193" s="16" t="s">
        <v>848</v>
      </c>
      <c r="I193" s="16">
        <f>IF(OR(Picker!$B$10="Yes",SUMPRODUCT((Picker!$A$5:$A$9&lt;&gt;"")*(Picker!$A$5:$A$9&lt;&gt;"(none)"))=0),1,IF($L193="",0,COUNTIF(Picker!$A$5:$A$9,$L193))+IF($N193="",0,COUNTIF(Picker!$A$5:$A$9,$N193))+IF($P193="",0,COUNTIF(Picker!$A$5:$A$9,$P193)))</f>
      </c>
      <c r="J193" s="16">
        <f>IF($I193=0,"",COUNTIFS($B$2:$B$346,$B193,$I$2:$I$346,"&gt;"&amp;$I193)+COUNTIFS($B$2:$B193,$B193,$I$2:$I193,$I193))</f>
      </c>
      <c r="K193" s="16">
        <f>IF($J193="","",$B193&amp;"#"&amp;$J193)</f>
      </c>
      <c r="L193" s="16" t="s">
        <v>84</v>
      </c>
      <c r="M193" s="16">
        <v>2</v>
      </c>
      <c r="N193" s="16" t="s">
        <v>130</v>
      </c>
      <c r="O193" s="16">
        <v>1</v>
      </c>
    </row>
    <row r="194" spans="1:15" x14ac:dyDescent="0.25">
      <c r="A194" s="16" t="s">
        <v>849</v>
      </c>
      <c r="B194" s="16" t="s">
        <v>11</v>
      </c>
      <c r="C194" s="16" t="s">
        <v>425</v>
      </c>
      <c r="D194" s="16">
        <v>197</v>
      </c>
      <c r="E194" s="16">
        <v>1</v>
      </c>
      <c r="F194" s="16">
        <v>10</v>
      </c>
      <c r="G194" s="16" t="s">
        <v>850</v>
      </c>
      <c r="H194" s="16" t="s">
        <v>851</v>
      </c>
      <c r="I194" s="16">
        <f>IF(OR(Picker!$B$10="Yes",SUMPRODUCT((Picker!$A$5:$A$9&lt;&gt;"")*(Picker!$A$5:$A$9&lt;&gt;"(none)"))=0),1,IF($L194="",0,COUNTIF(Picker!$A$5:$A$9,$L194))+IF($N194="",0,COUNTIF(Picker!$A$5:$A$9,$N194))+IF($P194="",0,COUNTIF(Picker!$A$5:$A$9,$P194)))</f>
      </c>
      <c r="J194" s="16">
        <f>IF($I194=0,"",COUNTIFS($B$2:$B$346,$B194,$I$2:$I$346,"&gt;"&amp;$I194)+COUNTIFS($B$2:$B194,$B194,$I$2:$I194,$I194))</f>
      </c>
      <c r="K194" s="16">
        <f>IF($J194="","",$B194&amp;"#"&amp;$J194)</f>
      </c>
      <c r="L194" s="16" t="s">
        <v>72</v>
      </c>
      <c r="M194" s="16">
        <v>2</v>
      </c>
      <c r="N194" s="16" t="s">
        <v>73</v>
      </c>
      <c r="O194" s="16">
        <v>1</v>
      </c>
    </row>
    <row r="195" spans="1:17" x14ac:dyDescent="0.25">
      <c r="A195" s="16" t="s">
        <v>852</v>
      </c>
      <c r="B195" s="16" t="s">
        <v>11</v>
      </c>
      <c r="C195" s="16" t="s">
        <v>429</v>
      </c>
      <c r="D195" s="16">
        <v>197</v>
      </c>
      <c r="E195" s="16">
        <v>1</v>
      </c>
      <c r="F195" s="16">
        <v>10</v>
      </c>
      <c r="G195" s="16" t="s">
        <v>853</v>
      </c>
      <c r="H195" s="16" t="s">
        <v>854</v>
      </c>
      <c r="I195" s="16">
        <f>IF(OR(Picker!$B$10="Yes",SUMPRODUCT((Picker!$A$5:$A$9&lt;&gt;"")*(Picker!$A$5:$A$9&lt;&gt;"(none)"))=0),1,IF($L195="",0,COUNTIF(Picker!$A$5:$A$9,$L195))+IF($N195="",0,COUNTIF(Picker!$A$5:$A$9,$N195))+IF($P195="",0,COUNTIF(Picker!$A$5:$A$9,$P195)))</f>
      </c>
      <c r="J195" s="16">
        <f>IF($I195=0,"",COUNTIFS($B$2:$B$346,$B195,$I$2:$I$346,"&gt;"&amp;$I195)+COUNTIFS($B$2:$B195,$B195,$I$2:$I195,$I195))</f>
      </c>
      <c r="K195" s="16">
        <f>IF($J195="","",$B195&amp;"#"&amp;$J195)</f>
      </c>
      <c r="L195" s="16" t="s">
        <v>155</v>
      </c>
      <c r="M195" s="16">
        <v>1</v>
      </c>
      <c r="N195" s="16" t="s">
        <v>157</v>
      </c>
      <c r="O195" s="16">
        <v>1</v>
      </c>
      <c r="P195" s="16" t="s">
        <v>59</v>
      </c>
      <c r="Q195" s="16">
        <v>1</v>
      </c>
    </row>
    <row r="196" spans="1:17" x14ac:dyDescent="0.25">
      <c r="A196" s="16" t="s">
        <v>855</v>
      </c>
      <c r="B196" s="16" t="s">
        <v>11</v>
      </c>
      <c r="C196" s="16" t="s">
        <v>433</v>
      </c>
      <c r="D196" s="16">
        <v>197</v>
      </c>
      <c r="E196" s="16">
        <v>1</v>
      </c>
      <c r="F196" s="16">
        <v>10</v>
      </c>
      <c r="G196" s="16" t="s">
        <v>856</v>
      </c>
      <c r="H196" s="16" t="s">
        <v>857</v>
      </c>
      <c r="I196" s="16">
        <f>IF(OR(Picker!$B$10="Yes",SUMPRODUCT((Picker!$A$5:$A$9&lt;&gt;"")*(Picker!$A$5:$A$9&lt;&gt;"(none)"))=0),1,IF($L196="",0,COUNTIF(Picker!$A$5:$A$9,$L196))+IF($N196="",0,COUNTIF(Picker!$A$5:$A$9,$N196))+IF($P196="",0,COUNTIF(Picker!$A$5:$A$9,$P196)))</f>
      </c>
      <c r="J196" s="16">
        <f>IF($I196=0,"",COUNTIFS($B$2:$B$346,$B196,$I$2:$I$346,"&gt;"&amp;$I196)+COUNTIFS($B$2:$B196,$B196,$I$2:$I196,$I196))</f>
      </c>
      <c r="K196" s="16">
        <f>IF($J196="","",$B196&amp;"#"&amp;$J196)</f>
      </c>
      <c r="L196" s="16" t="s">
        <v>130</v>
      </c>
      <c r="M196" s="16">
        <v>1</v>
      </c>
      <c r="N196" s="16" t="s">
        <v>132</v>
      </c>
      <c r="O196" s="16">
        <v>1</v>
      </c>
      <c r="P196" s="16" t="s">
        <v>184</v>
      </c>
      <c r="Q196" s="16">
        <v>1</v>
      </c>
    </row>
    <row r="197" spans="1:13" x14ac:dyDescent="0.25">
      <c r="A197" s="16" t="s">
        <v>858</v>
      </c>
      <c r="B197" s="16" t="s">
        <v>11</v>
      </c>
      <c r="C197" s="16" t="s">
        <v>437</v>
      </c>
      <c r="D197" s="16">
        <v>197</v>
      </c>
      <c r="E197" s="16">
        <v>1</v>
      </c>
      <c r="F197" s="16">
        <v>10</v>
      </c>
      <c r="G197" s="16" t="s">
        <v>677</v>
      </c>
      <c r="H197" s="16" t="s">
        <v>859</v>
      </c>
      <c r="I197" s="16">
        <f>IF(OR(Picker!$B$10="Yes",SUMPRODUCT((Picker!$A$5:$A$9&lt;&gt;"")*(Picker!$A$5:$A$9&lt;&gt;"(none)"))=0),1,IF($L197="",0,COUNTIF(Picker!$A$5:$A$9,$L197))+IF($N197="",0,COUNTIF(Picker!$A$5:$A$9,$N197))+IF($P197="",0,COUNTIF(Picker!$A$5:$A$9,$P197)))</f>
      </c>
      <c r="J197" s="16">
        <f>IF($I197=0,"",COUNTIFS($B$2:$B$346,$B197,$I$2:$I$346,"&gt;"&amp;$I197)+COUNTIFS($B$2:$B197,$B197,$I$2:$I197,$I197))</f>
      </c>
      <c r="K197" s="16">
        <f>IF($J197="","",$B197&amp;"#"&amp;$J197)</f>
      </c>
      <c r="L197" s="16" t="s">
        <v>128</v>
      </c>
      <c r="M197" s="16">
        <v>2</v>
      </c>
    </row>
    <row r="198" spans="1:13" x14ac:dyDescent="0.25">
      <c r="A198" s="16" t="s">
        <v>860</v>
      </c>
      <c r="B198" s="16" t="s">
        <v>11</v>
      </c>
      <c r="C198" s="16" t="s">
        <v>441</v>
      </c>
      <c r="D198" s="16">
        <v>197</v>
      </c>
      <c r="E198" s="16">
        <v>1</v>
      </c>
      <c r="F198" s="16">
        <v>10</v>
      </c>
      <c r="G198" s="16" t="s">
        <v>861</v>
      </c>
      <c r="H198" s="16" t="s">
        <v>862</v>
      </c>
      <c r="I198" s="16">
        <f>IF(OR(Picker!$B$10="Yes",SUMPRODUCT((Picker!$A$5:$A$9&lt;&gt;"")*(Picker!$A$5:$A$9&lt;&gt;"(none)"))=0),1,IF($L198="",0,COUNTIF(Picker!$A$5:$A$9,$L198))+IF($N198="",0,COUNTIF(Picker!$A$5:$A$9,$N198))+IF($P198="",0,COUNTIF(Picker!$A$5:$A$9,$P198)))</f>
      </c>
      <c r="J198" s="16">
        <f>IF($I198=0,"",COUNTIFS($B$2:$B$346,$B198,$I$2:$I$346,"&gt;"&amp;$I198)+COUNTIFS($B$2:$B198,$B198,$I$2:$I198,$I198))</f>
      </c>
      <c r="K198" s="16">
        <f>IF($J198="","",$B198&amp;"#"&amp;$J198)</f>
      </c>
      <c r="L198" s="16" t="s">
        <v>75</v>
      </c>
      <c r="M198" s="16">
        <v>2</v>
      </c>
    </row>
    <row r="199" spans="1:13" x14ac:dyDescent="0.25">
      <c r="A199" s="16" t="s">
        <v>863</v>
      </c>
      <c r="B199" s="16" t="s">
        <v>11</v>
      </c>
      <c r="C199" s="16" t="s">
        <v>445</v>
      </c>
      <c r="D199" s="16">
        <v>197</v>
      </c>
      <c r="E199" s="16">
        <v>1</v>
      </c>
      <c r="F199" s="16">
        <v>10</v>
      </c>
      <c r="G199" s="16" t="s">
        <v>864</v>
      </c>
      <c r="H199" s="16" t="s">
        <v>865</v>
      </c>
      <c r="I199" s="16">
        <f>IF(OR(Picker!$B$10="Yes",SUMPRODUCT((Picker!$A$5:$A$9&lt;&gt;"")*(Picker!$A$5:$A$9&lt;&gt;"(none)"))=0),1,IF($L199="",0,COUNTIF(Picker!$A$5:$A$9,$L199))+IF($N199="",0,COUNTIF(Picker!$A$5:$A$9,$N199))+IF($P199="",0,COUNTIF(Picker!$A$5:$A$9,$P199)))</f>
      </c>
      <c r="J199" s="16">
        <f>IF($I199=0,"",COUNTIFS($B$2:$B$346,$B199,$I$2:$I$346,"&gt;"&amp;$I199)+COUNTIFS($B$2:$B199,$B199,$I$2:$I199,$I199))</f>
      </c>
      <c r="K199" s="16">
        <f>IF($J199="","",$B199&amp;"#"&amp;$J199)</f>
      </c>
      <c r="L199" s="16" t="s">
        <v>105</v>
      </c>
      <c r="M199" s="16">
        <v>2</v>
      </c>
    </row>
    <row r="200" spans="1:17" x14ac:dyDescent="0.25">
      <c r="A200" s="16" t="s">
        <v>866</v>
      </c>
      <c r="B200" s="16" t="s">
        <v>11</v>
      </c>
      <c r="C200" s="16" t="s">
        <v>449</v>
      </c>
      <c r="D200" s="16">
        <v>197</v>
      </c>
      <c r="E200" s="16">
        <v>1</v>
      </c>
      <c r="F200" s="16">
        <v>10</v>
      </c>
      <c r="G200" s="16" t="s">
        <v>867</v>
      </c>
      <c r="H200" s="16" t="s">
        <v>868</v>
      </c>
      <c r="I200" s="16">
        <f>IF(OR(Picker!$B$10="Yes",SUMPRODUCT((Picker!$A$5:$A$9&lt;&gt;"")*(Picker!$A$5:$A$9&lt;&gt;"(none)"))=0),1,IF($L200="",0,COUNTIF(Picker!$A$5:$A$9,$L200))+IF($N200="",0,COUNTIF(Picker!$A$5:$A$9,$N200))+IF($P200="",0,COUNTIF(Picker!$A$5:$A$9,$P200)))</f>
      </c>
      <c r="J200" s="16">
        <f>IF($I200=0,"",COUNTIFS($B$2:$B$346,$B200,$I$2:$I$346,"&gt;"&amp;$I200)+COUNTIFS($B$2:$B200,$B200,$I$2:$I200,$I200))</f>
      </c>
      <c r="K200" s="16">
        <f>IF($J200="","",$B200&amp;"#"&amp;$J200)</f>
      </c>
      <c r="L200" s="16" t="s">
        <v>130</v>
      </c>
      <c r="M200" s="16">
        <v>1</v>
      </c>
      <c r="N200" s="16" t="s">
        <v>100</v>
      </c>
      <c r="O200" s="16">
        <v>1</v>
      </c>
      <c r="P200" s="16" t="s">
        <v>62</v>
      </c>
      <c r="Q200" s="16">
        <v>1</v>
      </c>
    </row>
    <row r="201" spans="1:17" x14ac:dyDescent="0.25">
      <c r="A201" s="16" t="s">
        <v>869</v>
      </c>
      <c r="B201" s="16" t="s">
        <v>11</v>
      </c>
      <c r="C201" s="16" t="s">
        <v>453</v>
      </c>
      <c r="D201" s="16">
        <v>197</v>
      </c>
      <c r="E201" s="16">
        <v>1</v>
      </c>
      <c r="F201" s="16">
        <v>10</v>
      </c>
      <c r="G201" s="16" t="s">
        <v>870</v>
      </c>
      <c r="H201" s="16" t="s">
        <v>871</v>
      </c>
      <c r="I201" s="16">
        <f>IF(OR(Picker!$B$10="Yes",SUMPRODUCT((Picker!$A$5:$A$9&lt;&gt;"")*(Picker!$A$5:$A$9&lt;&gt;"(none)"))=0),1,IF($L201="",0,COUNTIF(Picker!$A$5:$A$9,$L201))+IF($N201="",0,COUNTIF(Picker!$A$5:$A$9,$N201))+IF($P201="",0,COUNTIF(Picker!$A$5:$A$9,$P201)))</f>
      </c>
      <c r="J201" s="16">
        <f>IF($I201=0,"",COUNTIFS($B$2:$B$346,$B201,$I$2:$I$346,"&gt;"&amp;$I201)+COUNTIFS($B$2:$B201,$B201,$I$2:$I201,$I201))</f>
      </c>
      <c r="K201" s="16">
        <f>IF($J201="","",$B201&amp;"#"&amp;$J201)</f>
      </c>
      <c r="L201" s="16" t="s">
        <v>92</v>
      </c>
      <c r="M201" s="16">
        <v>1</v>
      </c>
      <c r="N201" s="16" t="s">
        <v>192</v>
      </c>
      <c r="O201" s="16">
        <v>1</v>
      </c>
      <c r="P201" s="16" t="s">
        <v>135</v>
      </c>
      <c r="Q201" s="16">
        <v>1</v>
      </c>
    </row>
    <row r="202" spans="1:13" x14ac:dyDescent="0.25">
      <c r="A202" s="16" t="s">
        <v>872</v>
      </c>
      <c r="B202" s="16" t="s">
        <v>11</v>
      </c>
      <c r="C202" s="16" t="s">
        <v>457</v>
      </c>
      <c r="D202" s="16">
        <v>197</v>
      </c>
      <c r="E202" s="16">
        <v>2</v>
      </c>
      <c r="F202" s="16">
        <v>10</v>
      </c>
      <c r="G202" s="16" t="s">
        <v>873</v>
      </c>
      <c r="H202" s="16" t="s">
        <v>874</v>
      </c>
      <c r="I202" s="16">
        <f>IF(OR(Picker!$B$10="Yes",SUMPRODUCT((Picker!$A$5:$A$9&lt;&gt;"")*(Picker!$A$5:$A$9&lt;&gt;"(none)"))=0),1,IF($L202="",0,COUNTIF(Picker!$A$5:$A$9,$L202))+IF($N202="",0,COUNTIF(Picker!$A$5:$A$9,$N202))+IF($P202="",0,COUNTIF(Picker!$A$5:$A$9,$P202)))</f>
      </c>
      <c r="J202" s="16">
        <f>IF($I202=0,"",COUNTIFS($B$2:$B$346,$B202,$I$2:$I$346,"&gt;"&amp;$I202)+COUNTIFS($B$2:$B202,$B202,$I$2:$I202,$I202))</f>
      </c>
      <c r="K202" s="16">
        <f>IF($J202="","",$B202&amp;"#"&amp;$J202)</f>
      </c>
      <c r="L202" s="16" t="s">
        <v>102</v>
      </c>
      <c r="M202" s="16">
        <v>2</v>
      </c>
    </row>
    <row r="203" spans="1:13" x14ac:dyDescent="0.25">
      <c r="A203" s="16" t="s">
        <v>875</v>
      </c>
      <c r="B203" s="16" t="s">
        <v>11</v>
      </c>
      <c r="C203" s="16" t="s">
        <v>461</v>
      </c>
      <c r="D203" s="16">
        <v>197</v>
      </c>
      <c r="E203" s="16">
        <v>1</v>
      </c>
      <c r="F203" s="16">
        <v>10</v>
      </c>
      <c r="G203" s="16" t="s">
        <v>876</v>
      </c>
      <c r="H203" s="16" t="s">
        <v>877</v>
      </c>
      <c r="I203" s="16">
        <f>IF(OR(Picker!$B$10="Yes",SUMPRODUCT((Picker!$A$5:$A$9&lt;&gt;"")*(Picker!$A$5:$A$9&lt;&gt;"(none)"))=0),1,IF($L203="",0,COUNTIF(Picker!$A$5:$A$9,$L203))+IF($N203="",0,COUNTIF(Picker!$A$5:$A$9,$N203))+IF($P203="",0,COUNTIF(Picker!$A$5:$A$9,$P203)))</f>
      </c>
      <c r="J203" s="16">
        <f>IF($I203=0,"",COUNTIFS($B$2:$B$346,$B203,$I$2:$I$346,"&gt;"&amp;$I203)+COUNTIFS($B$2:$B203,$B203,$I$2:$I203,$I203))</f>
      </c>
      <c r="K203" s="16">
        <f>IF($J203="","",$B203&amp;"#"&amp;$J203)</f>
      </c>
      <c r="L203" s="16" t="s">
        <v>175</v>
      </c>
      <c r="M203" s="16">
        <v>2</v>
      </c>
    </row>
    <row r="204" spans="1:15" x14ac:dyDescent="0.25">
      <c r="A204" s="16" t="s">
        <v>878</v>
      </c>
      <c r="B204" s="16" t="s">
        <v>11</v>
      </c>
      <c r="C204" s="16" t="s">
        <v>465</v>
      </c>
      <c r="D204" s="16">
        <v>197</v>
      </c>
      <c r="E204" s="16">
        <v>1</v>
      </c>
      <c r="F204" s="16">
        <v>10</v>
      </c>
      <c r="G204" s="16" t="s">
        <v>879</v>
      </c>
      <c r="H204" s="16" t="s">
        <v>880</v>
      </c>
      <c r="I204" s="16">
        <f>IF(OR(Picker!$B$10="Yes",SUMPRODUCT((Picker!$A$5:$A$9&lt;&gt;"")*(Picker!$A$5:$A$9&lt;&gt;"(none)"))=0),1,IF($L204="",0,COUNTIF(Picker!$A$5:$A$9,$L204))+IF($N204="",0,COUNTIF(Picker!$A$5:$A$9,$N204))+IF($P204="",0,COUNTIF(Picker!$A$5:$A$9,$P204)))</f>
      </c>
      <c r="J204" s="16">
        <f>IF($I204=0,"",COUNTIFS($B$2:$B$346,$B204,$I$2:$I$346,"&gt;"&amp;$I204)+COUNTIFS($B$2:$B204,$B204,$I$2:$I204,$I204))</f>
      </c>
      <c r="K204" s="16">
        <f>IF($J204="","",$B204&amp;"#"&amp;$J204)</f>
      </c>
      <c r="L204" s="16" t="s">
        <v>145</v>
      </c>
      <c r="M204" s="16">
        <v>2</v>
      </c>
      <c r="N204" s="16" t="s">
        <v>100</v>
      </c>
      <c r="O204" s="16">
        <v>1</v>
      </c>
    </row>
    <row r="205" spans="1:17" x14ac:dyDescent="0.25">
      <c r="A205" s="16" t="s">
        <v>881</v>
      </c>
      <c r="B205" s="16" t="s">
        <v>11</v>
      </c>
      <c r="C205" s="16" t="s">
        <v>469</v>
      </c>
      <c r="D205" s="16">
        <v>197</v>
      </c>
      <c r="E205" s="16">
        <v>1</v>
      </c>
      <c r="F205" s="16">
        <v>10</v>
      </c>
      <c r="G205" s="16" t="s">
        <v>882</v>
      </c>
      <c r="H205" s="16" t="s">
        <v>883</v>
      </c>
      <c r="I205" s="16">
        <f>IF(OR(Picker!$B$10="Yes",SUMPRODUCT((Picker!$A$5:$A$9&lt;&gt;"")*(Picker!$A$5:$A$9&lt;&gt;"(none)"))=0),1,IF($L205="",0,COUNTIF(Picker!$A$5:$A$9,$L205))+IF($N205="",0,COUNTIF(Picker!$A$5:$A$9,$N205))+IF($P205="",0,COUNTIF(Picker!$A$5:$A$9,$P205)))</f>
      </c>
      <c r="J205" s="16">
        <f>IF($I205=0,"",COUNTIFS($B$2:$B$346,$B205,$I$2:$I$346,"&gt;"&amp;$I205)+COUNTIFS($B$2:$B205,$B205,$I$2:$I205,$I205))</f>
      </c>
      <c r="K205" s="16">
        <f>IF($J205="","",$B205&amp;"#"&amp;$J205)</f>
      </c>
      <c r="L205" s="16" t="s">
        <v>140</v>
      </c>
      <c r="M205" s="16">
        <v>1</v>
      </c>
      <c r="N205" s="16" t="s">
        <v>141</v>
      </c>
      <c r="O205" s="16">
        <v>1</v>
      </c>
      <c r="P205" s="16" t="s">
        <v>61</v>
      </c>
      <c r="Q205" s="16">
        <v>1</v>
      </c>
    </row>
    <row r="206" spans="1:13" x14ac:dyDescent="0.25">
      <c r="A206" s="16" t="s">
        <v>884</v>
      </c>
      <c r="B206" s="16" t="s">
        <v>11</v>
      </c>
      <c r="C206" s="16" t="s">
        <v>473</v>
      </c>
      <c r="D206" s="16">
        <v>197</v>
      </c>
      <c r="E206" s="16">
        <v>1</v>
      </c>
      <c r="F206" s="16">
        <v>10</v>
      </c>
      <c r="G206" s="16" t="s">
        <v>885</v>
      </c>
      <c r="H206" s="16" t="s">
        <v>886</v>
      </c>
      <c r="I206" s="16">
        <f>IF(OR(Picker!$B$10="Yes",SUMPRODUCT((Picker!$A$5:$A$9&lt;&gt;"")*(Picker!$A$5:$A$9&lt;&gt;"(none)"))=0),1,IF($L206="",0,COUNTIF(Picker!$A$5:$A$9,$L206))+IF($N206="",0,COUNTIF(Picker!$A$5:$A$9,$N206))+IF($P206="",0,COUNTIF(Picker!$A$5:$A$9,$P206)))</f>
      </c>
      <c r="J206" s="16">
        <f>IF($I206=0,"",COUNTIFS($B$2:$B$346,$B206,$I$2:$I$346,"&gt;"&amp;$I206)+COUNTIFS($B$2:$B206,$B206,$I$2:$I206,$I206))</f>
      </c>
      <c r="K206" s="16">
        <f>IF($J206="","",$B206&amp;"#"&amp;$J206)</f>
      </c>
      <c r="L206" s="16" t="s">
        <v>134</v>
      </c>
      <c r="M206" s="16">
        <v>2</v>
      </c>
    </row>
    <row r="207" spans="1:13" x14ac:dyDescent="0.25">
      <c r="A207" s="16" t="s">
        <v>887</v>
      </c>
      <c r="B207" s="16" t="s">
        <v>11</v>
      </c>
      <c r="C207" s="16" t="s">
        <v>477</v>
      </c>
      <c r="D207" s="16">
        <v>197</v>
      </c>
      <c r="E207" s="16">
        <v>1</v>
      </c>
      <c r="F207" s="16">
        <v>10</v>
      </c>
      <c r="G207" s="16" t="s">
        <v>888</v>
      </c>
      <c r="H207" s="16" t="s">
        <v>889</v>
      </c>
      <c r="I207" s="16">
        <f>IF(OR(Picker!$B$10="Yes",SUMPRODUCT((Picker!$A$5:$A$9&lt;&gt;"")*(Picker!$A$5:$A$9&lt;&gt;"(none)"))=0),1,IF($L207="",0,COUNTIF(Picker!$A$5:$A$9,$L207))+IF($N207="",0,COUNTIF(Picker!$A$5:$A$9,$N207))+IF($P207="",0,COUNTIF(Picker!$A$5:$A$9,$P207)))</f>
      </c>
      <c r="J207" s="16">
        <f>IF($I207=0,"",COUNTIFS($B$2:$B$346,$B207,$I$2:$I$346,"&gt;"&amp;$I207)+COUNTIFS($B$2:$B207,$B207,$I$2:$I207,$I207))</f>
      </c>
      <c r="K207" s="16">
        <f>IF($J207="","",$B207&amp;"#"&amp;$J207)</f>
      </c>
      <c r="L207" s="16" t="s">
        <v>92</v>
      </c>
      <c r="M207" s="16">
        <v>2</v>
      </c>
    </row>
    <row r="208" spans="1:13" x14ac:dyDescent="0.25">
      <c r="A208" s="16" t="s">
        <v>890</v>
      </c>
      <c r="B208" s="16" t="s">
        <v>11</v>
      </c>
      <c r="C208" s="16" t="s">
        <v>481</v>
      </c>
      <c r="D208" s="16">
        <v>197</v>
      </c>
      <c r="E208" s="16">
        <v>1</v>
      </c>
      <c r="F208" s="16">
        <v>10</v>
      </c>
      <c r="G208" s="16" t="s">
        <v>578</v>
      </c>
      <c r="H208" s="16" t="s">
        <v>891</v>
      </c>
      <c r="I208" s="16">
        <f>IF(OR(Picker!$B$10="Yes",SUMPRODUCT((Picker!$A$5:$A$9&lt;&gt;"")*(Picker!$A$5:$A$9&lt;&gt;"(none)"))=0),1,IF($L208="",0,COUNTIF(Picker!$A$5:$A$9,$L208))+IF($N208="",0,COUNTIF(Picker!$A$5:$A$9,$N208))+IF($P208="",0,COUNTIF(Picker!$A$5:$A$9,$P208)))</f>
      </c>
      <c r="J208" s="16">
        <f>IF($I208=0,"",COUNTIFS($B$2:$B$346,$B208,$I$2:$I$346,"&gt;"&amp;$I208)+COUNTIFS($B$2:$B208,$B208,$I$2:$I208,$I208))</f>
      </c>
      <c r="K208" s="16">
        <f>IF($J208="","",$B208&amp;"#"&amp;$J208)</f>
      </c>
      <c r="L208" s="16" t="s">
        <v>179</v>
      </c>
      <c r="M208" s="16">
        <v>2</v>
      </c>
    </row>
    <row r="209" spans="1:15" x14ac:dyDescent="0.25">
      <c r="A209" s="16" t="s">
        <v>892</v>
      </c>
      <c r="B209" s="16" t="s">
        <v>12</v>
      </c>
      <c r="C209" s="16" t="s">
        <v>209</v>
      </c>
      <c r="D209" s="16">
        <v>197</v>
      </c>
      <c r="E209" s="16">
        <v>1</v>
      </c>
      <c r="F209" s="16">
        <v>10</v>
      </c>
      <c r="G209" s="16" t="s">
        <v>893</v>
      </c>
      <c r="H209" s="16" t="s">
        <v>894</v>
      </c>
      <c r="I209" s="16">
        <f>IF(OR(Picker!$B$10="Yes",SUMPRODUCT((Picker!$A$5:$A$9&lt;&gt;"")*(Picker!$A$5:$A$9&lt;&gt;"(none)"))=0),1,IF($L209="",0,COUNTIF(Picker!$A$5:$A$9,$L209))+IF($N209="",0,COUNTIF(Picker!$A$5:$A$9,$N209))+IF($P209="",0,COUNTIF(Picker!$A$5:$A$9,$P209)))</f>
      </c>
      <c r="J209" s="16">
        <f>IF($I209=0,"",COUNTIFS($B$2:$B$346,$B209,$I$2:$I$346,"&gt;"&amp;$I209)+COUNTIFS($B$2:$B209,$B209,$I$2:$I209,$I209))</f>
      </c>
      <c r="K209" s="16">
        <f>IF($J209="","",$B209&amp;"#"&amp;$J209)</f>
      </c>
      <c r="L209" s="16" t="s">
        <v>92</v>
      </c>
      <c r="M209" s="16">
        <v>1</v>
      </c>
      <c r="N209" s="16" t="s">
        <v>145</v>
      </c>
      <c r="O209" s="16">
        <v>1</v>
      </c>
    </row>
    <row r="210" spans="1:13" x14ac:dyDescent="0.25">
      <c r="A210" s="16" t="s">
        <v>895</v>
      </c>
      <c r="B210" s="16" t="s">
        <v>12</v>
      </c>
      <c r="C210" s="16" t="s">
        <v>213</v>
      </c>
      <c r="D210" s="16">
        <v>197</v>
      </c>
      <c r="E210" s="16">
        <v>1</v>
      </c>
      <c r="F210" s="16">
        <v>10</v>
      </c>
      <c r="G210" s="16" t="s">
        <v>896</v>
      </c>
      <c r="H210" s="16" t="s">
        <v>897</v>
      </c>
      <c r="I210" s="16">
        <f>IF(OR(Picker!$B$10="Yes",SUMPRODUCT((Picker!$A$5:$A$9&lt;&gt;"")*(Picker!$A$5:$A$9&lt;&gt;"(none)"))=0),1,IF($L210="",0,COUNTIF(Picker!$A$5:$A$9,$L210))+IF($N210="",0,COUNTIF(Picker!$A$5:$A$9,$N210))+IF($P210="",0,COUNTIF(Picker!$A$5:$A$9,$P210)))</f>
      </c>
      <c r="J210" s="16">
        <f>IF($I210=0,"",COUNTIFS($B$2:$B$346,$B210,$I$2:$I$346,"&gt;"&amp;$I210)+COUNTIFS($B$2:$B210,$B210,$I$2:$I210,$I210))</f>
      </c>
      <c r="K210" s="16">
        <f>IF($J210="","",$B210&amp;"#"&amp;$J210)</f>
      </c>
      <c r="L210" s="16" t="s">
        <v>97</v>
      </c>
      <c r="M210" s="16">
        <v>3</v>
      </c>
    </row>
    <row r="211" spans="1:17" x14ac:dyDescent="0.25">
      <c r="A211" s="16" t="s">
        <v>898</v>
      </c>
      <c r="B211" s="16" t="s">
        <v>12</v>
      </c>
      <c r="C211" s="16" t="s">
        <v>217</v>
      </c>
      <c r="D211" s="16">
        <v>197</v>
      </c>
      <c r="E211" s="16">
        <v>1</v>
      </c>
      <c r="F211" s="16">
        <v>10</v>
      </c>
      <c r="G211" s="16" t="s">
        <v>899</v>
      </c>
      <c r="H211" s="16" t="s">
        <v>900</v>
      </c>
      <c r="I211" s="16">
        <f>IF(OR(Picker!$B$10="Yes",SUMPRODUCT((Picker!$A$5:$A$9&lt;&gt;"")*(Picker!$A$5:$A$9&lt;&gt;"(none)"))=0),1,IF($L211="",0,COUNTIF(Picker!$A$5:$A$9,$L211))+IF($N211="",0,COUNTIF(Picker!$A$5:$A$9,$N211))+IF($P211="",0,COUNTIF(Picker!$A$5:$A$9,$P211)))</f>
      </c>
      <c r="J211" s="16">
        <f>IF($I211=0,"",COUNTIFS($B$2:$B$346,$B211,$I$2:$I$346,"&gt;"&amp;$I211)+COUNTIFS($B$2:$B211,$B211,$I$2:$I211,$I211))</f>
      </c>
      <c r="K211" s="16">
        <f>IF($J211="","",$B211&amp;"#"&amp;$J211)</f>
      </c>
      <c r="L211" s="16" t="s">
        <v>157</v>
      </c>
      <c r="M211" s="16">
        <v>1</v>
      </c>
      <c r="N211" s="16" t="s">
        <v>171</v>
      </c>
      <c r="O211" s="16">
        <v>1</v>
      </c>
      <c r="P211" s="16" t="s">
        <v>66</v>
      </c>
      <c r="Q211" s="16">
        <v>1</v>
      </c>
    </row>
    <row r="212" spans="1:15" x14ac:dyDescent="0.25">
      <c r="A212" s="16" t="s">
        <v>901</v>
      </c>
      <c r="B212" s="16" t="s">
        <v>12</v>
      </c>
      <c r="C212" s="16" t="s">
        <v>221</v>
      </c>
      <c r="D212" s="16">
        <v>197</v>
      </c>
      <c r="E212" s="16">
        <v>1</v>
      </c>
      <c r="F212" s="16">
        <v>10</v>
      </c>
      <c r="G212" s="16" t="s">
        <v>902</v>
      </c>
      <c r="H212" s="16" t="s">
        <v>903</v>
      </c>
      <c r="I212" s="16">
        <f>IF(OR(Picker!$B$10="Yes",SUMPRODUCT((Picker!$A$5:$A$9&lt;&gt;"")*(Picker!$A$5:$A$9&lt;&gt;"(none)"))=0),1,IF($L212="",0,COUNTIF(Picker!$A$5:$A$9,$L212))+IF($N212="",0,COUNTIF(Picker!$A$5:$A$9,$N212))+IF($P212="",0,COUNTIF(Picker!$A$5:$A$9,$P212)))</f>
      </c>
      <c r="J212" s="16">
        <f>IF($I212=0,"",COUNTIFS($B$2:$B$346,$B212,$I$2:$I$346,"&gt;"&amp;$I212)+COUNTIFS($B$2:$B212,$B212,$I$2:$I212,$I212))</f>
      </c>
      <c r="K212" s="16">
        <f>IF($J212="","",$B212&amp;"#"&amp;$J212)</f>
      </c>
      <c r="L212" s="16" t="s">
        <v>110</v>
      </c>
      <c r="M212" s="16">
        <v>3</v>
      </c>
      <c r="N212" s="16" t="s">
        <v>172</v>
      </c>
      <c r="O212" s="16">
        <v>1</v>
      </c>
    </row>
    <row r="213" spans="1:13" x14ac:dyDescent="0.25">
      <c r="A213" s="16" t="s">
        <v>904</v>
      </c>
      <c r="B213" s="16" t="s">
        <v>12</v>
      </c>
      <c r="C213" s="16" t="s">
        <v>225</v>
      </c>
      <c r="D213" s="16">
        <v>197</v>
      </c>
      <c r="E213" s="16">
        <v>1</v>
      </c>
      <c r="F213" s="16">
        <v>10</v>
      </c>
      <c r="G213" s="16" t="s">
        <v>885</v>
      </c>
      <c r="H213" s="16" t="s">
        <v>905</v>
      </c>
      <c r="I213" s="16">
        <f>IF(OR(Picker!$B$10="Yes",SUMPRODUCT((Picker!$A$5:$A$9&lt;&gt;"")*(Picker!$A$5:$A$9&lt;&gt;"(none)"))=0),1,IF($L213="",0,COUNTIF(Picker!$A$5:$A$9,$L213))+IF($N213="",0,COUNTIF(Picker!$A$5:$A$9,$N213))+IF($P213="",0,COUNTIF(Picker!$A$5:$A$9,$P213)))</f>
      </c>
      <c r="J213" s="16">
        <f>IF($I213=0,"",COUNTIFS($B$2:$B$346,$B213,$I$2:$I$346,"&gt;"&amp;$I213)+COUNTIFS($B$2:$B213,$B213,$I$2:$I213,$I213))</f>
      </c>
      <c r="K213" s="16">
        <f>IF($J213="","",$B213&amp;"#"&amp;$J213)</f>
      </c>
      <c r="L213" s="16" t="s">
        <v>134</v>
      </c>
      <c r="M213" s="16">
        <v>2</v>
      </c>
    </row>
    <row r="214" spans="1:17" x14ac:dyDescent="0.25">
      <c r="A214" s="16" t="s">
        <v>906</v>
      </c>
      <c r="B214" s="16" t="s">
        <v>12</v>
      </c>
      <c r="C214" s="16" t="s">
        <v>229</v>
      </c>
      <c r="D214" s="16">
        <v>197</v>
      </c>
      <c r="E214" s="16">
        <v>1</v>
      </c>
      <c r="F214" s="16">
        <v>10</v>
      </c>
      <c r="G214" s="16" t="s">
        <v>907</v>
      </c>
      <c r="H214" s="16" t="s">
        <v>908</v>
      </c>
      <c r="I214" s="16">
        <f>IF(OR(Picker!$B$10="Yes",SUMPRODUCT((Picker!$A$5:$A$9&lt;&gt;"")*(Picker!$A$5:$A$9&lt;&gt;"(none)"))=0),1,IF($L214="",0,COUNTIF(Picker!$A$5:$A$9,$L214))+IF($N214="",0,COUNTIF(Picker!$A$5:$A$9,$N214))+IF($P214="",0,COUNTIF(Picker!$A$5:$A$9,$P214)))</f>
      </c>
      <c r="J214" s="16">
        <f>IF($I214=0,"",COUNTIFS($B$2:$B$346,$B214,$I$2:$I$346,"&gt;"&amp;$I214)+COUNTIFS($B$2:$B214,$B214,$I$2:$I214,$I214))</f>
      </c>
      <c r="K214" s="16">
        <f>IF($J214="","",$B214&amp;"#"&amp;$J214)</f>
      </c>
      <c r="L214" s="16" t="s">
        <v>92</v>
      </c>
      <c r="M214" s="16">
        <v>1</v>
      </c>
      <c r="N214" s="16" t="s">
        <v>91</v>
      </c>
      <c r="O214" s="16">
        <v>1</v>
      </c>
      <c r="P214" s="16" t="s">
        <v>65</v>
      </c>
      <c r="Q214" s="16">
        <v>1</v>
      </c>
    </row>
    <row r="215" spans="1:13" x14ac:dyDescent="0.25">
      <c r="A215" s="16" t="s">
        <v>909</v>
      </c>
      <c r="B215" s="16" t="s">
        <v>12</v>
      </c>
      <c r="C215" s="16" t="s">
        <v>233</v>
      </c>
      <c r="D215" s="16">
        <v>197</v>
      </c>
      <c r="E215" s="16">
        <v>1</v>
      </c>
      <c r="F215" s="16">
        <v>10</v>
      </c>
      <c r="G215" s="16" t="s">
        <v>802</v>
      </c>
      <c r="H215" s="16" t="s">
        <v>910</v>
      </c>
      <c r="I215" s="16">
        <f>IF(OR(Picker!$B$10="Yes",SUMPRODUCT((Picker!$A$5:$A$9&lt;&gt;"")*(Picker!$A$5:$A$9&lt;&gt;"(none)"))=0),1,IF($L215="",0,COUNTIF(Picker!$A$5:$A$9,$L215))+IF($N215="",0,COUNTIF(Picker!$A$5:$A$9,$N215))+IF($P215="",0,COUNTIF(Picker!$A$5:$A$9,$P215)))</f>
      </c>
      <c r="J215" s="16">
        <f>IF($I215=0,"",COUNTIFS($B$2:$B$346,$B215,$I$2:$I$346,"&gt;"&amp;$I215)+COUNTIFS($B$2:$B215,$B215,$I$2:$I215,$I215))</f>
      </c>
      <c r="K215" s="16">
        <f>IF($J215="","",$B215&amp;"#"&amp;$J215)</f>
      </c>
      <c r="L215" s="16" t="s">
        <v>166</v>
      </c>
      <c r="M215" s="16">
        <v>2</v>
      </c>
    </row>
    <row r="216" spans="1:15" x14ac:dyDescent="0.25">
      <c r="A216" s="16" t="s">
        <v>911</v>
      </c>
      <c r="B216" s="16" t="s">
        <v>12</v>
      </c>
      <c r="C216" s="16" t="s">
        <v>237</v>
      </c>
      <c r="D216" s="16">
        <v>197</v>
      </c>
      <c r="E216" s="16">
        <v>1</v>
      </c>
      <c r="F216" s="16">
        <v>10</v>
      </c>
      <c r="G216" s="16" t="s">
        <v>912</v>
      </c>
      <c r="H216" s="16" t="s">
        <v>913</v>
      </c>
      <c r="I216" s="16">
        <f>IF(OR(Picker!$B$10="Yes",SUMPRODUCT((Picker!$A$5:$A$9&lt;&gt;"")*(Picker!$A$5:$A$9&lt;&gt;"(none)"))=0),1,IF($L216="",0,COUNTIF(Picker!$A$5:$A$9,$L216))+IF($N216="",0,COUNTIF(Picker!$A$5:$A$9,$N216))+IF($P216="",0,COUNTIF(Picker!$A$5:$A$9,$P216)))</f>
      </c>
      <c r="J216" s="16">
        <f>IF($I216=0,"",COUNTIFS($B$2:$B$346,$B216,$I$2:$I$346,"&gt;"&amp;$I216)+COUNTIFS($B$2:$B216,$B216,$I$2:$I216,$I216))</f>
      </c>
      <c r="K216" s="16">
        <f>IF($J216="","",$B216&amp;"#"&amp;$J216)</f>
      </c>
      <c r="L216" s="16" t="s">
        <v>72</v>
      </c>
      <c r="M216" s="16">
        <v>2</v>
      </c>
      <c r="N216" s="16" t="s">
        <v>111</v>
      </c>
      <c r="O216" s="16">
        <v>1</v>
      </c>
    </row>
    <row r="217" spans="1:15" x14ac:dyDescent="0.25">
      <c r="A217" s="16" t="s">
        <v>914</v>
      </c>
      <c r="B217" s="16" t="s">
        <v>12</v>
      </c>
      <c r="C217" s="16" t="s">
        <v>241</v>
      </c>
      <c r="D217" s="16">
        <v>197</v>
      </c>
      <c r="E217" s="16">
        <v>1</v>
      </c>
      <c r="F217" s="16">
        <v>10</v>
      </c>
      <c r="G217" s="16" t="s">
        <v>915</v>
      </c>
      <c r="H217" s="16" t="s">
        <v>916</v>
      </c>
      <c r="I217" s="16">
        <f>IF(OR(Picker!$B$10="Yes",SUMPRODUCT((Picker!$A$5:$A$9&lt;&gt;"")*(Picker!$A$5:$A$9&lt;&gt;"(none)"))=0),1,IF($L217="",0,COUNTIF(Picker!$A$5:$A$9,$L217))+IF($N217="",0,COUNTIF(Picker!$A$5:$A$9,$N217))+IF($P217="",0,COUNTIF(Picker!$A$5:$A$9,$P217)))</f>
      </c>
      <c r="J217" s="16">
        <f>IF($I217=0,"",COUNTIFS($B$2:$B$346,$B217,$I$2:$I$346,"&gt;"&amp;$I217)+COUNTIFS($B$2:$B217,$B217,$I$2:$I217,$I217))</f>
      </c>
      <c r="K217" s="16">
        <f>IF($J217="","",$B217&amp;"#"&amp;$J217)</f>
      </c>
      <c r="L217" s="16" t="s">
        <v>124</v>
      </c>
      <c r="M217" s="16">
        <v>1</v>
      </c>
      <c r="N217" s="16" t="s">
        <v>165</v>
      </c>
      <c r="O217" s="16">
        <v>1</v>
      </c>
    </row>
    <row r="218" spans="1:15" x14ac:dyDescent="0.25">
      <c r="A218" s="16" t="s">
        <v>917</v>
      </c>
      <c r="B218" s="16" t="s">
        <v>12</v>
      </c>
      <c r="C218" s="16" t="s">
        <v>245</v>
      </c>
      <c r="D218" s="16">
        <v>197</v>
      </c>
      <c r="E218" s="16">
        <v>1</v>
      </c>
      <c r="F218" s="16">
        <v>10</v>
      </c>
      <c r="G218" s="16" t="s">
        <v>918</v>
      </c>
      <c r="H218" s="16" t="s">
        <v>919</v>
      </c>
      <c r="I218" s="16">
        <f>IF(OR(Picker!$B$10="Yes",SUMPRODUCT((Picker!$A$5:$A$9&lt;&gt;"")*(Picker!$A$5:$A$9&lt;&gt;"(none)"))=0),1,IF($L218="",0,COUNTIF(Picker!$A$5:$A$9,$L218))+IF($N218="",0,COUNTIF(Picker!$A$5:$A$9,$N218))+IF($P218="",0,COUNTIF(Picker!$A$5:$A$9,$P218)))</f>
      </c>
      <c r="J218" s="16">
        <f>IF($I218=0,"",COUNTIFS($B$2:$B$346,$B218,$I$2:$I$346,"&gt;"&amp;$I218)+COUNTIFS($B$2:$B218,$B218,$I$2:$I218,$I218))</f>
      </c>
      <c r="K218" s="16">
        <f>IF($J218="","",$B218&amp;"#"&amp;$J218)</f>
      </c>
      <c r="L218" s="16" t="s">
        <v>97</v>
      </c>
      <c r="M218" s="16">
        <v>2</v>
      </c>
      <c r="N218" s="16" t="s">
        <v>114</v>
      </c>
      <c r="O218" s="16">
        <v>1</v>
      </c>
    </row>
    <row r="219" spans="1:13" x14ac:dyDescent="0.25">
      <c r="A219" s="16" t="s">
        <v>920</v>
      </c>
      <c r="B219" s="16" t="s">
        <v>12</v>
      </c>
      <c r="C219" s="16" t="s">
        <v>249</v>
      </c>
      <c r="D219" s="16">
        <v>197</v>
      </c>
      <c r="E219" s="16">
        <v>1</v>
      </c>
      <c r="F219" s="16">
        <v>10</v>
      </c>
      <c r="G219" s="16" t="s">
        <v>701</v>
      </c>
      <c r="H219" s="16" t="s">
        <v>921</v>
      </c>
      <c r="I219" s="16">
        <f>IF(OR(Picker!$B$10="Yes",SUMPRODUCT((Picker!$A$5:$A$9&lt;&gt;"")*(Picker!$A$5:$A$9&lt;&gt;"(none)"))=0),1,IF($L219="",0,COUNTIF(Picker!$A$5:$A$9,$L219))+IF($N219="",0,COUNTIF(Picker!$A$5:$A$9,$N219))+IF($P219="",0,COUNTIF(Picker!$A$5:$A$9,$P219)))</f>
      </c>
      <c r="J219" s="16">
        <f>IF($I219=0,"",COUNTIFS($B$2:$B$346,$B219,$I$2:$I$346,"&gt;"&amp;$I219)+COUNTIFS($B$2:$B219,$B219,$I$2:$I219,$I219))</f>
      </c>
      <c r="K219" s="16">
        <f>IF($J219="","",$B219&amp;"#"&amp;$J219)</f>
      </c>
      <c r="L219" s="16" t="s">
        <v>109</v>
      </c>
      <c r="M219" s="16">
        <v>2</v>
      </c>
    </row>
    <row r="220" spans="1:13" x14ac:dyDescent="0.25">
      <c r="A220" s="16" t="s">
        <v>922</v>
      </c>
      <c r="B220" s="16" t="s">
        <v>12</v>
      </c>
      <c r="C220" s="16" t="s">
        <v>253</v>
      </c>
      <c r="D220" s="16">
        <v>197</v>
      </c>
      <c r="E220" s="16">
        <v>1</v>
      </c>
      <c r="F220" s="16">
        <v>10</v>
      </c>
      <c r="G220" s="16" t="s">
        <v>515</v>
      </c>
      <c r="H220" s="16" t="s">
        <v>923</v>
      </c>
      <c r="I220" s="16">
        <f>IF(OR(Picker!$B$10="Yes",SUMPRODUCT((Picker!$A$5:$A$9&lt;&gt;"")*(Picker!$A$5:$A$9&lt;&gt;"(none)"))=0),1,IF($L220="",0,COUNTIF(Picker!$A$5:$A$9,$L220))+IF($N220="",0,COUNTIF(Picker!$A$5:$A$9,$N220))+IF($P220="",0,COUNTIF(Picker!$A$5:$A$9,$P220)))</f>
      </c>
      <c r="J220" s="16">
        <f>IF($I220=0,"",COUNTIFS($B$2:$B$346,$B220,$I$2:$I$346,"&gt;"&amp;$I220)+COUNTIFS($B$2:$B220,$B220,$I$2:$I220,$I220))</f>
      </c>
      <c r="K220" s="16">
        <f>IF($J220="","",$B220&amp;"#"&amp;$J220)</f>
      </c>
      <c r="L220" s="16" t="s">
        <v>71</v>
      </c>
      <c r="M220" s="16">
        <v>2</v>
      </c>
    </row>
    <row r="221" spans="1:15" x14ac:dyDescent="0.25">
      <c r="A221" s="16" t="s">
        <v>924</v>
      </c>
      <c r="B221" s="16" t="s">
        <v>12</v>
      </c>
      <c r="C221" s="16" t="s">
        <v>257</v>
      </c>
      <c r="D221" s="16">
        <v>197</v>
      </c>
      <c r="E221" s="16">
        <v>1</v>
      </c>
      <c r="F221" s="16">
        <v>10</v>
      </c>
      <c r="G221" s="16" t="s">
        <v>925</v>
      </c>
      <c r="H221" s="16" t="s">
        <v>926</v>
      </c>
      <c r="I221" s="16">
        <f>IF(OR(Picker!$B$10="Yes",SUMPRODUCT((Picker!$A$5:$A$9&lt;&gt;"")*(Picker!$A$5:$A$9&lt;&gt;"(none)"))=0),1,IF($L221="",0,COUNTIF(Picker!$A$5:$A$9,$L221))+IF($N221="",0,COUNTIF(Picker!$A$5:$A$9,$N221))+IF($P221="",0,COUNTIF(Picker!$A$5:$A$9,$P221)))</f>
      </c>
      <c r="J221" s="16">
        <f>IF($I221=0,"",COUNTIFS($B$2:$B$346,$B221,$I$2:$I$346,"&gt;"&amp;$I221)+COUNTIFS($B$2:$B221,$B221,$I$2:$I221,$I221))</f>
      </c>
      <c r="K221" s="16">
        <f>IF($J221="","",$B221&amp;"#"&amp;$J221)</f>
      </c>
      <c r="L221" s="16" t="s">
        <v>123</v>
      </c>
      <c r="M221" s="16">
        <v>1</v>
      </c>
      <c r="N221" s="16" t="s">
        <v>98</v>
      </c>
      <c r="O221" s="16">
        <v>2</v>
      </c>
    </row>
    <row r="222" spans="1:15" x14ac:dyDescent="0.25">
      <c r="A222" s="16" t="s">
        <v>927</v>
      </c>
      <c r="B222" s="16" t="s">
        <v>12</v>
      </c>
      <c r="C222" s="16" t="s">
        <v>261</v>
      </c>
      <c r="D222" s="16">
        <v>197</v>
      </c>
      <c r="E222" s="16">
        <v>1</v>
      </c>
      <c r="F222" s="16">
        <v>10</v>
      </c>
      <c r="G222" s="16" t="s">
        <v>928</v>
      </c>
      <c r="H222" s="16" t="s">
        <v>929</v>
      </c>
      <c r="I222" s="16">
        <f>IF(OR(Picker!$B$10="Yes",SUMPRODUCT((Picker!$A$5:$A$9&lt;&gt;"")*(Picker!$A$5:$A$9&lt;&gt;"(none)"))=0),1,IF($L222="",0,COUNTIF(Picker!$A$5:$A$9,$L222))+IF($N222="",0,COUNTIF(Picker!$A$5:$A$9,$N222))+IF($P222="",0,COUNTIF(Picker!$A$5:$A$9,$P222)))</f>
      </c>
      <c r="J222" s="16">
        <f>IF($I222=0,"",COUNTIFS($B$2:$B$346,$B222,$I$2:$I$346,"&gt;"&amp;$I222)+COUNTIFS($B$2:$B222,$B222,$I$2:$I222,$I222))</f>
      </c>
      <c r="K222" s="16">
        <f>IF($J222="","",$B222&amp;"#"&amp;$J222)</f>
      </c>
      <c r="L222" s="16" t="s">
        <v>164</v>
      </c>
      <c r="M222" s="16">
        <v>2</v>
      </c>
      <c r="N222" s="16" t="s">
        <v>141</v>
      </c>
      <c r="O222" s="16">
        <v>1</v>
      </c>
    </row>
    <row r="223" spans="1:15" x14ac:dyDescent="0.25">
      <c r="A223" s="16" t="s">
        <v>930</v>
      </c>
      <c r="B223" s="16" t="s">
        <v>12</v>
      </c>
      <c r="C223" s="16" t="s">
        <v>265</v>
      </c>
      <c r="D223" s="16">
        <v>197</v>
      </c>
      <c r="E223" s="16">
        <v>2</v>
      </c>
      <c r="F223" s="16">
        <v>10</v>
      </c>
      <c r="G223" s="16" t="s">
        <v>931</v>
      </c>
      <c r="H223" s="16" t="s">
        <v>932</v>
      </c>
      <c r="I223" s="16">
        <f>IF(OR(Picker!$B$10="Yes",SUMPRODUCT((Picker!$A$5:$A$9&lt;&gt;"")*(Picker!$A$5:$A$9&lt;&gt;"(none)"))=0),1,IF($L223="",0,COUNTIF(Picker!$A$5:$A$9,$L223))+IF($N223="",0,COUNTIF(Picker!$A$5:$A$9,$N223))+IF($P223="",0,COUNTIF(Picker!$A$5:$A$9,$P223)))</f>
      </c>
      <c r="J223" s="16">
        <f>IF($I223=0,"",COUNTIFS($B$2:$B$346,$B223,$I$2:$I$346,"&gt;"&amp;$I223)+COUNTIFS($B$2:$B223,$B223,$I$2:$I223,$I223))</f>
      </c>
      <c r="K223" s="16">
        <f>IF($J223="","",$B223&amp;"#"&amp;$J223)</f>
      </c>
      <c r="L223" s="16" t="s">
        <v>66</v>
      </c>
      <c r="M223" s="16">
        <v>1</v>
      </c>
      <c r="N223" s="16" t="s">
        <v>177</v>
      </c>
      <c r="O223" s="16">
        <v>1</v>
      </c>
    </row>
    <row r="224" spans="1:15" x14ac:dyDescent="0.25">
      <c r="A224" s="16" t="s">
        <v>933</v>
      </c>
      <c r="B224" s="16" t="s">
        <v>12</v>
      </c>
      <c r="C224" s="16" t="s">
        <v>269</v>
      </c>
      <c r="D224" s="16">
        <v>197</v>
      </c>
      <c r="E224" s="16">
        <v>1</v>
      </c>
      <c r="F224" s="16">
        <v>10</v>
      </c>
      <c r="G224" s="16" t="s">
        <v>934</v>
      </c>
      <c r="H224" s="16" t="s">
        <v>935</v>
      </c>
      <c r="I224" s="16">
        <f>IF(OR(Picker!$B$10="Yes",SUMPRODUCT((Picker!$A$5:$A$9&lt;&gt;"")*(Picker!$A$5:$A$9&lt;&gt;"(none)"))=0),1,IF($L224="",0,COUNTIF(Picker!$A$5:$A$9,$L224))+IF($N224="",0,COUNTIF(Picker!$A$5:$A$9,$N224))+IF($P224="",0,COUNTIF(Picker!$A$5:$A$9,$P224)))</f>
      </c>
      <c r="J224" s="16">
        <f>IF($I224=0,"",COUNTIFS($B$2:$B$346,$B224,$I$2:$I$346,"&gt;"&amp;$I224)+COUNTIFS($B$2:$B224,$B224,$I$2:$I224,$I224))</f>
      </c>
      <c r="K224" s="16">
        <f>IF($J224="","",$B224&amp;"#"&amp;$J224)</f>
      </c>
      <c r="L224" s="16" t="s">
        <v>158</v>
      </c>
      <c r="M224" s="16">
        <v>2</v>
      </c>
      <c r="N224" s="16" t="s">
        <v>129</v>
      </c>
      <c r="O224" s="16">
        <v>1</v>
      </c>
    </row>
    <row r="225" spans="1:15" x14ac:dyDescent="0.25">
      <c r="A225" s="16" t="s">
        <v>936</v>
      </c>
      <c r="B225" s="16" t="s">
        <v>12</v>
      </c>
      <c r="C225" s="16" t="s">
        <v>273</v>
      </c>
      <c r="D225" s="16">
        <v>197</v>
      </c>
      <c r="E225" s="16">
        <v>1</v>
      </c>
      <c r="F225" s="16">
        <v>10</v>
      </c>
      <c r="G225" s="16" t="s">
        <v>937</v>
      </c>
      <c r="H225" s="16" t="s">
        <v>938</v>
      </c>
      <c r="I225" s="16">
        <f>IF(OR(Picker!$B$10="Yes",SUMPRODUCT((Picker!$A$5:$A$9&lt;&gt;"")*(Picker!$A$5:$A$9&lt;&gt;"(none)"))=0),1,IF($L225="",0,COUNTIF(Picker!$A$5:$A$9,$L225))+IF($N225="",0,COUNTIF(Picker!$A$5:$A$9,$N225))+IF($P225="",0,COUNTIF(Picker!$A$5:$A$9,$P225)))</f>
      </c>
      <c r="J225" s="16">
        <f>IF($I225=0,"",COUNTIFS($B$2:$B$346,$B225,$I$2:$I$346,"&gt;"&amp;$I225)+COUNTIFS($B$2:$B225,$B225,$I$2:$I225,$I225))</f>
      </c>
      <c r="K225" s="16">
        <f>IF($J225="","",$B225&amp;"#"&amp;$J225)</f>
      </c>
      <c r="L225" s="16" t="s">
        <v>90</v>
      </c>
      <c r="M225" s="16">
        <v>2</v>
      </c>
      <c r="N225" s="16" t="s">
        <v>106</v>
      </c>
      <c r="O225" s="16">
        <v>1</v>
      </c>
    </row>
    <row r="226" spans="1:15" x14ac:dyDescent="0.25">
      <c r="A226" s="16" t="s">
        <v>939</v>
      </c>
      <c r="B226" s="16" t="s">
        <v>12</v>
      </c>
      <c r="C226" s="16" t="s">
        <v>277</v>
      </c>
      <c r="D226" s="16">
        <v>197</v>
      </c>
      <c r="E226" s="16">
        <v>1</v>
      </c>
      <c r="F226" s="16">
        <v>10</v>
      </c>
      <c r="G226" s="16" t="s">
        <v>940</v>
      </c>
      <c r="H226" s="16" t="s">
        <v>941</v>
      </c>
      <c r="I226" s="16">
        <f>IF(OR(Picker!$B$10="Yes",SUMPRODUCT((Picker!$A$5:$A$9&lt;&gt;"")*(Picker!$A$5:$A$9&lt;&gt;"(none)"))=0),1,IF($L226="",0,COUNTIF(Picker!$A$5:$A$9,$L226))+IF($N226="",0,COUNTIF(Picker!$A$5:$A$9,$N226))+IF($P226="",0,COUNTIF(Picker!$A$5:$A$9,$P226)))</f>
      </c>
      <c r="J226" s="16">
        <f>IF($I226=0,"",COUNTIFS($B$2:$B$346,$B226,$I$2:$I$346,"&gt;"&amp;$I226)+COUNTIFS($B$2:$B226,$B226,$I$2:$I226,$I226))</f>
      </c>
      <c r="K226" s="16">
        <f>IF($J226="","",$B226&amp;"#"&amp;$J226)</f>
      </c>
      <c r="L226" s="16" t="s">
        <v>144</v>
      </c>
      <c r="M226" s="16">
        <v>1</v>
      </c>
      <c r="N226" s="16" t="s">
        <v>139</v>
      </c>
      <c r="O226" s="16">
        <v>2</v>
      </c>
    </row>
    <row r="227" spans="1:15" x14ac:dyDescent="0.25">
      <c r="A227" s="16" t="s">
        <v>942</v>
      </c>
      <c r="B227" s="16" t="s">
        <v>12</v>
      </c>
      <c r="C227" s="16" t="s">
        <v>281</v>
      </c>
      <c r="D227" s="16">
        <v>197</v>
      </c>
      <c r="E227" s="16">
        <v>1</v>
      </c>
      <c r="F227" s="16">
        <v>10</v>
      </c>
      <c r="G227" s="16" t="s">
        <v>943</v>
      </c>
      <c r="H227" s="16" t="s">
        <v>944</v>
      </c>
      <c r="I227" s="16">
        <f>IF(OR(Picker!$B$10="Yes",SUMPRODUCT((Picker!$A$5:$A$9&lt;&gt;"")*(Picker!$A$5:$A$9&lt;&gt;"(none)"))=0),1,IF($L227="",0,COUNTIF(Picker!$A$5:$A$9,$L227))+IF($N227="",0,COUNTIF(Picker!$A$5:$A$9,$N227))+IF($P227="",0,COUNTIF(Picker!$A$5:$A$9,$P227)))</f>
      </c>
      <c r="J227" s="16">
        <f>IF($I227=0,"",COUNTIFS($B$2:$B$346,$B227,$I$2:$I$346,"&gt;"&amp;$I227)+COUNTIFS($B$2:$B227,$B227,$I$2:$I227,$I227))</f>
      </c>
      <c r="K227" s="16">
        <f>IF($J227="","",$B227&amp;"#"&amp;$J227)</f>
      </c>
      <c r="L227" s="16" t="s">
        <v>121</v>
      </c>
      <c r="M227" s="16">
        <v>1</v>
      </c>
      <c r="N227" s="16" t="s">
        <v>130</v>
      </c>
      <c r="O227" s="16">
        <v>1</v>
      </c>
    </row>
    <row r="228" spans="1:15" x14ac:dyDescent="0.25">
      <c r="A228" s="16" t="s">
        <v>945</v>
      </c>
      <c r="B228" s="16" t="s">
        <v>12</v>
      </c>
      <c r="C228" s="16" t="s">
        <v>285</v>
      </c>
      <c r="D228" s="16">
        <v>197</v>
      </c>
      <c r="E228" s="16">
        <v>1</v>
      </c>
      <c r="F228" s="16">
        <v>10</v>
      </c>
      <c r="G228" s="16" t="s">
        <v>946</v>
      </c>
      <c r="H228" s="16" t="s">
        <v>947</v>
      </c>
      <c r="I228" s="16">
        <f>IF(OR(Picker!$B$10="Yes",SUMPRODUCT((Picker!$A$5:$A$9&lt;&gt;"")*(Picker!$A$5:$A$9&lt;&gt;"(none)"))=0),1,IF($L228="",0,COUNTIF(Picker!$A$5:$A$9,$L228))+IF($N228="",0,COUNTIF(Picker!$A$5:$A$9,$N228))+IF($P228="",0,COUNTIF(Picker!$A$5:$A$9,$P228)))</f>
      </c>
      <c r="J228" s="16">
        <f>IF($I228=0,"",COUNTIFS($B$2:$B$346,$B228,$I$2:$I$346,"&gt;"&amp;$I228)+COUNTIFS($B$2:$B228,$B228,$I$2:$I228,$I228))</f>
      </c>
      <c r="K228" s="16">
        <f>IF($J228="","",$B228&amp;"#"&amp;$J228)</f>
      </c>
      <c r="L228" s="16" t="s">
        <v>144</v>
      </c>
      <c r="M228" s="16">
        <v>1</v>
      </c>
      <c r="N228" s="16" t="s">
        <v>151</v>
      </c>
      <c r="O228" s="16">
        <v>2</v>
      </c>
    </row>
    <row r="229" spans="1:15" x14ac:dyDescent="0.25">
      <c r="A229" s="16" t="s">
        <v>948</v>
      </c>
      <c r="B229" s="16" t="s">
        <v>12</v>
      </c>
      <c r="C229" s="16" t="s">
        <v>289</v>
      </c>
      <c r="D229" s="16">
        <v>197</v>
      </c>
      <c r="E229" s="16">
        <v>1</v>
      </c>
      <c r="F229" s="16">
        <v>10</v>
      </c>
      <c r="G229" s="16" t="s">
        <v>949</v>
      </c>
      <c r="H229" s="16" t="s">
        <v>950</v>
      </c>
      <c r="I229" s="16">
        <f>IF(OR(Picker!$B$10="Yes",SUMPRODUCT((Picker!$A$5:$A$9&lt;&gt;"")*(Picker!$A$5:$A$9&lt;&gt;"(none)"))=0),1,IF($L229="",0,COUNTIF(Picker!$A$5:$A$9,$L229))+IF($N229="",0,COUNTIF(Picker!$A$5:$A$9,$N229))+IF($P229="",0,COUNTIF(Picker!$A$5:$A$9,$P229)))</f>
      </c>
      <c r="J229" s="16">
        <f>IF($I229=0,"",COUNTIFS($B$2:$B$346,$B229,$I$2:$I$346,"&gt;"&amp;$I229)+COUNTIFS($B$2:$B229,$B229,$I$2:$I229,$I229))</f>
      </c>
      <c r="K229" s="16">
        <f>IF($J229="","",$B229&amp;"#"&amp;$J229)</f>
      </c>
      <c r="L229" s="16" t="s">
        <v>172</v>
      </c>
      <c r="M229" s="16">
        <v>2</v>
      </c>
      <c r="N229" s="16" t="s">
        <v>130</v>
      </c>
      <c r="O229" s="16">
        <v>1</v>
      </c>
    </row>
    <row r="230" spans="1:15" x14ac:dyDescent="0.25">
      <c r="A230" s="16" t="s">
        <v>951</v>
      </c>
      <c r="B230" s="16" t="s">
        <v>12</v>
      </c>
      <c r="C230" s="16" t="s">
        <v>293</v>
      </c>
      <c r="D230" s="16">
        <v>197</v>
      </c>
      <c r="E230" s="16">
        <v>1</v>
      </c>
      <c r="F230" s="16">
        <v>10</v>
      </c>
      <c r="G230" s="16" t="s">
        <v>952</v>
      </c>
      <c r="H230" s="16" t="s">
        <v>953</v>
      </c>
      <c r="I230" s="16">
        <f>IF(OR(Picker!$B$10="Yes",SUMPRODUCT((Picker!$A$5:$A$9&lt;&gt;"")*(Picker!$A$5:$A$9&lt;&gt;"(none)"))=0),1,IF($L230="",0,COUNTIF(Picker!$A$5:$A$9,$L230))+IF($N230="",0,COUNTIF(Picker!$A$5:$A$9,$N230))+IF($P230="",0,COUNTIF(Picker!$A$5:$A$9,$P230)))</f>
      </c>
      <c r="J230" s="16">
        <f>IF($I230=0,"",COUNTIFS($B$2:$B$346,$B230,$I$2:$I$346,"&gt;"&amp;$I230)+COUNTIFS($B$2:$B230,$B230,$I$2:$I230,$I230))</f>
      </c>
      <c r="K230" s="16">
        <f>IF($J230="","",$B230&amp;"#"&amp;$J230)</f>
      </c>
      <c r="L230" s="16" t="s">
        <v>140</v>
      </c>
      <c r="M230" s="16">
        <v>1</v>
      </c>
      <c r="N230" s="16" t="s">
        <v>102</v>
      </c>
      <c r="O230" s="16">
        <v>2</v>
      </c>
    </row>
    <row r="231" spans="1:15" x14ac:dyDescent="0.25">
      <c r="A231" s="16" t="s">
        <v>954</v>
      </c>
      <c r="B231" s="16" t="s">
        <v>12</v>
      </c>
      <c r="C231" s="16" t="s">
        <v>297</v>
      </c>
      <c r="D231" s="16">
        <v>197</v>
      </c>
      <c r="E231" s="16">
        <v>1</v>
      </c>
      <c r="F231" s="16">
        <v>10</v>
      </c>
      <c r="G231" s="16" t="s">
        <v>955</v>
      </c>
      <c r="H231" s="16" t="s">
        <v>956</v>
      </c>
      <c r="I231" s="16">
        <f>IF(OR(Picker!$B$10="Yes",SUMPRODUCT((Picker!$A$5:$A$9&lt;&gt;"")*(Picker!$A$5:$A$9&lt;&gt;"(none)"))=0),1,IF($L231="",0,COUNTIF(Picker!$A$5:$A$9,$L231))+IF($N231="",0,COUNTIF(Picker!$A$5:$A$9,$N231))+IF($P231="",0,COUNTIF(Picker!$A$5:$A$9,$P231)))</f>
      </c>
      <c r="J231" s="16">
        <f>IF($I231=0,"",COUNTIFS($B$2:$B$346,$B231,$I$2:$I$346,"&gt;"&amp;$I231)+COUNTIFS($B$2:$B231,$B231,$I$2:$I231,$I231))</f>
      </c>
      <c r="K231" s="16">
        <f>IF($J231="","",$B231&amp;"#"&amp;$J231)</f>
      </c>
      <c r="L231" s="16" t="s">
        <v>170</v>
      </c>
      <c r="M231" s="16">
        <v>1</v>
      </c>
      <c r="N231" s="16" t="s">
        <v>152</v>
      </c>
      <c r="O231" s="16">
        <v>2</v>
      </c>
    </row>
    <row r="232" spans="1:15" x14ac:dyDescent="0.25">
      <c r="A232" s="16" t="s">
        <v>957</v>
      </c>
      <c r="B232" s="16" t="s">
        <v>12</v>
      </c>
      <c r="C232" s="16" t="s">
        <v>305</v>
      </c>
      <c r="D232" s="16">
        <v>197</v>
      </c>
      <c r="E232" s="16">
        <v>1</v>
      </c>
      <c r="F232" s="16">
        <v>10</v>
      </c>
      <c r="G232" s="16" t="s">
        <v>958</v>
      </c>
      <c r="H232" s="16" t="s">
        <v>959</v>
      </c>
      <c r="I232" s="16">
        <f>IF(OR(Picker!$B$10="Yes",SUMPRODUCT((Picker!$A$5:$A$9&lt;&gt;"")*(Picker!$A$5:$A$9&lt;&gt;"(none)"))=0),1,IF($L232="",0,COUNTIF(Picker!$A$5:$A$9,$L232))+IF($N232="",0,COUNTIF(Picker!$A$5:$A$9,$N232))+IF($P232="",0,COUNTIF(Picker!$A$5:$A$9,$P232)))</f>
      </c>
      <c r="J232" s="16">
        <f>IF($I232=0,"",COUNTIFS($B$2:$B$346,$B232,$I$2:$I$346,"&gt;"&amp;$I232)+COUNTIFS($B$2:$B232,$B232,$I$2:$I232,$I232))</f>
      </c>
      <c r="K232" s="16">
        <f>IF($J232="","",$B232&amp;"#"&amp;$J232)</f>
      </c>
      <c r="L232" s="16" t="s">
        <v>130</v>
      </c>
      <c r="M232" s="16">
        <v>1</v>
      </c>
      <c r="N232" s="16" t="s">
        <v>159</v>
      </c>
      <c r="O232" s="16">
        <v>1</v>
      </c>
    </row>
    <row r="233" spans="1:13" x14ac:dyDescent="0.25">
      <c r="A233" s="16" t="s">
        <v>960</v>
      </c>
      <c r="B233" s="16" t="s">
        <v>12</v>
      </c>
      <c r="C233" s="16" t="s">
        <v>301</v>
      </c>
      <c r="D233" s="16">
        <v>197</v>
      </c>
      <c r="E233" s="16">
        <v>0</v>
      </c>
      <c r="F233" s="16">
        <v>10</v>
      </c>
      <c r="G233" s="16" t="s">
        <v>961</v>
      </c>
      <c r="H233" s="16" t="s">
        <v>962</v>
      </c>
      <c r="I233" s="16">
        <f>IF(OR(Picker!$B$10="Yes",SUMPRODUCT((Picker!$A$5:$A$9&lt;&gt;"")*(Picker!$A$5:$A$9&lt;&gt;"(none)"))=0),1,IF($L233="",0,COUNTIF(Picker!$A$5:$A$9,$L233))+IF($N233="",0,COUNTIF(Picker!$A$5:$A$9,$N233))+IF($P233="",0,COUNTIF(Picker!$A$5:$A$9,$P233)))</f>
      </c>
      <c r="J233" s="16">
        <f>IF($I233=0,"",COUNTIFS($B$2:$B$346,$B233,$I$2:$I$346,"&gt;"&amp;$I233)+COUNTIFS($B$2:$B233,$B233,$I$2:$I233,$I233))</f>
      </c>
      <c r="K233" s="16">
        <f>IF($J233="","",$B233&amp;"#"&amp;$J233)</f>
      </c>
      <c r="L233" s="16" t="s">
        <v>112</v>
      </c>
      <c r="M233" s="16">
        <v>3</v>
      </c>
    </row>
    <row r="234" spans="1:15" x14ac:dyDescent="0.25">
      <c r="A234" s="16" t="s">
        <v>963</v>
      </c>
      <c r="B234" s="16" t="s">
        <v>12</v>
      </c>
      <c r="C234" s="16" t="s">
        <v>309</v>
      </c>
      <c r="D234" s="16">
        <v>197</v>
      </c>
      <c r="E234" s="16">
        <v>1</v>
      </c>
      <c r="F234" s="16">
        <v>10</v>
      </c>
      <c r="G234" s="16" t="s">
        <v>964</v>
      </c>
      <c r="H234" s="16" t="s">
        <v>965</v>
      </c>
      <c r="I234" s="16">
        <f>IF(OR(Picker!$B$10="Yes",SUMPRODUCT((Picker!$A$5:$A$9&lt;&gt;"")*(Picker!$A$5:$A$9&lt;&gt;"(none)"))=0),1,IF($L234="",0,COUNTIF(Picker!$A$5:$A$9,$L234))+IF($N234="",0,COUNTIF(Picker!$A$5:$A$9,$N234))+IF($P234="",0,COUNTIF(Picker!$A$5:$A$9,$P234)))</f>
      </c>
      <c r="J234" s="16">
        <f>IF($I234=0,"",COUNTIFS($B$2:$B$346,$B234,$I$2:$I$346,"&gt;"&amp;$I234)+COUNTIFS($B$2:$B234,$B234,$I$2:$I234,$I234))</f>
      </c>
      <c r="K234" s="16">
        <f>IF($J234="","",$B234&amp;"#"&amp;$J234)</f>
      </c>
      <c r="L234" s="16" t="s">
        <v>157</v>
      </c>
      <c r="M234" s="16">
        <v>2</v>
      </c>
      <c r="N234" s="16" t="s">
        <v>154</v>
      </c>
      <c r="O234" s="16">
        <v>1</v>
      </c>
    </row>
    <row r="235" spans="1:15" x14ac:dyDescent="0.25">
      <c r="A235" s="16" t="s">
        <v>966</v>
      </c>
      <c r="B235" s="16" t="s">
        <v>12</v>
      </c>
      <c r="C235" s="16" t="s">
        <v>313</v>
      </c>
      <c r="D235" s="16">
        <v>197</v>
      </c>
      <c r="E235" s="16">
        <v>1</v>
      </c>
      <c r="F235" s="16">
        <v>10</v>
      </c>
      <c r="G235" s="16" t="s">
        <v>967</v>
      </c>
      <c r="H235" s="16" t="s">
        <v>968</v>
      </c>
      <c r="I235" s="16">
        <f>IF(OR(Picker!$B$10="Yes",SUMPRODUCT((Picker!$A$5:$A$9&lt;&gt;"")*(Picker!$A$5:$A$9&lt;&gt;"(none)"))=0),1,IF($L235="",0,COUNTIF(Picker!$A$5:$A$9,$L235))+IF($N235="",0,COUNTIF(Picker!$A$5:$A$9,$N235))+IF($P235="",0,COUNTIF(Picker!$A$5:$A$9,$P235)))</f>
      </c>
      <c r="J235" s="16">
        <f>IF($I235=0,"",COUNTIFS($B$2:$B$346,$B235,$I$2:$I$346,"&gt;"&amp;$I235)+COUNTIFS($B$2:$B235,$B235,$I$2:$I235,$I235))</f>
      </c>
      <c r="K235" s="16">
        <f>IF($J235="","",$B235&amp;"#"&amp;$J235)</f>
      </c>
      <c r="L235" s="16" t="s">
        <v>64</v>
      </c>
      <c r="M235" s="16">
        <v>1</v>
      </c>
      <c r="N235" s="16" t="s">
        <v>133</v>
      </c>
      <c r="O235" s="16">
        <v>2</v>
      </c>
    </row>
    <row r="236" spans="1:15" x14ac:dyDescent="0.25">
      <c r="A236" s="16" t="s">
        <v>969</v>
      </c>
      <c r="B236" s="16" t="s">
        <v>12</v>
      </c>
      <c r="C236" s="16" t="s">
        <v>317</v>
      </c>
      <c r="D236" s="16">
        <v>197</v>
      </c>
      <c r="E236" s="16">
        <v>1</v>
      </c>
      <c r="F236" s="16">
        <v>10</v>
      </c>
      <c r="G236" s="16" t="s">
        <v>970</v>
      </c>
      <c r="H236" s="16" t="s">
        <v>971</v>
      </c>
      <c r="I236" s="16">
        <f>IF(OR(Picker!$B$10="Yes",SUMPRODUCT((Picker!$A$5:$A$9&lt;&gt;"")*(Picker!$A$5:$A$9&lt;&gt;"(none)"))=0),1,IF($L236="",0,COUNTIF(Picker!$A$5:$A$9,$L236))+IF($N236="",0,COUNTIF(Picker!$A$5:$A$9,$N236))+IF($P236="",0,COUNTIF(Picker!$A$5:$A$9,$P236)))</f>
      </c>
      <c r="J236" s="16">
        <f>IF($I236=0,"",COUNTIFS($B$2:$B$346,$B236,$I$2:$I$346,"&gt;"&amp;$I236)+COUNTIFS($B$2:$B236,$B236,$I$2:$I236,$I236))</f>
      </c>
      <c r="K236" s="16">
        <f>IF($J236="","",$B236&amp;"#"&amp;$J236)</f>
      </c>
      <c r="L236" s="16" t="s">
        <v>161</v>
      </c>
      <c r="M236" s="16">
        <v>1</v>
      </c>
      <c r="N236" s="16" t="s">
        <v>113</v>
      </c>
      <c r="O236" s="16">
        <v>2</v>
      </c>
    </row>
    <row r="237" spans="1:13" x14ac:dyDescent="0.25">
      <c r="A237" s="16" t="s">
        <v>972</v>
      </c>
      <c r="B237" s="16" t="s">
        <v>12</v>
      </c>
      <c r="C237" s="16" t="s">
        <v>321</v>
      </c>
      <c r="D237" s="16">
        <v>197</v>
      </c>
      <c r="E237" s="16">
        <v>2</v>
      </c>
      <c r="F237" s="16">
        <v>10</v>
      </c>
      <c r="G237" s="16" t="s">
        <v>973</v>
      </c>
      <c r="H237" s="16" t="s">
        <v>974</v>
      </c>
      <c r="I237" s="16">
        <f>IF(OR(Picker!$B$10="Yes",SUMPRODUCT((Picker!$A$5:$A$9&lt;&gt;"")*(Picker!$A$5:$A$9&lt;&gt;"(none)"))=0),1,IF($L237="",0,COUNTIF(Picker!$A$5:$A$9,$L237))+IF($N237="",0,COUNTIF(Picker!$A$5:$A$9,$N237))+IF($P237="",0,COUNTIF(Picker!$A$5:$A$9,$P237)))</f>
      </c>
      <c r="J237" s="16">
        <f>IF($I237=0,"",COUNTIFS($B$2:$B$346,$B237,$I$2:$I$346,"&gt;"&amp;$I237)+COUNTIFS($B$2:$B237,$B237,$I$2:$I237,$I237))</f>
      </c>
      <c r="K237" s="16">
        <f>IF($J237="","",$B237&amp;"#"&amp;$J237)</f>
      </c>
      <c r="L237" s="16" t="s">
        <v>191</v>
      </c>
      <c r="M237" s="16">
        <v>3</v>
      </c>
    </row>
    <row r="238" spans="1:13" x14ac:dyDescent="0.25">
      <c r="A238" s="16" t="s">
        <v>975</v>
      </c>
      <c r="B238" s="16" t="s">
        <v>12</v>
      </c>
      <c r="C238" s="16" t="s">
        <v>325</v>
      </c>
      <c r="D238" s="16">
        <v>197</v>
      </c>
      <c r="E238" s="16">
        <v>1</v>
      </c>
      <c r="F238" s="16">
        <v>10</v>
      </c>
      <c r="G238" s="16" t="s">
        <v>578</v>
      </c>
      <c r="H238" s="16" t="s">
        <v>976</v>
      </c>
      <c r="I238" s="16">
        <f>IF(OR(Picker!$B$10="Yes",SUMPRODUCT((Picker!$A$5:$A$9&lt;&gt;"")*(Picker!$A$5:$A$9&lt;&gt;"(none)"))=0),1,IF($L238="",0,COUNTIF(Picker!$A$5:$A$9,$L238))+IF($N238="",0,COUNTIF(Picker!$A$5:$A$9,$N238))+IF($P238="",0,COUNTIF(Picker!$A$5:$A$9,$P238)))</f>
      </c>
      <c r="J238" s="16">
        <f>IF($I238=0,"",COUNTIFS($B$2:$B$346,$B238,$I$2:$I$346,"&gt;"&amp;$I238)+COUNTIFS($B$2:$B238,$B238,$I$2:$I238,$I238))</f>
      </c>
      <c r="K238" s="16">
        <f>IF($J238="","",$B238&amp;"#"&amp;$J238)</f>
      </c>
      <c r="L238" s="16" t="s">
        <v>179</v>
      </c>
      <c r="M238" s="16">
        <v>2</v>
      </c>
    </row>
    <row r="239" spans="1:17" x14ac:dyDescent="0.25">
      <c r="A239" s="16" t="s">
        <v>977</v>
      </c>
      <c r="B239" s="16" t="s">
        <v>12</v>
      </c>
      <c r="C239" s="16" t="s">
        <v>329</v>
      </c>
      <c r="D239" s="16">
        <v>197</v>
      </c>
      <c r="E239" s="16">
        <v>1</v>
      </c>
      <c r="F239" s="16">
        <v>10</v>
      </c>
      <c r="G239" s="16" t="s">
        <v>978</v>
      </c>
      <c r="H239" s="16" t="s">
        <v>979</v>
      </c>
      <c r="I239" s="16">
        <f>IF(OR(Picker!$B$10="Yes",SUMPRODUCT((Picker!$A$5:$A$9&lt;&gt;"")*(Picker!$A$5:$A$9&lt;&gt;"(none)"))=0),1,IF($L239="",0,COUNTIF(Picker!$A$5:$A$9,$L239))+IF($N239="",0,COUNTIF(Picker!$A$5:$A$9,$N239))+IF($P239="",0,COUNTIF(Picker!$A$5:$A$9,$P239)))</f>
      </c>
      <c r="J239" s="16">
        <f>IF($I239=0,"",COUNTIFS($B$2:$B$346,$B239,$I$2:$I$346,"&gt;"&amp;$I239)+COUNTIFS($B$2:$B239,$B239,$I$2:$I239,$I239))</f>
      </c>
      <c r="K239" s="16">
        <f>IF($J239="","",$B239&amp;"#"&amp;$J239)</f>
      </c>
      <c r="L239" s="16" t="s">
        <v>84</v>
      </c>
      <c r="M239" s="16">
        <v>2</v>
      </c>
      <c r="N239" s="16" t="s">
        <v>150</v>
      </c>
      <c r="O239" s="16">
        <v>1</v>
      </c>
      <c r="P239" s="16" t="s">
        <v>178</v>
      </c>
      <c r="Q239" s="16">
        <v>1</v>
      </c>
    </row>
    <row r="240" spans="1:13" x14ac:dyDescent="0.25">
      <c r="A240" s="16" t="s">
        <v>980</v>
      </c>
      <c r="B240" s="16" t="s">
        <v>12</v>
      </c>
      <c r="C240" s="16" t="s">
        <v>333</v>
      </c>
      <c r="D240" s="16">
        <v>197</v>
      </c>
      <c r="E240" s="16">
        <v>2</v>
      </c>
      <c r="F240" s="16">
        <v>10</v>
      </c>
      <c r="G240" s="16" t="s">
        <v>981</v>
      </c>
      <c r="H240" s="16" t="s">
        <v>982</v>
      </c>
      <c r="I240" s="16">
        <f>IF(OR(Picker!$B$10="Yes",SUMPRODUCT((Picker!$A$5:$A$9&lt;&gt;"")*(Picker!$A$5:$A$9&lt;&gt;"(none)"))=0),1,IF($L240="",0,COUNTIF(Picker!$A$5:$A$9,$L240))+IF($N240="",0,COUNTIF(Picker!$A$5:$A$9,$N240))+IF($P240="",0,COUNTIF(Picker!$A$5:$A$9,$P240)))</f>
      </c>
      <c r="J240" s="16">
        <f>IF($I240=0,"",COUNTIFS($B$2:$B$346,$B240,$I$2:$I$346,"&gt;"&amp;$I240)+COUNTIFS($B$2:$B240,$B240,$I$2:$I240,$I240))</f>
      </c>
      <c r="K240" s="16">
        <f>IF($J240="","",$B240&amp;"#"&amp;$J240)</f>
      </c>
      <c r="L240" s="16" t="s">
        <v>142</v>
      </c>
      <c r="M240" s="16">
        <v>2</v>
      </c>
    </row>
    <row r="241" spans="1:17" x14ac:dyDescent="0.25">
      <c r="A241" s="16" t="s">
        <v>983</v>
      </c>
      <c r="B241" s="16" t="s">
        <v>12</v>
      </c>
      <c r="C241" s="16" t="s">
        <v>337</v>
      </c>
      <c r="D241" s="16">
        <v>197</v>
      </c>
      <c r="E241" s="16">
        <v>1</v>
      </c>
      <c r="F241" s="16">
        <v>10</v>
      </c>
      <c r="G241" s="16" t="s">
        <v>984</v>
      </c>
      <c r="H241" s="16" t="s">
        <v>985</v>
      </c>
      <c r="I241" s="16">
        <f>IF(OR(Picker!$B$10="Yes",SUMPRODUCT((Picker!$A$5:$A$9&lt;&gt;"")*(Picker!$A$5:$A$9&lt;&gt;"(none)"))=0),1,IF($L241="",0,COUNTIF(Picker!$A$5:$A$9,$L241))+IF($N241="",0,COUNTIF(Picker!$A$5:$A$9,$N241))+IF($P241="",0,COUNTIF(Picker!$A$5:$A$9,$P241)))</f>
      </c>
      <c r="J241" s="16">
        <f>IF($I241=0,"",COUNTIFS($B$2:$B$346,$B241,$I$2:$I$346,"&gt;"&amp;$I241)+COUNTIFS($B$2:$B241,$B241,$I$2:$I241,$I241))</f>
      </c>
      <c r="K241" s="16">
        <f>IF($J241="","",$B241&amp;"#"&amp;$J241)</f>
      </c>
      <c r="L241" s="16" t="s">
        <v>90</v>
      </c>
      <c r="M241" s="16">
        <v>1</v>
      </c>
      <c r="N241" s="16" t="s">
        <v>128</v>
      </c>
      <c r="O241" s="16">
        <v>1</v>
      </c>
      <c r="P241" s="16" t="s">
        <v>125</v>
      </c>
      <c r="Q241" s="16">
        <v>1</v>
      </c>
    </row>
    <row r="242" spans="1:15" x14ac:dyDescent="0.25">
      <c r="A242" s="16" t="s">
        <v>986</v>
      </c>
      <c r="B242" s="16" t="s">
        <v>12</v>
      </c>
      <c r="C242" s="16" t="s">
        <v>341</v>
      </c>
      <c r="D242" s="16">
        <v>197</v>
      </c>
      <c r="E242" s="16">
        <v>2</v>
      </c>
      <c r="F242" s="16">
        <v>10</v>
      </c>
      <c r="G242" s="16" t="s">
        <v>987</v>
      </c>
      <c r="H242" s="16" t="s">
        <v>988</v>
      </c>
      <c r="I242" s="16">
        <f>IF(OR(Picker!$B$10="Yes",SUMPRODUCT((Picker!$A$5:$A$9&lt;&gt;"")*(Picker!$A$5:$A$9&lt;&gt;"(none)"))=0),1,IF($L242="",0,COUNTIF(Picker!$A$5:$A$9,$L242))+IF($N242="",0,COUNTIF(Picker!$A$5:$A$9,$N242))+IF($P242="",0,COUNTIF(Picker!$A$5:$A$9,$P242)))</f>
      </c>
      <c r="J242" s="16">
        <f>IF($I242=0,"",COUNTIFS($B$2:$B$346,$B242,$I$2:$I$346,"&gt;"&amp;$I242)+COUNTIFS($B$2:$B242,$B242,$I$2:$I242,$I242))</f>
      </c>
      <c r="K242" s="16">
        <f>IF($J242="","",$B242&amp;"#"&amp;$J242)</f>
      </c>
      <c r="L242" s="16" t="s">
        <v>104</v>
      </c>
      <c r="M242" s="16">
        <v>1</v>
      </c>
      <c r="N242" s="16" t="s">
        <v>127</v>
      </c>
      <c r="O242" s="16">
        <v>1</v>
      </c>
    </row>
    <row r="243" spans="1:17" x14ac:dyDescent="0.25">
      <c r="A243" s="16" t="s">
        <v>989</v>
      </c>
      <c r="B243" s="16" t="s">
        <v>12</v>
      </c>
      <c r="C243" s="16" t="s">
        <v>345</v>
      </c>
      <c r="D243" s="16">
        <v>197</v>
      </c>
      <c r="E243" s="16">
        <v>1</v>
      </c>
      <c r="F243" s="16">
        <v>10</v>
      </c>
      <c r="G243" s="16" t="s">
        <v>990</v>
      </c>
      <c r="H243" s="16" t="s">
        <v>991</v>
      </c>
      <c r="I243" s="16">
        <f>IF(OR(Picker!$B$10="Yes",SUMPRODUCT((Picker!$A$5:$A$9&lt;&gt;"")*(Picker!$A$5:$A$9&lt;&gt;"(none)"))=0),1,IF($L243="",0,COUNTIF(Picker!$A$5:$A$9,$L243))+IF($N243="",0,COUNTIF(Picker!$A$5:$A$9,$N243))+IF($P243="",0,COUNTIF(Picker!$A$5:$A$9,$P243)))</f>
      </c>
      <c r="J243" s="16">
        <f>IF($I243=0,"",COUNTIFS($B$2:$B$346,$B243,$I$2:$I$346,"&gt;"&amp;$I243)+COUNTIFS($B$2:$B243,$B243,$I$2:$I243,$I243))</f>
      </c>
      <c r="K243" s="16">
        <f>IF($J243="","",$B243&amp;"#"&amp;$J243)</f>
      </c>
      <c r="L243" s="16" t="s">
        <v>192</v>
      </c>
      <c r="M243" s="16">
        <v>2</v>
      </c>
      <c r="N243" s="16" t="s">
        <v>193</v>
      </c>
      <c r="O243" s="16">
        <v>1</v>
      </c>
      <c r="P243" s="16" t="s">
        <v>126</v>
      </c>
      <c r="Q243" s="16">
        <v>1</v>
      </c>
    </row>
    <row r="244" spans="1:13" x14ac:dyDescent="0.25">
      <c r="A244" s="16" t="s">
        <v>992</v>
      </c>
      <c r="B244" s="16" t="s">
        <v>12</v>
      </c>
      <c r="C244" s="16" t="s">
        <v>349</v>
      </c>
      <c r="D244" s="16">
        <v>197</v>
      </c>
      <c r="E244" s="16">
        <v>1</v>
      </c>
      <c r="F244" s="16">
        <v>10</v>
      </c>
      <c r="G244" s="16" t="s">
        <v>993</v>
      </c>
      <c r="H244" s="16" t="s">
        <v>994</v>
      </c>
      <c r="I244" s="16">
        <f>IF(OR(Picker!$B$10="Yes",SUMPRODUCT((Picker!$A$5:$A$9&lt;&gt;"")*(Picker!$A$5:$A$9&lt;&gt;"(none)"))=0),1,IF($L244="",0,COUNTIF(Picker!$A$5:$A$9,$L244))+IF($N244="",0,COUNTIF(Picker!$A$5:$A$9,$N244))+IF($P244="",0,COUNTIF(Picker!$A$5:$A$9,$P244)))</f>
      </c>
      <c r="J244" s="16">
        <f>IF($I244=0,"",COUNTIFS($B$2:$B$346,$B244,$I$2:$I$346,"&gt;"&amp;$I244)+COUNTIFS($B$2:$B244,$B244,$I$2:$I244,$I244))</f>
      </c>
      <c r="K244" s="16">
        <f>IF($J244="","",$B244&amp;"#"&amp;$J244)</f>
      </c>
      <c r="L244" s="16" t="s">
        <v>163</v>
      </c>
      <c r="M244" s="16">
        <v>2</v>
      </c>
    </row>
    <row r="245" spans="1:15" x14ac:dyDescent="0.25">
      <c r="A245" s="16" t="s">
        <v>995</v>
      </c>
      <c r="B245" s="16" t="s">
        <v>12</v>
      </c>
      <c r="C245" s="16" t="s">
        <v>353</v>
      </c>
      <c r="D245" s="16">
        <v>197</v>
      </c>
      <c r="E245" s="16">
        <v>1</v>
      </c>
      <c r="F245" s="16">
        <v>10</v>
      </c>
      <c r="G245" s="16" t="s">
        <v>996</v>
      </c>
      <c r="H245" s="16" t="s">
        <v>997</v>
      </c>
      <c r="I245" s="16">
        <f>IF(OR(Picker!$B$10="Yes",SUMPRODUCT((Picker!$A$5:$A$9&lt;&gt;"")*(Picker!$A$5:$A$9&lt;&gt;"(none)"))=0),1,IF($L245="",0,COUNTIF(Picker!$A$5:$A$9,$L245))+IF($N245="",0,COUNTIF(Picker!$A$5:$A$9,$N245))+IF($P245="",0,COUNTIF(Picker!$A$5:$A$9,$P245)))</f>
      </c>
      <c r="J245" s="16">
        <f>IF($I245=0,"",COUNTIFS($B$2:$B$346,$B245,$I$2:$I$346,"&gt;"&amp;$I245)+COUNTIFS($B$2:$B245,$B245,$I$2:$I245,$I245))</f>
      </c>
      <c r="K245" s="16">
        <f>IF($J245="","",$B245&amp;"#"&amp;$J245)</f>
      </c>
      <c r="L245" s="16" t="s">
        <v>119</v>
      </c>
      <c r="M245" s="16">
        <v>1</v>
      </c>
      <c r="N245" s="16" t="s">
        <v>191</v>
      </c>
      <c r="O245" s="16">
        <v>1</v>
      </c>
    </row>
    <row r="246" spans="1:15" x14ac:dyDescent="0.25">
      <c r="A246" s="16" t="s">
        <v>998</v>
      </c>
      <c r="B246" s="16" t="s">
        <v>12</v>
      </c>
      <c r="C246" s="16" t="s">
        <v>357</v>
      </c>
      <c r="D246" s="16">
        <v>197</v>
      </c>
      <c r="E246" s="16">
        <v>1</v>
      </c>
      <c r="F246" s="16">
        <v>10</v>
      </c>
      <c r="G246" s="16" t="s">
        <v>999</v>
      </c>
      <c r="H246" s="16" t="s">
        <v>1000</v>
      </c>
      <c r="I246" s="16">
        <f>IF(OR(Picker!$B$10="Yes",SUMPRODUCT((Picker!$A$5:$A$9&lt;&gt;"")*(Picker!$A$5:$A$9&lt;&gt;"(none)"))=0),1,IF($L246="",0,COUNTIF(Picker!$A$5:$A$9,$L246))+IF($N246="",0,COUNTIF(Picker!$A$5:$A$9,$N246))+IF($P246="",0,COUNTIF(Picker!$A$5:$A$9,$P246)))</f>
      </c>
      <c r="J246" s="16">
        <f>IF($I246=0,"",COUNTIFS($B$2:$B$346,$B246,$I$2:$I$346,"&gt;"&amp;$I246)+COUNTIFS($B$2:$B246,$B246,$I$2:$I246,$I246))</f>
      </c>
      <c r="K246" s="16">
        <f>IF($J246="","",$B246&amp;"#"&amp;$J246)</f>
      </c>
      <c r="L246" s="16" t="s">
        <v>123</v>
      </c>
      <c r="M246" s="16">
        <v>2</v>
      </c>
      <c r="N246" s="16" t="s">
        <v>193</v>
      </c>
      <c r="O246" s="16">
        <v>1</v>
      </c>
    </row>
    <row r="247" spans="1:13" x14ac:dyDescent="0.25">
      <c r="A247" s="16" t="s">
        <v>1001</v>
      </c>
      <c r="B247" s="16" t="s">
        <v>12</v>
      </c>
      <c r="C247" s="16" t="s">
        <v>361</v>
      </c>
      <c r="D247" s="16">
        <v>197</v>
      </c>
      <c r="E247" s="16">
        <v>2</v>
      </c>
      <c r="F247" s="16">
        <v>10</v>
      </c>
      <c r="G247" s="16" t="s">
        <v>1002</v>
      </c>
      <c r="H247" s="16" t="s">
        <v>1003</v>
      </c>
      <c r="I247" s="16">
        <f>IF(OR(Picker!$B$10="Yes",SUMPRODUCT((Picker!$A$5:$A$9&lt;&gt;"")*(Picker!$A$5:$A$9&lt;&gt;"(none)"))=0),1,IF($L247="",0,COUNTIF(Picker!$A$5:$A$9,$L247))+IF($N247="",0,COUNTIF(Picker!$A$5:$A$9,$N247))+IF($P247="",0,COUNTIF(Picker!$A$5:$A$9,$P247)))</f>
      </c>
      <c r="J247" s="16">
        <f>IF($I247=0,"",COUNTIFS($B$2:$B$346,$B247,$I$2:$I$346,"&gt;"&amp;$I247)+COUNTIFS($B$2:$B247,$B247,$I$2:$I247,$I247))</f>
      </c>
      <c r="K247" s="16">
        <f>IF($J247="","",$B247&amp;"#"&amp;$J247)</f>
      </c>
      <c r="L247" s="16" t="s">
        <v>99</v>
      </c>
      <c r="M247" s="16">
        <v>2</v>
      </c>
    </row>
    <row r="248" spans="1:15" x14ac:dyDescent="0.25">
      <c r="A248" s="16" t="s">
        <v>1004</v>
      </c>
      <c r="B248" s="16" t="s">
        <v>12</v>
      </c>
      <c r="C248" s="16" t="s">
        <v>365</v>
      </c>
      <c r="D248" s="16">
        <v>197</v>
      </c>
      <c r="E248" s="16">
        <v>1</v>
      </c>
      <c r="F248" s="16">
        <v>10</v>
      </c>
      <c r="G248" s="16" t="s">
        <v>1005</v>
      </c>
      <c r="H248" s="16" t="s">
        <v>1006</v>
      </c>
      <c r="I248" s="16">
        <f>IF(OR(Picker!$B$10="Yes",SUMPRODUCT((Picker!$A$5:$A$9&lt;&gt;"")*(Picker!$A$5:$A$9&lt;&gt;"(none)"))=0),1,IF($L248="",0,COUNTIF(Picker!$A$5:$A$9,$L248))+IF($N248="",0,COUNTIF(Picker!$A$5:$A$9,$N248))+IF($P248="",0,COUNTIF(Picker!$A$5:$A$9,$P248)))</f>
      </c>
      <c r="J248" s="16">
        <f>IF($I248=0,"",COUNTIFS($B$2:$B$346,$B248,$I$2:$I$346,"&gt;"&amp;$I248)+COUNTIFS($B$2:$B248,$B248,$I$2:$I248,$I248))</f>
      </c>
      <c r="K248" s="16">
        <f>IF($J248="","",$B248&amp;"#"&amp;$J248)</f>
      </c>
      <c r="L248" s="16" t="s">
        <v>104</v>
      </c>
      <c r="M248" s="16">
        <v>1</v>
      </c>
      <c r="N248" s="16" t="s">
        <v>170</v>
      </c>
      <c r="O248" s="16">
        <v>2</v>
      </c>
    </row>
    <row r="249" spans="1:13" x14ac:dyDescent="0.25">
      <c r="A249" s="16" t="s">
        <v>1007</v>
      </c>
      <c r="B249" s="16" t="s">
        <v>12</v>
      </c>
      <c r="C249" s="16" t="s">
        <v>369</v>
      </c>
      <c r="D249" s="16">
        <v>197</v>
      </c>
      <c r="E249" s="16">
        <v>1</v>
      </c>
      <c r="F249" s="16">
        <v>10</v>
      </c>
      <c r="G249" s="16" t="s">
        <v>695</v>
      </c>
      <c r="H249" s="16" t="s">
        <v>1008</v>
      </c>
      <c r="I249" s="16">
        <f>IF(OR(Picker!$B$10="Yes",SUMPRODUCT((Picker!$A$5:$A$9&lt;&gt;"")*(Picker!$A$5:$A$9&lt;&gt;"(none)"))=0),1,IF($L249="",0,COUNTIF(Picker!$A$5:$A$9,$L249))+IF($N249="",0,COUNTIF(Picker!$A$5:$A$9,$N249))+IF($P249="",0,COUNTIF(Picker!$A$5:$A$9,$P249)))</f>
      </c>
      <c r="J249" s="16">
        <f>IF($I249=0,"",COUNTIFS($B$2:$B$346,$B249,$I$2:$I$346,"&gt;"&amp;$I249)+COUNTIFS($B$2:$B249,$B249,$I$2:$I249,$I249))</f>
      </c>
      <c r="K249" s="16">
        <f>IF($J249="","",$B249&amp;"#"&amp;$J249)</f>
      </c>
      <c r="L249" s="16" t="s">
        <v>119</v>
      </c>
      <c r="M249" s="16">
        <v>3</v>
      </c>
    </row>
    <row r="250" spans="1:15" x14ac:dyDescent="0.25">
      <c r="A250" s="16" t="s">
        <v>1009</v>
      </c>
      <c r="B250" s="16" t="s">
        <v>12</v>
      </c>
      <c r="C250" s="16" t="s">
        <v>373</v>
      </c>
      <c r="D250" s="16">
        <v>197</v>
      </c>
      <c r="E250" s="16">
        <v>1</v>
      </c>
      <c r="F250" s="16">
        <v>10</v>
      </c>
      <c r="G250" s="16" t="s">
        <v>1010</v>
      </c>
      <c r="H250" s="16" t="s">
        <v>1011</v>
      </c>
      <c r="I250" s="16">
        <f>IF(OR(Picker!$B$10="Yes",SUMPRODUCT((Picker!$A$5:$A$9&lt;&gt;"")*(Picker!$A$5:$A$9&lt;&gt;"(none)"))=0),1,IF($L250="",0,COUNTIF(Picker!$A$5:$A$9,$L250))+IF($N250="",0,COUNTIF(Picker!$A$5:$A$9,$N250))+IF($P250="",0,COUNTIF(Picker!$A$5:$A$9,$P250)))</f>
      </c>
      <c r="J250" s="16">
        <f>IF($I250=0,"",COUNTIFS($B$2:$B$346,$B250,$I$2:$I$346,"&gt;"&amp;$I250)+COUNTIFS($B$2:$B250,$B250,$I$2:$I250,$I250))</f>
      </c>
      <c r="K250" s="16">
        <f>IF($J250="","",$B250&amp;"#"&amp;$J250)</f>
      </c>
      <c r="L250" s="16" t="s">
        <v>107</v>
      </c>
      <c r="M250" s="16">
        <v>2</v>
      </c>
      <c r="N250" s="16" t="s">
        <v>131</v>
      </c>
      <c r="O250" s="16">
        <v>1</v>
      </c>
    </row>
    <row r="251" spans="1:15" x14ac:dyDescent="0.25">
      <c r="A251" s="16" t="s">
        <v>1012</v>
      </c>
      <c r="B251" s="16" t="s">
        <v>12</v>
      </c>
      <c r="C251" s="16" t="s">
        <v>377</v>
      </c>
      <c r="D251" s="16">
        <v>197</v>
      </c>
      <c r="E251" s="16">
        <v>1</v>
      </c>
      <c r="F251" s="16">
        <v>10</v>
      </c>
      <c r="G251" s="16" t="s">
        <v>1013</v>
      </c>
      <c r="H251" s="16" t="s">
        <v>1014</v>
      </c>
      <c r="I251" s="16">
        <f>IF(OR(Picker!$B$10="Yes",SUMPRODUCT((Picker!$A$5:$A$9&lt;&gt;"")*(Picker!$A$5:$A$9&lt;&gt;"(none)"))=0),1,IF($L251="",0,COUNTIF(Picker!$A$5:$A$9,$L251))+IF($N251="",0,COUNTIF(Picker!$A$5:$A$9,$N251))+IF($P251="",0,COUNTIF(Picker!$A$5:$A$9,$P251)))</f>
      </c>
      <c r="J251" s="16">
        <f>IF($I251=0,"",COUNTIFS($B$2:$B$346,$B251,$I$2:$I$346,"&gt;"&amp;$I251)+COUNTIFS($B$2:$B251,$B251,$I$2:$I251,$I251))</f>
      </c>
      <c r="K251" s="16">
        <f>IF($J251="","",$B251&amp;"#"&amp;$J251)</f>
      </c>
      <c r="L251" s="16" t="s">
        <v>148</v>
      </c>
      <c r="M251" s="16">
        <v>2</v>
      </c>
      <c r="N251" s="16" t="s">
        <v>85</v>
      </c>
      <c r="O251" s="16">
        <v>1</v>
      </c>
    </row>
    <row r="252" spans="1:13" x14ac:dyDescent="0.25">
      <c r="A252" s="16" t="s">
        <v>1015</v>
      </c>
      <c r="B252" s="16" t="s">
        <v>12</v>
      </c>
      <c r="C252" s="16" t="s">
        <v>381</v>
      </c>
      <c r="D252" s="16">
        <v>197</v>
      </c>
      <c r="E252" s="16">
        <v>1</v>
      </c>
      <c r="F252" s="16">
        <v>10</v>
      </c>
      <c r="G252" s="16" t="s">
        <v>1016</v>
      </c>
      <c r="H252" s="16" t="s">
        <v>1017</v>
      </c>
      <c r="I252" s="16">
        <f>IF(OR(Picker!$B$10="Yes",SUMPRODUCT((Picker!$A$5:$A$9&lt;&gt;"")*(Picker!$A$5:$A$9&lt;&gt;"(none)"))=0),1,IF($L252="",0,COUNTIF(Picker!$A$5:$A$9,$L252))+IF($N252="",0,COUNTIF(Picker!$A$5:$A$9,$N252))+IF($P252="",0,COUNTIF(Picker!$A$5:$A$9,$P252)))</f>
      </c>
      <c r="J252" s="16">
        <f>IF($I252=0,"",COUNTIFS($B$2:$B$346,$B252,$I$2:$I$346,"&gt;"&amp;$I252)+COUNTIFS($B$2:$B252,$B252,$I$2:$I252,$I252))</f>
      </c>
      <c r="K252" s="16">
        <f>IF($J252="","",$B252&amp;"#"&amp;$J252)</f>
      </c>
      <c r="L252" s="16" t="s">
        <v>106</v>
      </c>
      <c r="M252" s="16">
        <v>2</v>
      </c>
    </row>
    <row r="253" spans="1:15" x14ac:dyDescent="0.25">
      <c r="A253" s="16" t="s">
        <v>1018</v>
      </c>
      <c r="B253" s="16" t="s">
        <v>12</v>
      </c>
      <c r="C253" s="16" t="s">
        <v>385</v>
      </c>
      <c r="D253" s="16">
        <v>197</v>
      </c>
      <c r="E253" s="16">
        <v>1</v>
      </c>
      <c r="F253" s="16">
        <v>10</v>
      </c>
      <c r="G253" s="16" t="s">
        <v>1019</v>
      </c>
      <c r="H253" s="16" t="s">
        <v>1020</v>
      </c>
      <c r="I253" s="16">
        <f>IF(OR(Picker!$B$10="Yes",SUMPRODUCT((Picker!$A$5:$A$9&lt;&gt;"")*(Picker!$A$5:$A$9&lt;&gt;"(none)"))=0),1,IF($L253="",0,COUNTIF(Picker!$A$5:$A$9,$L253))+IF($N253="",0,COUNTIF(Picker!$A$5:$A$9,$N253))+IF($P253="",0,COUNTIF(Picker!$A$5:$A$9,$P253)))</f>
      </c>
      <c r="J253" s="16">
        <f>IF($I253=0,"",COUNTIFS($B$2:$B$346,$B253,$I$2:$I$346,"&gt;"&amp;$I253)+COUNTIFS($B$2:$B253,$B253,$I$2:$I253,$I253))</f>
      </c>
      <c r="K253" s="16">
        <f>IF($J253="","",$B253&amp;"#"&amp;$J253)</f>
      </c>
      <c r="L253" s="16" t="s">
        <v>145</v>
      </c>
      <c r="M253" s="16">
        <v>1</v>
      </c>
      <c r="N253" s="16" t="s">
        <v>105</v>
      </c>
      <c r="O253" s="16">
        <v>2</v>
      </c>
    </row>
    <row r="254" spans="1:17" x14ac:dyDescent="0.25">
      <c r="A254" s="16" t="s">
        <v>1021</v>
      </c>
      <c r="B254" s="16" t="s">
        <v>12</v>
      </c>
      <c r="C254" s="16" t="s">
        <v>389</v>
      </c>
      <c r="D254" s="16">
        <v>197</v>
      </c>
      <c r="E254" s="16">
        <v>1</v>
      </c>
      <c r="F254" s="16">
        <v>10</v>
      </c>
      <c r="G254" s="16" t="s">
        <v>1022</v>
      </c>
      <c r="H254" s="16" t="s">
        <v>1023</v>
      </c>
      <c r="I254" s="16">
        <f>IF(OR(Picker!$B$10="Yes",SUMPRODUCT((Picker!$A$5:$A$9&lt;&gt;"")*(Picker!$A$5:$A$9&lt;&gt;"(none)"))=0),1,IF($L254="",0,COUNTIF(Picker!$A$5:$A$9,$L254))+IF($N254="",0,COUNTIF(Picker!$A$5:$A$9,$N254))+IF($P254="",0,COUNTIF(Picker!$A$5:$A$9,$P254)))</f>
      </c>
      <c r="J254" s="16">
        <f>IF($I254=0,"",COUNTIFS($B$2:$B$346,$B254,$I$2:$I$346,"&gt;"&amp;$I254)+COUNTIFS($B$2:$B254,$B254,$I$2:$I254,$I254))</f>
      </c>
      <c r="K254" s="16">
        <f>IF($J254="","",$B254&amp;"#"&amp;$J254)</f>
      </c>
      <c r="L254" s="16" t="s">
        <v>72</v>
      </c>
      <c r="M254" s="16">
        <v>2</v>
      </c>
      <c r="N254" s="16" t="s">
        <v>144</v>
      </c>
      <c r="O254" s="16">
        <v>1</v>
      </c>
      <c r="P254" s="16" t="s">
        <v>136</v>
      </c>
      <c r="Q254" s="16">
        <v>1</v>
      </c>
    </row>
    <row r="255" spans="1:15" x14ac:dyDescent="0.25">
      <c r="A255" s="16" t="s">
        <v>1024</v>
      </c>
      <c r="B255" s="16" t="s">
        <v>12</v>
      </c>
      <c r="C255" s="16" t="s">
        <v>393</v>
      </c>
      <c r="D255" s="16">
        <v>197</v>
      </c>
      <c r="E255" s="16">
        <v>1</v>
      </c>
      <c r="F255" s="16">
        <v>10</v>
      </c>
      <c r="G255" s="16" t="s">
        <v>1025</v>
      </c>
      <c r="H255" s="16" t="s">
        <v>1026</v>
      </c>
      <c r="I255" s="16">
        <f>IF(OR(Picker!$B$10="Yes",SUMPRODUCT((Picker!$A$5:$A$9&lt;&gt;"")*(Picker!$A$5:$A$9&lt;&gt;"(none)"))=0),1,IF($L255="",0,COUNTIF(Picker!$A$5:$A$9,$L255))+IF($N255="",0,COUNTIF(Picker!$A$5:$A$9,$N255))+IF($P255="",0,COUNTIF(Picker!$A$5:$A$9,$P255)))</f>
      </c>
      <c r="J255" s="16">
        <f>IF($I255=0,"",COUNTIFS($B$2:$B$346,$B255,$I$2:$I$346,"&gt;"&amp;$I255)+COUNTIFS($B$2:$B255,$B255,$I$2:$I255,$I255))</f>
      </c>
      <c r="K255" s="16">
        <f>IF($J255="","",$B255&amp;"#"&amp;$J255)</f>
      </c>
      <c r="L255" s="16" t="s">
        <v>92</v>
      </c>
      <c r="M255" s="16">
        <v>1</v>
      </c>
      <c r="N255" s="16" t="s">
        <v>106</v>
      </c>
      <c r="O255" s="16">
        <v>1</v>
      </c>
    </row>
    <row r="256" spans="1:13" x14ac:dyDescent="0.25">
      <c r="A256" s="16" t="s">
        <v>1027</v>
      </c>
      <c r="B256" s="16" t="s">
        <v>12</v>
      </c>
      <c r="C256" s="16" t="s">
        <v>397</v>
      </c>
      <c r="D256" s="16">
        <v>197</v>
      </c>
      <c r="E256" s="16">
        <v>1</v>
      </c>
      <c r="F256" s="16">
        <v>10</v>
      </c>
      <c r="G256" s="16" t="s">
        <v>644</v>
      </c>
      <c r="H256" s="16" t="s">
        <v>1028</v>
      </c>
      <c r="I256" s="16">
        <f>IF(OR(Picker!$B$10="Yes",SUMPRODUCT((Picker!$A$5:$A$9&lt;&gt;"")*(Picker!$A$5:$A$9&lt;&gt;"(none)"))=0),1,IF($L256="",0,COUNTIF(Picker!$A$5:$A$9,$L256))+IF($N256="",0,COUNTIF(Picker!$A$5:$A$9,$N256))+IF($P256="",0,COUNTIF(Picker!$A$5:$A$9,$P256)))</f>
      </c>
      <c r="J256" s="16">
        <f>IF($I256=0,"",COUNTIFS($B$2:$B$346,$B256,$I$2:$I$346,"&gt;"&amp;$I256)+COUNTIFS($B$2:$B256,$B256,$I$2:$I256,$I256))</f>
      </c>
      <c r="K256" s="16">
        <f>IF($J256="","",$B256&amp;"#"&amp;$J256)</f>
      </c>
      <c r="L256" s="16" t="s">
        <v>147</v>
      </c>
      <c r="M256" s="16">
        <v>2</v>
      </c>
    </row>
    <row r="257" spans="1:15" x14ac:dyDescent="0.25">
      <c r="A257" s="16" t="s">
        <v>1029</v>
      </c>
      <c r="B257" s="16" t="s">
        <v>12</v>
      </c>
      <c r="C257" s="16" t="s">
        <v>401</v>
      </c>
      <c r="D257" s="16">
        <v>197</v>
      </c>
      <c r="E257" s="16">
        <v>1</v>
      </c>
      <c r="F257" s="16">
        <v>10</v>
      </c>
      <c r="G257" s="16" t="s">
        <v>1030</v>
      </c>
      <c r="H257" s="16" t="s">
        <v>1031</v>
      </c>
      <c r="I257" s="16">
        <f>IF(OR(Picker!$B$10="Yes",SUMPRODUCT((Picker!$A$5:$A$9&lt;&gt;"")*(Picker!$A$5:$A$9&lt;&gt;"(none)"))=0),1,IF($L257="",0,COUNTIF(Picker!$A$5:$A$9,$L257))+IF($N257="",0,COUNTIF(Picker!$A$5:$A$9,$N257))+IF($P257="",0,COUNTIF(Picker!$A$5:$A$9,$P257)))</f>
      </c>
      <c r="J257" s="16">
        <f>IF($I257=0,"",COUNTIFS($B$2:$B$346,$B257,$I$2:$I$346,"&gt;"&amp;$I257)+COUNTIFS($B$2:$B257,$B257,$I$2:$I257,$I257))</f>
      </c>
      <c r="K257" s="16">
        <f>IF($J257="","",$B257&amp;"#"&amp;$J257)</f>
      </c>
      <c r="L257" s="16" t="s">
        <v>155</v>
      </c>
      <c r="M257" s="16">
        <v>1</v>
      </c>
      <c r="N257" s="16" t="s">
        <v>157</v>
      </c>
      <c r="O257" s="16">
        <v>1</v>
      </c>
    </row>
    <row r="258" spans="1:15" x14ac:dyDescent="0.25">
      <c r="A258" s="16" t="s">
        <v>1032</v>
      </c>
      <c r="B258" s="16" t="s">
        <v>12</v>
      </c>
      <c r="C258" s="16" t="s">
        <v>405</v>
      </c>
      <c r="D258" s="16">
        <v>197</v>
      </c>
      <c r="E258" s="16">
        <v>1</v>
      </c>
      <c r="F258" s="16">
        <v>10</v>
      </c>
      <c r="G258" s="16" t="s">
        <v>1033</v>
      </c>
      <c r="H258" s="16" t="s">
        <v>1034</v>
      </c>
      <c r="I258" s="16">
        <f>IF(OR(Picker!$B$10="Yes",SUMPRODUCT((Picker!$A$5:$A$9&lt;&gt;"")*(Picker!$A$5:$A$9&lt;&gt;"(none)"))=0),1,IF($L258="",0,COUNTIF(Picker!$A$5:$A$9,$L258))+IF($N258="",0,COUNTIF(Picker!$A$5:$A$9,$N258))+IF($P258="",0,COUNTIF(Picker!$A$5:$A$9,$P258)))</f>
      </c>
      <c r="J258" s="16">
        <f>IF($I258=0,"",COUNTIFS($B$2:$B$346,$B258,$I$2:$I$346,"&gt;"&amp;$I258)+COUNTIFS($B$2:$B258,$B258,$I$2:$I258,$I258))</f>
      </c>
      <c r="K258" s="16">
        <f>IF($J258="","",$B258&amp;"#"&amp;$J258)</f>
      </c>
      <c r="L258" s="16" t="s">
        <v>89</v>
      </c>
      <c r="M258" s="16">
        <v>1</v>
      </c>
      <c r="N258" s="16" t="s">
        <v>96</v>
      </c>
      <c r="O258" s="16">
        <v>2</v>
      </c>
    </row>
    <row r="259" spans="1:13" x14ac:dyDescent="0.25">
      <c r="A259" s="16" t="s">
        <v>1035</v>
      </c>
      <c r="B259" s="16" t="s">
        <v>12</v>
      </c>
      <c r="C259" s="16" t="s">
        <v>409</v>
      </c>
      <c r="D259" s="16">
        <v>197</v>
      </c>
      <c r="E259" s="16">
        <v>1</v>
      </c>
      <c r="F259" s="16">
        <v>10</v>
      </c>
      <c r="G259" s="16" t="s">
        <v>888</v>
      </c>
      <c r="H259" s="16" t="s">
        <v>1036</v>
      </c>
      <c r="I259" s="16">
        <f>IF(OR(Picker!$B$10="Yes",SUMPRODUCT((Picker!$A$5:$A$9&lt;&gt;"")*(Picker!$A$5:$A$9&lt;&gt;"(none)"))=0),1,IF($L259="",0,COUNTIF(Picker!$A$5:$A$9,$L259))+IF($N259="",0,COUNTIF(Picker!$A$5:$A$9,$N259))+IF($P259="",0,COUNTIF(Picker!$A$5:$A$9,$P259)))</f>
      </c>
      <c r="J259" s="16">
        <f>IF($I259=0,"",COUNTIFS($B$2:$B$346,$B259,$I$2:$I$346,"&gt;"&amp;$I259)+COUNTIFS($B$2:$B259,$B259,$I$2:$I259,$I259))</f>
      </c>
      <c r="K259" s="16">
        <f>IF($J259="","",$B259&amp;"#"&amp;$J259)</f>
      </c>
      <c r="L259" s="16" t="s">
        <v>92</v>
      </c>
      <c r="M259" s="16">
        <v>2</v>
      </c>
    </row>
    <row r="260" spans="1:15" x14ac:dyDescent="0.25">
      <c r="A260" s="16" t="s">
        <v>1037</v>
      </c>
      <c r="B260" s="16" t="s">
        <v>12</v>
      </c>
      <c r="C260" s="16" t="s">
        <v>413</v>
      </c>
      <c r="D260" s="16">
        <v>197</v>
      </c>
      <c r="E260" s="16">
        <v>1</v>
      </c>
      <c r="F260" s="16">
        <v>10</v>
      </c>
      <c r="G260" s="16" t="s">
        <v>1038</v>
      </c>
      <c r="H260" s="16" t="s">
        <v>1039</v>
      </c>
      <c r="I260" s="16">
        <f>IF(OR(Picker!$B$10="Yes",SUMPRODUCT((Picker!$A$5:$A$9&lt;&gt;"")*(Picker!$A$5:$A$9&lt;&gt;"(none)"))=0),1,IF($L260="",0,COUNTIF(Picker!$A$5:$A$9,$L260))+IF($N260="",0,COUNTIF(Picker!$A$5:$A$9,$N260))+IF($P260="",0,COUNTIF(Picker!$A$5:$A$9,$P260)))</f>
      </c>
      <c r="J260" s="16">
        <f>IF($I260=0,"",COUNTIFS($B$2:$B$346,$B260,$I$2:$I$346,"&gt;"&amp;$I260)+COUNTIFS($B$2:$B260,$B260,$I$2:$I260,$I260))</f>
      </c>
      <c r="K260" s="16">
        <f>IF($J260="","",$B260&amp;"#"&amp;$J260)</f>
      </c>
      <c r="L260" s="16" t="s">
        <v>90</v>
      </c>
      <c r="M260" s="16">
        <v>1</v>
      </c>
      <c r="N260" s="16" t="s">
        <v>172</v>
      </c>
      <c r="O260" s="16">
        <v>1</v>
      </c>
    </row>
    <row r="261" spans="1:15" x14ac:dyDescent="0.25">
      <c r="A261" s="16" t="s">
        <v>1040</v>
      </c>
      <c r="B261" s="16" t="s">
        <v>12</v>
      </c>
      <c r="C261" s="16" t="s">
        <v>417</v>
      </c>
      <c r="D261" s="16">
        <v>197</v>
      </c>
      <c r="E261" s="16">
        <v>1</v>
      </c>
      <c r="F261" s="16">
        <v>10</v>
      </c>
      <c r="G261" s="16" t="s">
        <v>1041</v>
      </c>
      <c r="H261" s="16" t="s">
        <v>1042</v>
      </c>
      <c r="I261" s="16">
        <f>IF(OR(Picker!$B$10="Yes",SUMPRODUCT((Picker!$A$5:$A$9&lt;&gt;"")*(Picker!$A$5:$A$9&lt;&gt;"(none)"))=0),1,IF($L261="",0,COUNTIF(Picker!$A$5:$A$9,$L261))+IF($N261="",0,COUNTIF(Picker!$A$5:$A$9,$N261))+IF($P261="",0,COUNTIF(Picker!$A$5:$A$9,$P261)))</f>
      </c>
      <c r="J261" s="16">
        <f>IF($I261=0,"",COUNTIFS($B$2:$B$346,$B261,$I$2:$I$346,"&gt;"&amp;$I261)+COUNTIFS($B$2:$B261,$B261,$I$2:$I261,$I261))</f>
      </c>
      <c r="K261" s="16">
        <f>IF($J261="","",$B261&amp;"#"&amp;$J261)</f>
      </c>
      <c r="L261" s="16" t="s">
        <v>109</v>
      </c>
      <c r="M261" s="16">
        <v>1</v>
      </c>
      <c r="N261" s="16" t="s">
        <v>112</v>
      </c>
      <c r="O261" s="16">
        <v>2</v>
      </c>
    </row>
    <row r="262" spans="1:15" x14ac:dyDescent="0.25">
      <c r="A262" s="16" t="s">
        <v>1043</v>
      </c>
      <c r="B262" s="16" t="s">
        <v>12</v>
      </c>
      <c r="C262" s="16" t="s">
        <v>421</v>
      </c>
      <c r="D262" s="16">
        <v>197</v>
      </c>
      <c r="E262" s="16">
        <v>1</v>
      </c>
      <c r="F262" s="16">
        <v>10</v>
      </c>
      <c r="G262" s="16" t="s">
        <v>1044</v>
      </c>
      <c r="H262" s="16" t="s">
        <v>1045</v>
      </c>
      <c r="I262" s="16">
        <f>IF(OR(Picker!$B$10="Yes",SUMPRODUCT((Picker!$A$5:$A$9&lt;&gt;"")*(Picker!$A$5:$A$9&lt;&gt;"(none)"))=0),1,IF($L262="",0,COUNTIF(Picker!$A$5:$A$9,$L262))+IF($N262="",0,COUNTIF(Picker!$A$5:$A$9,$N262))+IF($P262="",0,COUNTIF(Picker!$A$5:$A$9,$P262)))</f>
      </c>
      <c r="J262" s="16">
        <f>IF($I262=0,"",COUNTIFS($B$2:$B$346,$B262,$I$2:$I$346,"&gt;"&amp;$I262)+COUNTIFS($B$2:$B262,$B262,$I$2:$I262,$I262))</f>
      </c>
      <c r="K262" s="16">
        <f>IF($J262="","",$B262&amp;"#"&amp;$J262)</f>
      </c>
      <c r="L262" s="16" t="s">
        <v>149</v>
      </c>
      <c r="M262" s="16">
        <v>3</v>
      </c>
      <c r="N262" s="16" t="s">
        <v>84</v>
      </c>
      <c r="O262" s="16">
        <v>1</v>
      </c>
    </row>
    <row r="263" spans="1:17" x14ac:dyDescent="0.25">
      <c r="A263" s="16" t="s">
        <v>1046</v>
      </c>
      <c r="B263" s="16" t="s">
        <v>12</v>
      </c>
      <c r="C263" s="16" t="s">
        <v>425</v>
      </c>
      <c r="D263" s="16">
        <v>197</v>
      </c>
      <c r="E263" s="16">
        <v>1</v>
      </c>
      <c r="F263" s="16">
        <v>10</v>
      </c>
      <c r="G263" s="16" t="s">
        <v>1047</v>
      </c>
      <c r="H263" s="16" t="s">
        <v>1048</v>
      </c>
      <c r="I263" s="16">
        <f>IF(OR(Picker!$B$10="Yes",SUMPRODUCT((Picker!$A$5:$A$9&lt;&gt;"")*(Picker!$A$5:$A$9&lt;&gt;"(none)"))=0),1,IF($L263="",0,COUNTIF(Picker!$A$5:$A$9,$L263))+IF($N263="",0,COUNTIF(Picker!$A$5:$A$9,$N263))+IF($P263="",0,COUNTIF(Picker!$A$5:$A$9,$P263)))</f>
      </c>
      <c r="J263" s="16">
        <f>IF($I263=0,"",COUNTIFS($B$2:$B$346,$B263,$I$2:$I$346,"&gt;"&amp;$I263)+COUNTIFS($B$2:$B263,$B263,$I$2:$I263,$I263))</f>
      </c>
      <c r="K263" s="16">
        <f>IF($J263="","",$B263&amp;"#"&amp;$J263)</f>
      </c>
      <c r="L263" s="16" t="s">
        <v>137</v>
      </c>
      <c r="M263" s="16">
        <v>1</v>
      </c>
      <c r="N263" s="16" t="s">
        <v>74</v>
      </c>
      <c r="O263" s="16">
        <v>1</v>
      </c>
      <c r="P263" s="16" t="s">
        <v>73</v>
      </c>
      <c r="Q263" s="16">
        <v>1</v>
      </c>
    </row>
    <row r="264" spans="1:15" x14ac:dyDescent="0.25">
      <c r="A264" s="16" t="s">
        <v>1049</v>
      </c>
      <c r="B264" s="16" t="s">
        <v>12</v>
      </c>
      <c r="C264" s="16" t="s">
        <v>429</v>
      </c>
      <c r="D264" s="16">
        <v>197</v>
      </c>
      <c r="E264" s="16">
        <v>1</v>
      </c>
      <c r="F264" s="16">
        <v>10</v>
      </c>
      <c r="G264" s="16" t="s">
        <v>1050</v>
      </c>
      <c r="H264" s="16" t="s">
        <v>1051</v>
      </c>
      <c r="I264" s="16">
        <f>IF(OR(Picker!$B$10="Yes",SUMPRODUCT((Picker!$A$5:$A$9&lt;&gt;"")*(Picker!$A$5:$A$9&lt;&gt;"(none)"))=0),1,IF($L264="",0,COUNTIF(Picker!$A$5:$A$9,$L264))+IF($N264="",0,COUNTIF(Picker!$A$5:$A$9,$N264))+IF($P264="",0,COUNTIF(Picker!$A$5:$A$9,$P264)))</f>
      </c>
      <c r="J264" s="16">
        <f>IF($I264=0,"",COUNTIFS($B$2:$B$346,$B264,$I$2:$I$346,"&gt;"&amp;$I264)+COUNTIFS($B$2:$B264,$B264,$I$2:$I264,$I264))</f>
      </c>
      <c r="K264" s="16">
        <f>IF($J264="","",$B264&amp;"#"&amp;$J264)</f>
      </c>
      <c r="L264" s="16" t="s">
        <v>72</v>
      </c>
      <c r="M264" s="16">
        <v>2</v>
      </c>
      <c r="N264" s="16" t="s">
        <v>59</v>
      </c>
      <c r="O264" s="16">
        <v>1</v>
      </c>
    </row>
    <row r="265" spans="1:17" x14ac:dyDescent="0.25">
      <c r="A265" s="16" t="s">
        <v>1052</v>
      </c>
      <c r="B265" s="16" t="s">
        <v>12</v>
      </c>
      <c r="C265" s="16" t="s">
        <v>433</v>
      </c>
      <c r="D265" s="16">
        <v>197</v>
      </c>
      <c r="E265" s="16">
        <v>1</v>
      </c>
      <c r="F265" s="16">
        <v>10</v>
      </c>
      <c r="G265" s="16" t="s">
        <v>1053</v>
      </c>
      <c r="H265" s="16" t="s">
        <v>1054</v>
      </c>
      <c r="I265" s="16">
        <f>IF(OR(Picker!$B$10="Yes",SUMPRODUCT((Picker!$A$5:$A$9&lt;&gt;"")*(Picker!$A$5:$A$9&lt;&gt;"(none)"))=0),1,IF($L265="",0,COUNTIF(Picker!$A$5:$A$9,$L265))+IF($N265="",0,COUNTIF(Picker!$A$5:$A$9,$N265))+IF($P265="",0,COUNTIF(Picker!$A$5:$A$9,$P265)))</f>
      </c>
      <c r="J265" s="16">
        <f>IF($I265=0,"",COUNTIFS($B$2:$B$346,$B265,$I$2:$I$346,"&gt;"&amp;$I265)+COUNTIFS($B$2:$B265,$B265,$I$2:$I265,$I265))</f>
      </c>
      <c r="K265" s="16">
        <f>IF($J265="","",$B265&amp;"#"&amp;$J265)</f>
      </c>
      <c r="L265" s="16" t="s">
        <v>187</v>
      </c>
      <c r="M265" s="16">
        <v>1</v>
      </c>
      <c r="N265" s="16" t="s">
        <v>132</v>
      </c>
      <c r="O265" s="16">
        <v>1</v>
      </c>
      <c r="P265" s="16" t="s">
        <v>184</v>
      </c>
      <c r="Q265" s="16">
        <v>1</v>
      </c>
    </row>
    <row r="266" spans="1:13" x14ac:dyDescent="0.25">
      <c r="A266" s="16" t="s">
        <v>1055</v>
      </c>
      <c r="B266" s="16" t="s">
        <v>12</v>
      </c>
      <c r="C266" s="16" t="s">
        <v>437</v>
      </c>
      <c r="D266" s="16">
        <v>197</v>
      </c>
      <c r="E266" s="16">
        <v>2</v>
      </c>
      <c r="F266" s="16">
        <v>10</v>
      </c>
      <c r="G266" s="16" t="s">
        <v>1056</v>
      </c>
      <c r="H266" s="16" t="s">
        <v>1057</v>
      </c>
      <c r="I266" s="16">
        <f>IF(OR(Picker!$B$10="Yes",SUMPRODUCT((Picker!$A$5:$A$9&lt;&gt;"")*(Picker!$A$5:$A$9&lt;&gt;"(none)"))=0),1,IF($L266="",0,COUNTIF(Picker!$A$5:$A$9,$L266))+IF($N266="",0,COUNTIF(Picker!$A$5:$A$9,$N266))+IF($P266="",0,COUNTIF(Picker!$A$5:$A$9,$P266)))</f>
      </c>
      <c r="J266" s="16">
        <f>IF($I266=0,"",COUNTIFS($B$2:$B$346,$B266,$I$2:$I$346,"&gt;"&amp;$I266)+COUNTIFS($B$2:$B266,$B266,$I$2:$I266,$I266))</f>
      </c>
      <c r="K266" s="16">
        <f>IF($J266="","",$B266&amp;"#"&amp;$J266)</f>
      </c>
      <c r="L266" s="16" t="s">
        <v>193</v>
      </c>
      <c r="M266" s="16">
        <v>2</v>
      </c>
    </row>
    <row r="267" spans="1:15" x14ac:dyDescent="0.25">
      <c r="A267" s="16" t="s">
        <v>1058</v>
      </c>
      <c r="B267" s="16" t="s">
        <v>12</v>
      </c>
      <c r="C267" s="16" t="s">
        <v>441</v>
      </c>
      <c r="D267" s="16">
        <v>197</v>
      </c>
      <c r="E267" s="16">
        <v>2</v>
      </c>
      <c r="F267" s="16">
        <v>10</v>
      </c>
      <c r="G267" s="16" t="s">
        <v>1059</v>
      </c>
      <c r="H267" s="16" t="s">
        <v>1060</v>
      </c>
      <c r="I267" s="16">
        <f>IF(OR(Picker!$B$10="Yes",SUMPRODUCT((Picker!$A$5:$A$9&lt;&gt;"")*(Picker!$A$5:$A$9&lt;&gt;"(none)"))=0),1,IF($L267="",0,COUNTIF(Picker!$A$5:$A$9,$L267))+IF($N267="",0,COUNTIF(Picker!$A$5:$A$9,$N267))+IF($P267="",0,COUNTIF(Picker!$A$5:$A$9,$P267)))</f>
      </c>
      <c r="J267" s="16">
        <f>IF($I267=0,"",COUNTIFS($B$2:$B$346,$B267,$I$2:$I$346,"&gt;"&amp;$I267)+COUNTIFS($B$2:$B267,$B267,$I$2:$I267,$I267))</f>
      </c>
      <c r="K267" s="16">
        <f>IF($J267="","",$B267&amp;"#"&amp;$J267)</f>
      </c>
      <c r="L267" s="16" t="s">
        <v>76</v>
      </c>
      <c r="M267" s="16">
        <v>1</v>
      </c>
      <c r="N267" s="16" t="s">
        <v>120</v>
      </c>
      <c r="O267" s="16">
        <v>1</v>
      </c>
    </row>
    <row r="268" spans="1:15" x14ac:dyDescent="0.25">
      <c r="A268" s="16" t="s">
        <v>1061</v>
      </c>
      <c r="B268" s="16" t="s">
        <v>12</v>
      </c>
      <c r="C268" s="16" t="s">
        <v>445</v>
      </c>
      <c r="D268" s="16">
        <v>197</v>
      </c>
      <c r="E268" s="16">
        <v>1</v>
      </c>
      <c r="F268" s="16">
        <v>10</v>
      </c>
      <c r="G268" s="16" t="s">
        <v>1062</v>
      </c>
      <c r="H268" s="16" t="s">
        <v>1063</v>
      </c>
      <c r="I268" s="16">
        <f>IF(OR(Picker!$B$10="Yes",SUMPRODUCT((Picker!$A$5:$A$9&lt;&gt;"")*(Picker!$A$5:$A$9&lt;&gt;"(none)"))=0),1,IF($L268="",0,COUNTIF(Picker!$A$5:$A$9,$L268))+IF($N268="",0,COUNTIF(Picker!$A$5:$A$9,$N268))+IF($P268="",0,COUNTIF(Picker!$A$5:$A$9,$P268)))</f>
      </c>
      <c r="J268" s="16">
        <f>IF($I268=0,"",COUNTIFS($B$2:$B$346,$B268,$I$2:$I$346,"&gt;"&amp;$I268)+COUNTIFS($B$2:$B268,$B268,$I$2:$I268,$I268))</f>
      </c>
      <c r="K268" s="16">
        <f>IF($J268="","",$B268&amp;"#"&amp;$J268)</f>
      </c>
      <c r="L268" s="16" t="s">
        <v>166</v>
      </c>
      <c r="M268" s="16">
        <v>1</v>
      </c>
      <c r="N268" s="16" t="s">
        <v>162</v>
      </c>
      <c r="O268" s="16">
        <v>1</v>
      </c>
    </row>
    <row r="269" spans="1:15" x14ac:dyDescent="0.25">
      <c r="A269" s="16" t="s">
        <v>1064</v>
      </c>
      <c r="B269" s="16" t="s">
        <v>12</v>
      </c>
      <c r="C269" s="16" t="s">
        <v>449</v>
      </c>
      <c r="D269" s="16">
        <v>197</v>
      </c>
      <c r="E269" s="16">
        <v>1</v>
      </c>
      <c r="F269" s="16">
        <v>10</v>
      </c>
      <c r="G269" s="16" t="s">
        <v>1065</v>
      </c>
      <c r="H269" s="16" t="s">
        <v>1066</v>
      </c>
      <c r="I269" s="16">
        <f>IF(OR(Picker!$B$10="Yes",SUMPRODUCT((Picker!$A$5:$A$9&lt;&gt;"")*(Picker!$A$5:$A$9&lt;&gt;"(none)"))=0),1,IF($L269="",0,COUNTIF(Picker!$A$5:$A$9,$L269))+IF($N269="",0,COUNTIF(Picker!$A$5:$A$9,$N269))+IF($P269="",0,COUNTIF(Picker!$A$5:$A$9,$P269)))</f>
      </c>
      <c r="J269" s="16">
        <f>IF($I269=0,"",COUNTIFS($B$2:$B$346,$B269,$I$2:$I$346,"&gt;"&amp;$I269)+COUNTIFS($B$2:$B269,$B269,$I$2:$I269,$I269))</f>
      </c>
      <c r="K269" s="16">
        <f>IF($J269="","",$B269&amp;"#"&amp;$J269)</f>
      </c>
      <c r="L269" s="16" t="s">
        <v>107</v>
      </c>
      <c r="M269" s="16">
        <v>1</v>
      </c>
      <c r="N269" s="16" t="s">
        <v>185</v>
      </c>
      <c r="O269" s="16">
        <v>1</v>
      </c>
    </row>
    <row r="270" spans="1:15" x14ac:dyDescent="0.25">
      <c r="A270" s="16" t="s">
        <v>1067</v>
      </c>
      <c r="B270" s="16" t="s">
        <v>12</v>
      </c>
      <c r="C270" s="16" t="s">
        <v>453</v>
      </c>
      <c r="D270" s="16">
        <v>197</v>
      </c>
      <c r="E270" s="16">
        <v>1</v>
      </c>
      <c r="F270" s="16">
        <v>10</v>
      </c>
      <c r="G270" s="16" t="s">
        <v>1068</v>
      </c>
      <c r="H270" s="16" t="s">
        <v>1069</v>
      </c>
      <c r="I270" s="16">
        <f>IF(OR(Picker!$B$10="Yes",SUMPRODUCT((Picker!$A$5:$A$9&lt;&gt;"")*(Picker!$A$5:$A$9&lt;&gt;"(none)"))=0),1,IF($L270="",0,COUNTIF(Picker!$A$5:$A$9,$L270))+IF($N270="",0,COUNTIF(Picker!$A$5:$A$9,$N270))+IF($P270="",0,COUNTIF(Picker!$A$5:$A$9,$P270)))</f>
      </c>
      <c r="J270" s="16">
        <f>IF($I270=0,"",COUNTIFS($B$2:$B$346,$B270,$I$2:$I$346,"&gt;"&amp;$I270)+COUNTIFS($B$2:$B270,$B270,$I$2:$I270,$I270))</f>
      </c>
      <c r="K270" s="16">
        <f>IF($J270="","",$B270&amp;"#"&amp;$J270)</f>
      </c>
      <c r="L270" s="16" t="s">
        <v>190</v>
      </c>
      <c r="M270" s="16">
        <v>2</v>
      </c>
      <c r="N270" s="16" t="s">
        <v>135</v>
      </c>
      <c r="O270" s="16">
        <v>1</v>
      </c>
    </row>
    <row r="271" spans="1:13" x14ac:dyDescent="0.25">
      <c r="A271" s="16" t="s">
        <v>1070</v>
      </c>
      <c r="B271" s="16" t="s">
        <v>12</v>
      </c>
      <c r="C271" s="16" t="s">
        <v>457</v>
      </c>
      <c r="D271" s="16">
        <v>197</v>
      </c>
      <c r="E271" s="16">
        <v>1</v>
      </c>
      <c r="F271" s="16">
        <v>10</v>
      </c>
      <c r="G271" s="16" t="s">
        <v>310</v>
      </c>
      <c r="H271" s="16" t="s">
        <v>1071</v>
      </c>
      <c r="I271" s="16">
        <f>IF(OR(Picker!$B$10="Yes",SUMPRODUCT((Picker!$A$5:$A$9&lt;&gt;"")*(Picker!$A$5:$A$9&lt;&gt;"(none)"))=0),1,IF($L271="",0,COUNTIF(Picker!$A$5:$A$9,$L271))+IF($N271="",0,COUNTIF(Picker!$A$5:$A$9,$N271))+IF($P271="",0,COUNTIF(Picker!$A$5:$A$9,$P271)))</f>
      </c>
      <c r="J271" s="16">
        <f>IF($I271=0,"",COUNTIFS($B$2:$B$346,$B271,$I$2:$I$346,"&gt;"&amp;$I271)+COUNTIFS($B$2:$B271,$B271,$I$2:$I271,$I271))</f>
      </c>
      <c r="K271" s="16">
        <f>IF($J271="","",$B271&amp;"#"&amp;$J271)</f>
      </c>
      <c r="L271" s="16" t="s">
        <v>93</v>
      </c>
      <c r="M271" s="16">
        <v>2</v>
      </c>
    </row>
    <row r="272" spans="1:15" x14ac:dyDescent="0.25">
      <c r="A272" s="16" t="s">
        <v>1072</v>
      </c>
      <c r="B272" s="16" t="s">
        <v>12</v>
      </c>
      <c r="C272" s="16" t="s">
        <v>461</v>
      </c>
      <c r="D272" s="16">
        <v>197</v>
      </c>
      <c r="E272" s="16">
        <v>1</v>
      </c>
      <c r="F272" s="16">
        <v>10</v>
      </c>
      <c r="G272" s="16" t="s">
        <v>1073</v>
      </c>
      <c r="H272" s="16" t="s">
        <v>1074</v>
      </c>
      <c r="I272" s="16">
        <f>IF(OR(Picker!$B$10="Yes",SUMPRODUCT((Picker!$A$5:$A$9&lt;&gt;"")*(Picker!$A$5:$A$9&lt;&gt;"(none)"))=0),1,IF($L272="",0,COUNTIF(Picker!$A$5:$A$9,$L272))+IF($N272="",0,COUNTIF(Picker!$A$5:$A$9,$N272))+IF($P272="",0,COUNTIF(Picker!$A$5:$A$9,$P272)))</f>
      </c>
      <c r="J272" s="16">
        <f>IF($I272=0,"",COUNTIFS($B$2:$B$346,$B272,$I$2:$I$346,"&gt;"&amp;$I272)+COUNTIFS($B$2:$B272,$B272,$I$2:$I272,$I272))</f>
      </c>
      <c r="K272" s="16">
        <f>IF($J272="","",$B272&amp;"#"&amp;$J272)</f>
      </c>
      <c r="L272" s="16" t="s">
        <v>104</v>
      </c>
      <c r="M272" s="16">
        <v>1</v>
      </c>
      <c r="N272" s="16" t="s">
        <v>175</v>
      </c>
      <c r="O272" s="16">
        <v>1</v>
      </c>
    </row>
    <row r="273" spans="1:15" x14ac:dyDescent="0.25">
      <c r="A273" s="16" t="s">
        <v>1075</v>
      </c>
      <c r="B273" s="16" t="s">
        <v>12</v>
      </c>
      <c r="C273" s="16" t="s">
        <v>465</v>
      </c>
      <c r="D273" s="16">
        <v>197</v>
      </c>
      <c r="E273" s="16">
        <v>1</v>
      </c>
      <c r="F273" s="16">
        <v>10</v>
      </c>
      <c r="G273" s="16" t="s">
        <v>1076</v>
      </c>
      <c r="H273" s="16" t="s">
        <v>1077</v>
      </c>
      <c r="I273" s="16">
        <f>IF(OR(Picker!$B$10="Yes",SUMPRODUCT((Picker!$A$5:$A$9&lt;&gt;"")*(Picker!$A$5:$A$9&lt;&gt;"(none)"))=0),1,IF($L273="",0,COUNTIF(Picker!$A$5:$A$9,$L273))+IF($N273="",0,COUNTIF(Picker!$A$5:$A$9,$N273))+IF($P273="",0,COUNTIF(Picker!$A$5:$A$9,$P273)))</f>
      </c>
      <c r="J273" s="16">
        <f>IF($I273=0,"",COUNTIFS($B$2:$B$346,$B273,$I$2:$I$346,"&gt;"&amp;$I273)+COUNTIFS($B$2:$B273,$B273,$I$2:$I273,$I273))</f>
      </c>
      <c r="K273" s="16">
        <f>IF($J273="","",$B273&amp;"#"&amp;$J273)</f>
      </c>
      <c r="L273" s="16" t="s">
        <v>100</v>
      </c>
      <c r="M273" s="16">
        <v>2</v>
      </c>
      <c r="N273" s="16" t="s">
        <v>182</v>
      </c>
      <c r="O273" s="16">
        <v>1</v>
      </c>
    </row>
    <row r="274" spans="1:15" x14ac:dyDescent="0.25">
      <c r="A274" s="16" t="s">
        <v>1078</v>
      </c>
      <c r="B274" s="16" t="s">
        <v>12</v>
      </c>
      <c r="C274" s="16" t="s">
        <v>469</v>
      </c>
      <c r="D274" s="16">
        <v>197</v>
      </c>
      <c r="E274" s="16">
        <v>1</v>
      </c>
      <c r="F274" s="16">
        <v>10</v>
      </c>
      <c r="G274" s="16" t="s">
        <v>1079</v>
      </c>
      <c r="H274" s="16" t="s">
        <v>1080</v>
      </c>
      <c r="I274" s="16">
        <f>IF(OR(Picker!$B$10="Yes",SUMPRODUCT((Picker!$A$5:$A$9&lt;&gt;"")*(Picker!$A$5:$A$9&lt;&gt;"(none)"))=0),1,IF($L274="",0,COUNTIF(Picker!$A$5:$A$9,$L274))+IF($N274="",0,COUNTIF(Picker!$A$5:$A$9,$N274))+IF($P274="",0,COUNTIF(Picker!$A$5:$A$9,$P274)))</f>
      </c>
      <c r="J274" s="16">
        <f>IF($I274=0,"",COUNTIFS($B$2:$B$346,$B274,$I$2:$I$346,"&gt;"&amp;$I274)+COUNTIFS($B$2:$B274,$B274,$I$2:$I274,$I274))</f>
      </c>
      <c r="K274" s="16">
        <f>IF($J274="","",$B274&amp;"#"&amp;$J274)</f>
      </c>
      <c r="L274" s="16" t="s">
        <v>84</v>
      </c>
      <c r="M274" s="16">
        <v>2</v>
      </c>
      <c r="N274" s="16" t="s">
        <v>61</v>
      </c>
      <c r="O274" s="16">
        <v>1</v>
      </c>
    </row>
    <row r="275" spans="1:15" x14ac:dyDescent="0.25">
      <c r="A275" s="16" t="s">
        <v>1081</v>
      </c>
      <c r="B275" s="16" t="s">
        <v>12</v>
      </c>
      <c r="C275" s="16" t="s">
        <v>473</v>
      </c>
      <c r="D275" s="16">
        <v>197</v>
      </c>
      <c r="E275" s="16">
        <v>1</v>
      </c>
      <c r="F275" s="16">
        <v>10</v>
      </c>
      <c r="G275" s="16" t="s">
        <v>1082</v>
      </c>
      <c r="H275" s="16" t="s">
        <v>1083</v>
      </c>
      <c r="I275" s="16">
        <f>IF(OR(Picker!$B$10="Yes",SUMPRODUCT((Picker!$A$5:$A$9&lt;&gt;"")*(Picker!$A$5:$A$9&lt;&gt;"(none)"))=0),1,IF($L275="",0,COUNTIF(Picker!$A$5:$A$9,$L275))+IF($N275="",0,COUNTIF(Picker!$A$5:$A$9,$N275))+IF($P275="",0,COUNTIF(Picker!$A$5:$A$9,$P275)))</f>
      </c>
      <c r="J275" s="16">
        <f>IF($I275=0,"",COUNTIFS($B$2:$B$346,$B275,$I$2:$I$346,"&gt;"&amp;$I275)+COUNTIFS($B$2:$B275,$B275,$I$2:$I275,$I275))</f>
      </c>
      <c r="K275" s="16">
        <f>IF($J275="","",$B275&amp;"#"&amp;$J275)</f>
      </c>
      <c r="L275" s="16" t="s">
        <v>173</v>
      </c>
      <c r="M275" s="16">
        <v>2</v>
      </c>
      <c r="N275" s="16" t="s">
        <v>107</v>
      </c>
      <c r="O275" s="16">
        <v>1</v>
      </c>
    </row>
    <row r="276" spans="1:13" x14ac:dyDescent="0.25">
      <c r="A276" s="16" t="s">
        <v>1084</v>
      </c>
      <c r="B276" s="16" t="s">
        <v>12</v>
      </c>
      <c r="C276" s="16" t="s">
        <v>477</v>
      </c>
      <c r="D276" s="16">
        <v>197</v>
      </c>
      <c r="E276" s="16">
        <v>2</v>
      </c>
      <c r="F276" s="16">
        <v>10</v>
      </c>
      <c r="G276" s="16" t="s">
        <v>234</v>
      </c>
      <c r="H276" s="16" t="s">
        <v>1085</v>
      </c>
      <c r="I276" s="16">
        <f>IF(OR(Picker!$B$10="Yes",SUMPRODUCT((Picker!$A$5:$A$9&lt;&gt;"")*(Picker!$A$5:$A$9&lt;&gt;"(none)"))=0),1,IF($L276="",0,COUNTIF(Picker!$A$5:$A$9,$L276))+IF($N276="",0,COUNTIF(Picker!$A$5:$A$9,$N276))+IF($P276="",0,COUNTIF(Picker!$A$5:$A$9,$P276)))</f>
      </c>
      <c r="J276" s="16">
        <f>IF($I276=0,"",COUNTIFS($B$2:$B$346,$B276,$I$2:$I$346,"&gt;"&amp;$I276)+COUNTIFS($B$2:$B276,$B276,$I$2:$I276,$I276))</f>
      </c>
      <c r="K276" s="16">
        <f>IF($J276="","",$B276&amp;"#"&amp;$J276)</f>
      </c>
      <c r="L276" s="16" t="s">
        <v>114</v>
      </c>
      <c r="M276" s="16">
        <v>2</v>
      </c>
    </row>
    <row r="277" spans="1:15" x14ac:dyDescent="0.25">
      <c r="A277" s="16" t="s">
        <v>1086</v>
      </c>
      <c r="B277" s="16" t="s">
        <v>12</v>
      </c>
      <c r="C277" s="16" t="s">
        <v>481</v>
      </c>
      <c r="D277" s="16">
        <v>197</v>
      </c>
      <c r="E277" s="16">
        <v>1</v>
      </c>
      <c r="F277" s="16">
        <v>10</v>
      </c>
      <c r="G277" s="16" t="s">
        <v>1087</v>
      </c>
      <c r="H277" s="16" t="s">
        <v>1088</v>
      </c>
      <c r="I277" s="16">
        <f>IF(OR(Picker!$B$10="Yes",SUMPRODUCT((Picker!$A$5:$A$9&lt;&gt;"")*(Picker!$A$5:$A$9&lt;&gt;"(none)"))=0),1,IF($L277="",0,COUNTIF(Picker!$A$5:$A$9,$L277))+IF($N277="",0,COUNTIF(Picker!$A$5:$A$9,$N277))+IF($P277="",0,COUNTIF(Picker!$A$5:$A$9,$P277)))</f>
      </c>
      <c r="J277" s="16">
        <f>IF($I277=0,"",COUNTIFS($B$2:$B$346,$B277,$I$2:$I$346,"&gt;"&amp;$I277)+COUNTIFS($B$2:$B277,$B277,$I$2:$I277,$I277))</f>
      </c>
      <c r="K277" s="16">
        <f>IF($J277="","",$B277&amp;"#"&amp;$J277)</f>
      </c>
      <c r="L277" s="16" t="s">
        <v>157</v>
      </c>
      <c r="M277" s="16">
        <v>1</v>
      </c>
      <c r="N277" s="16" t="s">
        <v>69</v>
      </c>
      <c r="O277" s="16">
        <v>1</v>
      </c>
    </row>
    <row r="278" spans="1:13" x14ac:dyDescent="0.25">
      <c r="A278" s="16" t="s">
        <v>1089</v>
      </c>
      <c r="B278" s="16" t="s">
        <v>13</v>
      </c>
      <c r="C278" s="16" t="s">
        <v>209</v>
      </c>
      <c r="D278" s="16">
        <v>197</v>
      </c>
      <c r="E278" s="16">
        <v>1</v>
      </c>
      <c r="F278" s="16">
        <v>10</v>
      </c>
      <c r="G278" s="16" t="s">
        <v>701</v>
      </c>
      <c r="H278" s="16" t="s">
        <v>1090</v>
      </c>
      <c r="I278" s="16">
        <f>IF(OR(Picker!$B$10="Yes",SUMPRODUCT((Picker!$A$5:$A$9&lt;&gt;"")*(Picker!$A$5:$A$9&lt;&gt;"(none)"))=0),1,IF($L278="",0,COUNTIF(Picker!$A$5:$A$9,$L278))+IF($N278="",0,COUNTIF(Picker!$A$5:$A$9,$N278))+IF($P278="",0,COUNTIF(Picker!$A$5:$A$9,$P278)))</f>
      </c>
      <c r="J278" s="16">
        <f>IF($I278=0,"",COUNTIFS($B$2:$B$346,$B278,$I$2:$I$346,"&gt;"&amp;$I278)+COUNTIFS($B$2:$B278,$B278,$I$2:$I278,$I278))</f>
      </c>
      <c r="K278" s="16">
        <f>IF($J278="","",$B278&amp;"#"&amp;$J278)</f>
      </c>
      <c r="L278" s="16" t="s">
        <v>109</v>
      </c>
      <c r="M278" s="16">
        <v>2</v>
      </c>
    </row>
    <row r="279" spans="1:15" x14ac:dyDescent="0.25">
      <c r="A279" s="16" t="s">
        <v>1091</v>
      </c>
      <c r="B279" s="16" t="s">
        <v>13</v>
      </c>
      <c r="C279" s="16" t="s">
        <v>213</v>
      </c>
      <c r="D279" s="16">
        <v>197</v>
      </c>
      <c r="E279" s="16">
        <v>1</v>
      </c>
      <c r="F279" s="16">
        <v>10</v>
      </c>
      <c r="G279" s="16" t="s">
        <v>1092</v>
      </c>
      <c r="H279" s="16" t="s">
        <v>1093</v>
      </c>
      <c r="I279" s="16">
        <f>IF(OR(Picker!$B$10="Yes",SUMPRODUCT((Picker!$A$5:$A$9&lt;&gt;"")*(Picker!$A$5:$A$9&lt;&gt;"(none)"))=0),1,IF($L279="",0,COUNTIF(Picker!$A$5:$A$9,$L279))+IF($N279="",0,COUNTIF(Picker!$A$5:$A$9,$N279))+IF($P279="",0,COUNTIF(Picker!$A$5:$A$9,$P279)))</f>
      </c>
      <c r="J279" s="16">
        <f>IF($I279=0,"",COUNTIFS($B$2:$B$346,$B279,$I$2:$I$346,"&gt;"&amp;$I279)+COUNTIFS($B$2:$B279,$B279,$I$2:$I279,$I279))</f>
      </c>
      <c r="K279" s="16">
        <f>IF($J279="","",$B279&amp;"#"&amp;$J279)</f>
      </c>
      <c r="L279" s="16" t="s">
        <v>193</v>
      </c>
      <c r="M279" s="16">
        <v>1</v>
      </c>
      <c r="N279" s="16" t="s">
        <v>130</v>
      </c>
      <c r="O279" s="16">
        <v>1</v>
      </c>
    </row>
    <row r="280" spans="1:15" x14ac:dyDescent="0.25">
      <c r="A280" s="16" t="s">
        <v>1094</v>
      </c>
      <c r="B280" s="16" t="s">
        <v>13</v>
      </c>
      <c r="C280" s="16" t="s">
        <v>217</v>
      </c>
      <c r="D280" s="16">
        <v>197</v>
      </c>
      <c r="E280" s="16">
        <v>1</v>
      </c>
      <c r="F280" s="16">
        <v>10</v>
      </c>
      <c r="G280" s="16" t="s">
        <v>1095</v>
      </c>
      <c r="H280" s="16" t="s">
        <v>1096</v>
      </c>
      <c r="I280" s="16">
        <f>IF(OR(Picker!$B$10="Yes",SUMPRODUCT((Picker!$A$5:$A$9&lt;&gt;"")*(Picker!$A$5:$A$9&lt;&gt;"(none)"))=0),1,IF($L280="",0,COUNTIF(Picker!$A$5:$A$9,$L280))+IF($N280="",0,COUNTIF(Picker!$A$5:$A$9,$N280))+IF($P280="",0,COUNTIF(Picker!$A$5:$A$9,$P280)))</f>
      </c>
      <c r="J280" s="16">
        <f>IF($I280=0,"",COUNTIFS($B$2:$B$346,$B280,$I$2:$I$346,"&gt;"&amp;$I280)+COUNTIFS($B$2:$B280,$B280,$I$2:$I280,$I280))</f>
      </c>
      <c r="K280" s="16">
        <f>IF($J280="","",$B280&amp;"#"&amp;$J280)</f>
      </c>
      <c r="L280" s="16" t="s">
        <v>130</v>
      </c>
      <c r="M280" s="16">
        <v>1</v>
      </c>
      <c r="N280" s="16" t="s">
        <v>152</v>
      </c>
      <c r="O280" s="16">
        <v>2</v>
      </c>
    </row>
    <row r="281" spans="1:13" x14ac:dyDescent="0.25">
      <c r="A281" s="16" t="s">
        <v>1097</v>
      </c>
      <c r="B281" s="16" t="s">
        <v>13</v>
      </c>
      <c r="C281" s="16" t="s">
        <v>221</v>
      </c>
      <c r="D281" s="16">
        <v>197</v>
      </c>
      <c r="E281" s="16">
        <v>2</v>
      </c>
      <c r="F281" s="16">
        <v>10</v>
      </c>
      <c r="G281" s="16" t="s">
        <v>1098</v>
      </c>
      <c r="H281" s="16" t="s">
        <v>1099</v>
      </c>
      <c r="I281" s="16">
        <f>IF(OR(Picker!$B$10="Yes",SUMPRODUCT((Picker!$A$5:$A$9&lt;&gt;"")*(Picker!$A$5:$A$9&lt;&gt;"(none)"))=0),1,IF($L281="",0,COUNTIF(Picker!$A$5:$A$9,$L281))+IF($N281="",0,COUNTIF(Picker!$A$5:$A$9,$N281))+IF($P281="",0,COUNTIF(Picker!$A$5:$A$9,$P281)))</f>
      </c>
      <c r="J281" s="16">
        <f>IF($I281=0,"",COUNTIFS($B$2:$B$346,$B281,$I$2:$I$346,"&gt;"&amp;$I281)+COUNTIFS($B$2:$B281,$B281,$I$2:$I281,$I281))</f>
      </c>
      <c r="K281" s="16">
        <f>IF($J281="","",$B281&amp;"#"&amp;$J281)</f>
      </c>
      <c r="L281" s="16" t="s">
        <v>145</v>
      </c>
      <c r="M281" s="16">
        <v>2</v>
      </c>
    </row>
    <row r="282" spans="1:15" x14ac:dyDescent="0.25">
      <c r="A282" s="16" t="s">
        <v>1100</v>
      </c>
      <c r="B282" s="16" t="s">
        <v>13</v>
      </c>
      <c r="C282" s="16" t="s">
        <v>225</v>
      </c>
      <c r="D282" s="16">
        <v>197</v>
      </c>
      <c r="E282" s="16">
        <v>1</v>
      </c>
      <c r="F282" s="16">
        <v>10</v>
      </c>
      <c r="G282" s="16" t="s">
        <v>1101</v>
      </c>
      <c r="H282" s="16" t="s">
        <v>1102</v>
      </c>
      <c r="I282" s="16">
        <f>IF(OR(Picker!$B$10="Yes",SUMPRODUCT((Picker!$A$5:$A$9&lt;&gt;"")*(Picker!$A$5:$A$9&lt;&gt;"(none)"))=0),1,IF($L282="",0,COUNTIF(Picker!$A$5:$A$9,$L282))+IF($N282="",0,COUNTIF(Picker!$A$5:$A$9,$N282))+IF($P282="",0,COUNTIF(Picker!$A$5:$A$9,$P282)))</f>
      </c>
      <c r="J282" s="16">
        <f>IF($I282=0,"",COUNTIFS($B$2:$B$346,$B282,$I$2:$I$346,"&gt;"&amp;$I282)+COUNTIFS($B$2:$B282,$B282,$I$2:$I282,$I282))</f>
      </c>
      <c r="K282" s="16">
        <f>IF($J282="","",$B282&amp;"#"&amp;$J282)</f>
      </c>
      <c r="L282" s="16" t="s">
        <v>172</v>
      </c>
      <c r="M282" s="16">
        <v>1</v>
      </c>
      <c r="N282" s="16" t="s">
        <v>93</v>
      </c>
      <c r="O282" s="16">
        <v>1</v>
      </c>
    </row>
    <row r="283" spans="1:15" x14ac:dyDescent="0.25">
      <c r="A283" s="16" t="s">
        <v>1103</v>
      </c>
      <c r="B283" s="16" t="s">
        <v>13</v>
      </c>
      <c r="C283" s="16" t="s">
        <v>229</v>
      </c>
      <c r="D283" s="16">
        <v>197</v>
      </c>
      <c r="E283" s="16">
        <v>1</v>
      </c>
      <c r="F283" s="16">
        <v>10</v>
      </c>
      <c r="G283" s="16" t="s">
        <v>1104</v>
      </c>
      <c r="H283" s="16" t="s">
        <v>1105</v>
      </c>
      <c r="I283" s="16">
        <f>IF(OR(Picker!$B$10="Yes",SUMPRODUCT((Picker!$A$5:$A$9&lt;&gt;"")*(Picker!$A$5:$A$9&lt;&gt;"(none)"))=0),1,IF($L283="",0,COUNTIF(Picker!$A$5:$A$9,$L283))+IF($N283="",0,COUNTIF(Picker!$A$5:$A$9,$N283))+IF($P283="",0,COUNTIF(Picker!$A$5:$A$9,$P283)))</f>
      </c>
      <c r="J283" s="16">
        <f>IF($I283=0,"",COUNTIFS($B$2:$B$346,$B283,$I$2:$I$346,"&gt;"&amp;$I283)+COUNTIFS($B$2:$B283,$B283,$I$2:$I283,$I283))</f>
      </c>
      <c r="K283" s="16">
        <f>IF($J283="","",$B283&amp;"#"&amp;$J283)</f>
      </c>
      <c r="L283" s="16" t="s">
        <v>179</v>
      </c>
      <c r="M283" s="16">
        <v>2</v>
      </c>
      <c r="N283" s="16" t="s">
        <v>65</v>
      </c>
      <c r="O283" s="16">
        <v>1</v>
      </c>
    </row>
    <row r="284" spans="1:15" x14ac:dyDescent="0.25">
      <c r="A284" s="16" t="s">
        <v>1106</v>
      </c>
      <c r="B284" s="16" t="s">
        <v>13</v>
      </c>
      <c r="C284" s="16" t="s">
        <v>233</v>
      </c>
      <c r="D284" s="16">
        <v>197</v>
      </c>
      <c r="E284" s="16">
        <v>1</v>
      </c>
      <c r="F284" s="16">
        <v>10</v>
      </c>
      <c r="G284" s="16" t="s">
        <v>1107</v>
      </c>
      <c r="H284" s="16" t="s">
        <v>1108</v>
      </c>
      <c r="I284" s="16">
        <f>IF(OR(Picker!$B$10="Yes",SUMPRODUCT((Picker!$A$5:$A$9&lt;&gt;"")*(Picker!$A$5:$A$9&lt;&gt;"(none)"))=0),1,IF($L284="",0,COUNTIF(Picker!$A$5:$A$9,$L284))+IF($N284="",0,COUNTIF(Picker!$A$5:$A$9,$N284))+IF($P284="",0,COUNTIF(Picker!$A$5:$A$9,$P284)))</f>
      </c>
      <c r="J284" s="16">
        <f>IF($I284=0,"",COUNTIFS($B$2:$B$346,$B284,$I$2:$I$346,"&gt;"&amp;$I284)+COUNTIFS($B$2:$B284,$B284,$I$2:$I284,$I284))</f>
      </c>
      <c r="K284" s="16">
        <f>IF($J284="","",$B284&amp;"#"&amp;$J284)</f>
      </c>
      <c r="L284" s="16" t="s">
        <v>114</v>
      </c>
      <c r="M284" s="16">
        <v>1</v>
      </c>
      <c r="N284" s="16" t="s">
        <v>167</v>
      </c>
      <c r="O284" s="16">
        <v>1</v>
      </c>
    </row>
    <row r="285" spans="1:15" x14ac:dyDescent="0.25">
      <c r="A285" s="16" t="s">
        <v>1109</v>
      </c>
      <c r="B285" s="16" t="s">
        <v>13</v>
      </c>
      <c r="C285" s="16" t="s">
        <v>237</v>
      </c>
      <c r="D285" s="16">
        <v>197</v>
      </c>
      <c r="E285" s="16">
        <v>1</v>
      </c>
      <c r="F285" s="16">
        <v>10</v>
      </c>
      <c r="G285" s="16" t="s">
        <v>1110</v>
      </c>
      <c r="H285" s="16" t="s">
        <v>1111</v>
      </c>
      <c r="I285" s="16">
        <f>IF(OR(Picker!$B$10="Yes",SUMPRODUCT((Picker!$A$5:$A$9&lt;&gt;"")*(Picker!$A$5:$A$9&lt;&gt;"(none)"))=0),1,IF($L285="",0,COUNTIF(Picker!$A$5:$A$9,$L285))+IF($N285="",0,COUNTIF(Picker!$A$5:$A$9,$N285))+IF($P285="",0,COUNTIF(Picker!$A$5:$A$9,$P285)))</f>
      </c>
      <c r="J285" s="16">
        <f>IF($I285=0,"",COUNTIFS($B$2:$B$346,$B285,$I$2:$I$346,"&gt;"&amp;$I285)+COUNTIFS($B$2:$B285,$B285,$I$2:$I285,$I285))</f>
      </c>
      <c r="K285" s="16">
        <f>IF($J285="","",$B285&amp;"#"&amp;$J285)</f>
      </c>
      <c r="L285" s="16" t="s">
        <v>89</v>
      </c>
      <c r="M285" s="16">
        <v>1</v>
      </c>
      <c r="N285" s="16" t="s">
        <v>99</v>
      </c>
      <c r="O285" s="16">
        <v>1</v>
      </c>
    </row>
    <row r="286" spans="1:15" x14ac:dyDescent="0.25">
      <c r="A286" s="16" t="s">
        <v>1112</v>
      </c>
      <c r="B286" s="16" t="s">
        <v>13</v>
      </c>
      <c r="C286" s="16" t="s">
        <v>241</v>
      </c>
      <c r="D286" s="16">
        <v>197</v>
      </c>
      <c r="E286" s="16">
        <v>1</v>
      </c>
      <c r="F286" s="16">
        <v>10</v>
      </c>
      <c r="G286" s="16" t="s">
        <v>1113</v>
      </c>
      <c r="H286" s="16" t="s">
        <v>1114</v>
      </c>
      <c r="I286" s="16">
        <f>IF(OR(Picker!$B$10="Yes",SUMPRODUCT((Picker!$A$5:$A$9&lt;&gt;"")*(Picker!$A$5:$A$9&lt;&gt;"(none)"))=0),1,IF($L286="",0,COUNTIF(Picker!$A$5:$A$9,$L286))+IF($N286="",0,COUNTIF(Picker!$A$5:$A$9,$N286))+IF($P286="",0,COUNTIF(Picker!$A$5:$A$9,$P286)))</f>
      </c>
      <c r="J286" s="16">
        <f>IF($I286=0,"",COUNTIFS($B$2:$B$346,$B286,$I$2:$I$346,"&gt;"&amp;$I286)+COUNTIFS($B$2:$B286,$B286,$I$2:$I286,$I286))</f>
      </c>
      <c r="K286" s="16">
        <f>IF($J286="","",$B286&amp;"#"&amp;$J286)</f>
      </c>
      <c r="L286" s="16" t="s">
        <v>104</v>
      </c>
      <c r="M286" s="16">
        <v>1</v>
      </c>
      <c r="N286" s="16" t="s">
        <v>170</v>
      </c>
      <c r="O286" s="16">
        <v>1</v>
      </c>
    </row>
    <row r="287" spans="1:15" x14ac:dyDescent="0.25">
      <c r="A287" s="16" t="s">
        <v>1115</v>
      </c>
      <c r="B287" s="16" t="s">
        <v>13</v>
      </c>
      <c r="C287" s="16" t="s">
        <v>245</v>
      </c>
      <c r="D287" s="16">
        <v>197</v>
      </c>
      <c r="E287" s="16">
        <v>1</v>
      </c>
      <c r="F287" s="16">
        <v>10</v>
      </c>
      <c r="G287" s="16" t="s">
        <v>1116</v>
      </c>
      <c r="H287" s="16" t="s">
        <v>1117</v>
      </c>
      <c r="I287" s="16">
        <f>IF(OR(Picker!$B$10="Yes",SUMPRODUCT((Picker!$A$5:$A$9&lt;&gt;"")*(Picker!$A$5:$A$9&lt;&gt;"(none)"))=0),1,IF($L287="",0,COUNTIF(Picker!$A$5:$A$9,$L287))+IF($N287="",0,COUNTIF(Picker!$A$5:$A$9,$N287))+IF($P287="",0,COUNTIF(Picker!$A$5:$A$9,$P287)))</f>
      </c>
      <c r="J287" s="16">
        <f>IF($I287=0,"",COUNTIFS($B$2:$B$346,$B287,$I$2:$I$346,"&gt;"&amp;$I287)+COUNTIFS($B$2:$B287,$B287,$I$2:$I287,$I287))</f>
      </c>
      <c r="K287" s="16">
        <f>IF($J287="","",$B287&amp;"#"&amp;$J287)</f>
      </c>
      <c r="L287" s="16" t="s">
        <v>97</v>
      </c>
      <c r="M287" s="16">
        <v>2</v>
      </c>
      <c r="N287" s="16" t="s">
        <v>155</v>
      </c>
      <c r="O287" s="16">
        <v>1</v>
      </c>
    </row>
    <row r="288" spans="1:15" x14ac:dyDescent="0.25">
      <c r="A288" s="16" t="s">
        <v>1118</v>
      </c>
      <c r="B288" s="16" t="s">
        <v>13</v>
      </c>
      <c r="C288" s="16" t="s">
        <v>249</v>
      </c>
      <c r="D288" s="16">
        <v>197</v>
      </c>
      <c r="E288" s="16">
        <v>1</v>
      </c>
      <c r="F288" s="16">
        <v>10</v>
      </c>
      <c r="G288" s="16" t="s">
        <v>1119</v>
      </c>
      <c r="H288" s="16" t="s">
        <v>1120</v>
      </c>
      <c r="I288" s="16">
        <f>IF(OR(Picker!$B$10="Yes",SUMPRODUCT((Picker!$A$5:$A$9&lt;&gt;"")*(Picker!$A$5:$A$9&lt;&gt;"(none)"))=0),1,IF($L288="",0,COUNTIF(Picker!$A$5:$A$9,$L288))+IF($N288="",0,COUNTIF(Picker!$A$5:$A$9,$N288))+IF($P288="",0,COUNTIF(Picker!$A$5:$A$9,$P288)))</f>
      </c>
      <c r="J288" s="16">
        <f>IF($I288=0,"",COUNTIFS($B$2:$B$346,$B288,$I$2:$I$346,"&gt;"&amp;$I288)+COUNTIFS($B$2:$B288,$B288,$I$2:$I288,$I288))</f>
      </c>
      <c r="K288" s="16">
        <f>IF($J288="","",$B288&amp;"#"&amp;$J288)</f>
      </c>
      <c r="L288" s="16" t="s">
        <v>114</v>
      </c>
      <c r="M288" s="16">
        <v>1</v>
      </c>
      <c r="N288" s="16" t="s">
        <v>71</v>
      </c>
      <c r="O288" s="16">
        <v>1</v>
      </c>
    </row>
    <row r="289" spans="1:15" x14ac:dyDescent="0.25">
      <c r="A289" s="16" t="s">
        <v>1121</v>
      </c>
      <c r="B289" s="16" t="s">
        <v>13</v>
      </c>
      <c r="C289" s="16" t="s">
        <v>253</v>
      </c>
      <c r="D289" s="16">
        <v>197</v>
      </c>
      <c r="E289" s="16">
        <v>1</v>
      </c>
      <c r="F289" s="16">
        <v>10</v>
      </c>
      <c r="G289" s="16" t="s">
        <v>1122</v>
      </c>
      <c r="H289" s="16" t="s">
        <v>1123</v>
      </c>
      <c r="I289" s="16">
        <f>IF(OR(Picker!$B$10="Yes",SUMPRODUCT((Picker!$A$5:$A$9&lt;&gt;"")*(Picker!$A$5:$A$9&lt;&gt;"(none)"))=0),1,IF($L289="",0,COUNTIF(Picker!$A$5:$A$9,$L289))+IF($N289="",0,COUNTIF(Picker!$A$5:$A$9,$N289))+IF($P289="",0,COUNTIF(Picker!$A$5:$A$9,$P289)))</f>
      </c>
      <c r="J289" s="16">
        <f>IF($I289=0,"",COUNTIFS($B$2:$B$346,$B289,$I$2:$I$346,"&gt;"&amp;$I289)+COUNTIFS($B$2:$B289,$B289,$I$2:$I289,$I289))</f>
      </c>
      <c r="K289" s="16">
        <f>IF($J289="","",$B289&amp;"#"&amp;$J289)</f>
      </c>
      <c r="L289" s="16" t="s">
        <v>75</v>
      </c>
      <c r="M289" s="16">
        <v>1</v>
      </c>
      <c r="N289" s="16" t="s">
        <v>183</v>
      </c>
      <c r="O289" s="16">
        <v>2</v>
      </c>
    </row>
    <row r="290" spans="1:13" x14ac:dyDescent="0.25">
      <c r="A290" s="16" t="s">
        <v>1124</v>
      </c>
      <c r="B290" s="16" t="s">
        <v>13</v>
      </c>
      <c r="C290" s="16" t="s">
        <v>257</v>
      </c>
      <c r="D290" s="16">
        <v>197</v>
      </c>
      <c r="E290" s="16">
        <v>1</v>
      </c>
      <c r="F290" s="16">
        <v>10</v>
      </c>
      <c r="G290" s="16" t="s">
        <v>808</v>
      </c>
      <c r="H290" s="16" t="s">
        <v>1125</v>
      </c>
      <c r="I290" s="16">
        <f>IF(OR(Picker!$B$10="Yes",SUMPRODUCT((Picker!$A$5:$A$9&lt;&gt;"")*(Picker!$A$5:$A$9&lt;&gt;"(none)"))=0),1,IF($L290="",0,COUNTIF(Picker!$A$5:$A$9,$L290))+IF($N290="",0,COUNTIF(Picker!$A$5:$A$9,$N290))+IF($P290="",0,COUNTIF(Picker!$A$5:$A$9,$P290)))</f>
      </c>
      <c r="J290" s="16">
        <f>IF($I290=0,"",COUNTIFS($B$2:$B$346,$B290,$I$2:$I$346,"&gt;"&amp;$I290)+COUNTIFS($B$2:$B290,$B290,$I$2:$I290,$I290))</f>
      </c>
      <c r="K290" s="16">
        <f>IF($J290="","",$B290&amp;"#"&amp;$J290)</f>
      </c>
      <c r="L290" s="16" t="s">
        <v>81</v>
      </c>
      <c r="M290" s="16">
        <v>2</v>
      </c>
    </row>
    <row r="291" spans="1:15" x14ac:dyDescent="0.25">
      <c r="A291" s="16" t="s">
        <v>1126</v>
      </c>
      <c r="B291" s="16" t="s">
        <v>13</v>
      </c>
      <c r="C291" s="16" t="s">
        <v>261</v>
      </c>
      <c r="D291" s="16">
        <v>197</v>
      </c>
      <c r="E291" s="16">
        <v>1</v>
      </c>
      <c r="F291" s="16">
        <v>10</v>
      </c>
      <c r="G291" s="16" t="s">
        <v>1127</v>
      </c>
      <c r="H291" s="16" t="s">
        <v>1128</v>
      </c>
      <c r="I291" s="16">
        <f>IF(OR(Picker!$B$10="Yes",SUMPRODUCT((Picker!$A$5:$A$9&lt;&gt;"")*(Picker!$A$5:$A$9&lt;&gt;"(none)"))=0),1,IF($L291="",0,COUNTIF(Picker!$A$5:$A$9,$L291))+IF($N291="",0,COUNTIF(Picker!$A$5:$A$9,$N291))+IF($P291="",0,COUNTIF(Picker!$A$5:$A$9,$P291)))</f>
      </c>
      <c r="J291" s="16">
        <f>IF($I291=0,"",COUNTIFS($B$2:$B$346,$B291,$I$2:$I$346,"&gt;"&amp;$I291)+COUNTIFS($B$2:$B291,$B291,$I$2:$I291,$I291))</f>
      </c>
      <c r="K291" s="16">
        <f>IF($J291="","",$B291&amp;"#"&amp;$J291)</f>
      </c>
      <c r="L291" s="16" t="s">
        <v>112</v>
      </c>
      <c r="M291" s="16">
        <v>2</v>
      </c>
      <c r="N291" s="16" t="s">
        <v>152</v>
      </c>
      <c r="O291" s="16">
        <v>1</v>
      </c>
    </row>
    <row r="292" spans="1:15" x14ac:dyDescent="0.25">
      <c r="A292" s="16" t="s">
        <v>1129</v>
      </c>
      <c r="B292" s="16" t="s">
        <v>13</v>
      </c>
      <c r="C292" s="16" t="s">
        <v>265</v>
      </c>
      <c r="D292" s="16">
        <v>197</v>
      </c>
      <c r="E292" s="16">
        <v>1</v>
      </c>
      <c r="F292" s="16">
        <v>10</v>
      </c>
      <c r="G292" s="16" t="s">
        <v>1130</v>
      </c>
      <c r="H292" s="16" t="s">
        <v>1131</v>
      </c>
      <c r="I292" s="16">
        <f>IF(OR(Picker!$B$10="Yes",SUMPRODUCT((Picker!$A$5:$A$9&lt;&gt;"")*(Picker!$A$5:$A$9&lt;&gt;"(none)"))=0),1,IF($L292="",0,COUNTIF(Picker!$A$5:$A$9,$L292))+IF($N292="",0,COUNTIF(Picker!$A$5:$A$9,$N292))+IF($P292="",0,COUNTIF(Picker!$A$5:$A$9,$P292)))</f>
      </c>
      <c r="J292" s="16">
        <f>IF($I292=0,"",COUNTIFS($B$2:$B$346,$B292,$I$2:$I$346,"&gt;"&amp;$I292)+COUNTIFS($B$2:$B292,$B292,$I$2:$I292,$I292))</f>
      </c>
      <c r="K292" s="16">
        <f>IF($J292="","",$B292&amp;"#"&amp;$J292)</f>
      </c>
      <c r="L292" s="16" t="s">
        <v>66</v>
      </c>
      <c r="M292" s="16">
        <v>1</v>
      </c>
      <c r="N292" s="16" t="s">
        <v>168</v>
      </c>
      <c r="O292" s="16">
        <v>2</v>
      </c>
    </row>
    <row r="293" spans="1:15" x14ac:dyDescent="0.25">
      <c r="A293" s="16" t="s">
        <v>1132</v>
      </c>
      <c r="B293" s="16" t="s">
        <v>13</v>
      </c>
      <c r="C293" s="16" t="s">
        <v>269</v>
      </c>
      <c r="D293" s="16">
        <v>197</v>
      </c>
      <c r="E293" s="16">
        <v>1</v>
      </c>
      <c r="F293" s="16">
        <v>10</v>
      </c>
      <c r="G293" s="16" t="s">
        <v>1133</v>
      </c>
      <c r="H293" s="16" t="s">
        <v>1134</v>
      </c>
      <c r="I293" s="16">
        <f>IF(OR(Picker!$B$10="Yes",SUMPRODUCT((Picker!$A$5:$A$9&lt;&gt;"")*(Picker!$A$5:$A$9&lt;&gt;"(none)"))=0),1,IF($L293="",0,COUNTIF(Picker!$A$5:$A$9,$L293))+IF($N293="",0,COUNTIF(Picker!$A$5:$A$9,$N293))+IF($P293="",0,COUNTIF(Picker!$A$5:$A$9,$P293)))</f>
      </c>
      <c r="J293" s="16">
        <f>IF($I293=0,"",COUNTIFS($B$2:$B$346,$B293,$I$2:$I$346,"&gt;"&amp;$I293)+COUNTIFS($B$2:$B293,$B293,$I$2:$I293,$I293))</f>
      </c>
      <c r="K293" s="16">
        <f>IF($J293="","",$B293&amp;"#"&amp;$J293)</f>
      </c>
      <c r="L293" s="16" t="s">
        <v>105</v>
      </c>
      <c r="M293" s="16">
        <v>2</v>
      </c>
      <c r="N293" s="16" t="s">
        <v>129</v>
      </c>
      <c r="O293" s="16">
        <v>1</v>
      </c>
    </row>
    <row r="294" spans="1:15" x14ac:dyDescent="0.25">
      <c r="A294" s="16" t="s">
        <v>1135</v>
      </c>
      <c r="B294" s="16" t="s">
        <v>13</v>
      </c>
      <c r="C294" s="16" t="s">
        <v>273</v>
      </c>
      <c r="D294" s="16">
        <v>197</v>
      </c>
      <c r="E294" s="16">
        <v>1</v>
      </c>
      <c r="F294" s="16">
        <v>10</v>
      </c>
      <c r="G294" s="16" t="s">
        <v>1136</v>
      </c>
      <c r="H294" s="16" t="s">
        <v>1137</v>
      </c>
      <c r="I294" s="16">
        <f>IF(OR(Picker!$B$10="Yes",SUMPRODUCT((Picker!$A$5:$A$9&lt;&gt;"")*(Picker!$A$5:$A$9&lt;&gt;"(none)"))=0),1,IF($L294="",0,COUNTIF(Picker!$A$5:$A$9,$L294))+IF($N294="",0,COUNTIF(Picker!$A$5:$A$9,$N294))+IF($P294="",0,COUNTIF(Picker!$A$5:$A$9,$P294)))</f>
      </c>
      <c r="J294" s="16">
        <f>IF($I294=0,"",COUNTIFS($B$2:$B$346,$B294,$I$2:$I$346,"&gt;"&amp;$I294)+COUNTIFS($B$2:$B294,$B294,$I$2:$I294,$I294))</f>
      </c>
      <c r="K294" s="16">
        <f>IF($J294="","",$B294&amp;"#"&amp;$J294)</f>
      </c>
      <c r="L294" s="16" t="s">
        <v>104</v>
      </c>
      <c r="M294" s="16">
        <v>1</v>
      </c>
      <c r="N294" s="16" t="s">
        <v>100</v>
      </c>
      <c r="O294" s="16">
        <v>2</v>
      </c>
    </row>
    <row r="295" spans="1:15" x14ac:dyDescent="0.25">
      <c r="A295" s="16" t="s">
        <v>1138</v>
      </c>
      <c r="B295" s="16" t="s">
        <v>13</v>
      </c>
      <c r="C295" s="16" t="s">
        <v>277</v>
      </c>
      <c r="D295" s="16">
        <v>197</v>
      </c>
      <c r="E295" s="16">
        <v>1</v>
      </c>
      <c r="F295" s="16">
        <v>10</v>
      </c>
      <c r="G295" s="16" t="s">
        <v>1139</v>
      </c>
      <c r="H295" s="16" t="s">
        <v>1140</v>
      </c>
      <c r="I295" s="16">
        <f>IF(OR(Picker!$B$10="Yes",SUMPRODUCT((Picker!$A$5:$A$9&lt;&gt;"")*(Picker!$A$5:$A$9&lt;&gt;"(none)"))=0),1,IF($L295="",0,COUNTIF(Picker!$A$5:$A$9,$L295))+IF($N295="",0,COUNTIF(Picker!$A$5:$A$9,$N295))+IF($P295="",0,COUNTIF(Picker!$A$5:$A$9,$P295)))</f>
      </c>
      <c r="J295" s="16">
        <f>IF($I295=0,"",COUNTIFS($B$2:$B$346,$B295,$I$2:$I$346,"&gt;"&amp;$I295)+COUNTIFS($B$2:$B295,$B295,$I$2:$I295,$I295))</f>
      </c>
      <c r="K295" s="16">
        <f>IF($J295="","",$B295&amp;"#"&amp;$J295)</f>
      </c>
      <c r="L295" s="16" t="s">
        <v>144</v>
      </c>
      <c r="M295" s="16">
        <v>1</v>
      </c>
      <c r="N295" s="16" t="s">
        <v>169</v>
      </c>
      <c r="O295" s="16">
        <v>2</v>
      </c>
    </row>
    <row r="296" spans="1:15" x14ac:dyDescent="0.25">
      <c r="A296" s="16" t="s">
        <v>1141</v>
      </c>
      <c r="B296" s="16" t="s">
        <v>13</v>
      </c>
      <c r="C296" s="16" t="s">
        <v>281</v>
      </c>
      <c r="D296" s="16">
        <v>197</v>
      </c>
      <c r="E296" s="16">
        <v>1</v>
      </c>
      <c r="F296" s="16">
        <v>10</v>
      </c>
      <c r="G296" s="16" t="s">
        <v>1142</v>
      </c>
      <c r="H296" s="16" t="s">
        <v>1143</v>
      </c>
      <c r="I296" s="16">
        <f>IF(OR(Picker!$B$10="Yes",SUMPRODUCT((Picker!$A$5:$A$9&lt;&gt;"")*(Picker!$A$5:$A$9&lt;&gt;"(none)"))=0),1,IF($L296="",0,COUNTIF(Picker!$A$5:$A$9,$L296))+IF($N296="",0,COUNTIF(Picker!$A$5:$A$9,$N296))+IF($P296="",0,COUNTIF(Picker!$A$5:$A$9,$P296)))</f>
      </c>
      <c r="J296" s="16">
        <f>IF($I296=0,"",COUNTIFS($B$2:$B$346,$B296,$I$2:$I$346,"&gt;"&amp;$I296)+COUNTIFS($B$2:$B296,$B296,$I$2:$I296,$I296))</f>
      </c>
      <c r="K296" s="16">
        <f>IF($J296="","",$B296&amp;"#"&amp;$J296)</f>
      </c>
      <c r="L296" s="16" t="s">
        <v>139</v>
      </c>
      <c r="M296" s="16">
        <v>1</v>
      </c>
      <c r="N296" s="16" t="s">
        <v>121</v>
      </c>
      <c r="O296" s="16">
        <v>1</v>
      </c>
    </row>
    <row r="297" spans="1:13" x14ac:dyDescent="0.25">
      <c r="A297" s="16" t="s">
        <v>1144</v>
      </c>
      <c r="B297" s="16" t="s">
        <v>13</v>
      </c>
      <c r="C297" s="16" t="s">
        <v>285</v>
      </c>
      <c r="D297" s="16">
        <v>197</v>
      </c>
      <c r="E297" s="16">
        <v>1</v>
      </c>
      <c r="F297" s="16">
        <v>10</v>
      </c>
      <c r="G297" s="16" t="s">
        <v>1145</v>
      </c>
      <c r="H297" s="16" t="s">
        <v>1146</v>
      </c>
      <c r="I297" s="16">
        <f>IF(OR(Picker!$B$10="Yes",SUMPRODUCT((Picker!$A$5:$A$9&lt;&gt;"")*(Picker!$A$5:$A$9&lt;&gt;"(none)"))=0),1,IF($L297="",0,COUNTIF(Picker!$A$5:$A$9,$L297))+IF($N297="",0,COUNTIF(Picker!$A$5:$A$9,$N297))+IF($P297="",0,COUNTIF(Picker!$A$5:$A$9,$P297)))</f>
      </c>
      <c r="J297" s="16">
        <f>IF($I297=0,"",COUNTIFS($B$2:$B$346,$B297,$I$2:$I$346,"&gt;"&amp;$I297)+COUNTIFS($B$2:$B297,$B297,$I$2:$I297,$I297))</f>
      </c>
      <c r="K297" s="16">
        <f>IF($J297="","",$B297&amp;"#"&amp;$J297)</f>
      </c>
      <c r="L297" s="16" t="s">
        <v>186</v>
      </c>
      <c r="M297" s="16">
        <v>2</v>
      </c>
    </row>
    <row r="298" spans="1:15" x14ac:dyDescent="0.25">
      <c r="A298" s="16" t="s">
        <v>1147</v>
      </c>
      <c r="B298" s="16" t="s">
        <v>13</v>
      </c>
      <c r="C298" s="16" t="s">
        <v>289</v>
      </c>
      <c r="D298" s="16">
        <v>197</v>
      </c>
      <c r="E298" s="16">
        <v>1</v>
      </c>
      <c r="F298" s="16">
        <v>10</v>
      </c>
      <c r="G298" s="16" t="s">
        <v>1148</v>
      </c>
      <c r="H298" s="16" t="s">
        <v>1149</v>
      </c>
      <c r="I298" s="16">
        <f>IF(OR(Picker!$B$10="Yes",SUMPRODUCT((Picker!$A$5:$A$9&lt;&gt;"")*(Picker!$A$5:$A$9&lt;&gt;"(none)"))=0),1,IF($L298="",0,COUNTIF(Picker!$A$5:$A$9,$L298))+IF($N298="",0,COUNTIF(Picker!$A$5:$A$9,$N298))+IF($P298="",0,COUNTIF(Picker!$A$5:$A$9,$P298)))</f>
      </c>
      <c r="J298" s="16">
        <f>IF($I298=0,"",COUNTIFS($B$2:$B$346,$B298,$I$2:$I$346,"&gt;"&amp;$I298)+COUNTIFS($B$2:$B298,$B298,$I$2:$I298,$I298))</f>
      </c>
      <c r="K298" s="16">
        <f>IF($J298="","",$B298&amp;"#"&amp;$J298)</f>
      </c>
      <c r="L298" s="16" t="s">
        <v>89</v>
      </c>
      <c r="M298" s="16">
        <v>2</v>
      </c>
      <c r="N298" s="16" t="s">
        <v>153</v>
      </c>
      <c r="O298" s="16">
        <v>1</v>
      </c>
    </row>
    <row r="299" spans="1:13" x14ac:dyDescent="0.25">
      <c r="A299" s="16" t="s">
        <v>1150</v>
      </c>
      <c r="B299" s="16" t="s">
        <v>13</v>
      </c>
      <c r="C299" s="16" t="s">
        <v>293</v>
      </c>
      <c r="D299" s="16">
        <v>197</v>
      </c>
      <c r="E299" s="16">
        <v>1</v>
      </c>
      <c r="F299" s="16">
        <v>10</v>
      </c>
      <c r="G299" s="16" t="s">
        <v>683</v>
      </c>
      <c r="H299" s="16" t="s">
        <v>1151</v>
      </c>
      <c r="I299" s="16">
        <f>IF(OR(Picker!$B$10="Yes",SUMPRODUCT((Picker!$A$5:$A$9&lt;&gt;"")*(Picker!$A$5:$A$9&lt;&gt;"(none)"))=0),1,IF($L299="",0,COUNTIF(Picker!$A$5:$A$9,$L299))+IF($N299="",0,COUNTIF(Picker!$A$5:$A$9,$N299))+IF($P299="",0,COUNTIF(Picker!$A$5:$A$9,$P299)))</f>
      </c>
      <c r="J299" s="16">
        <f>IF($I299=0,"",COUNTIFS($B$2:$B$346,$B299,$I$2:$I$346,"&gt;"&amp;$I299)+COUNTIFS($B$2:$B299,$B299,$I$2:$I299,$I299))</f>
      </c>
      <c r="K299" s="16">
        <f>IF($J299="","",$B299&amp;"#"&amp;$J299)</f>
      </c>
      <c r="L299" s="16" t="s">
        <v>140</v>
      </c>
      <c r="M299" s="16">
        <v>2</v>
      </c>
    </row>
    <row r="300" spans="1:15" x14ac:dyDescent="0.25">
      <c r="A300" s="16" t="s">
        <v>1152</v>
      </c>
      <c r="B300" s="16" t="s">
        <v>13</v>
      </c>
      <c r="C300" s="16" t="s">
        <v>297</v>
      </c>
      <c r="D300" s="16">
        <v>197</v>
      </c>
      <c r="E300" s="16">
        <v>1</v>
      </c>
      <c r="F300" s="16">
        <v>10</v>
      </c>
      <c r="G300" s="16" t="s">
        <v>1153</v>
      </c>
      <c r="H300" s="16" t="s">
        <v>1154</v>
      </c>
      <c r="I300" s="16">
        <f>IF(OR(Picker!$B$10="Yes",SUMPRODUCT((Picker!$A$5:$A$9&lt;&gt;"")*(Picker!$A$5:$A$9&lt;&gt;"(none)"))=0),1,IF($L300="",0,COUNTIF(Picker!$A$5:$A$9,$L300))+IF($N300="",0,COUNTIF(Picker!$A$5:$A$9,$N300))+IF($P300="",0,COUNTIF(Picker!$A$5:$A$9,$P300)))</f>
      </c>
      <c r="J300" s="16">
        <f>IF($I300=0,"",COUNTIFS($B$2:$B$346,$B300,$I$2:$I$346,"&gt;"&amp;$I300)+COUNTIFS($B$2:$B300,$B300,$I$2:$I300,$I300))</f>
      </c>
      <c r="K300" s="16">
        <f>IF($J300="","",$B300&amp;"#"&amp;$J300)</f>
      </c>
      <c r="L300" s="16" t="s">
        <v>84</v>
      </c>
      <c r="M300" s="16">
        <v>2</v>
      </c>
      <c r="N300" s="16" t="s">
        <v>69</v>
      </c>
      <c r="O300" s="16">
        <v>1</v>
      </c>
    </row>
    <row r="301" spans="1:15" x14ac:dyDescent="0.25">
      <c r="A301" s="16" t="s">
        <v>1155</v>
      </c>
      <c r="B301" s="16" t="s">
        <v>13</v>
      </c>
      <c r="C301" s="16" t="s">
        <v>301</v>
      </c>
      <c r="D301" s="16">
        <v>197</v>
      </c>
      <c r="E301" s="16">
        <v>1</v>
      </c>
      <c r="F301" s="16">
        <v>10</v>
      </c>
      <c r="G301" s="16" t="s">
        <v>1156</v>
      </c>
      <c r="H301" s="16" t="s">
        <v>1157</v>
      </c>
      <c r="I301" s="16">
        <f>IF(OR(Picker!$B$10="Yes",SUMPRODUCT((Picker!$A$5:$A$9&lt;&gt;"")*(Picker!$A$5:$A$9&lt;&gt;"(none)"))=0),1,IF($L301="",0,COUNTIF(Picker!$A$5:$A$9,$L301))+IF($N301="",0,COUNTIF(Picker!$A$5:$A$9,$N301))+IF($P301="",0,COUNTIF(Picker!$A$5:$A$9,$P301)))</f>
      </c>
      <c r="J301" s="16">
        <f>IF($I301=0,"",COUNTIFS($B$2:$B$346,$B301,$I$2:$I$346,"&gt;"&amp;$I301)+COUNTIFS($B$2:$B301,$B301,$I$2:$I301,$I301))</f>
      </c>
      <c r="K301" s="16">
        <f>IF($J301="","",$B301&amp;"#"&amp;$J301)</f>
      </c>
      <c r="L301" s="16" t="s">
        <v>158</v>
      </c>
      <c r="M301" s="16">
        <v>2</v>
      </c>
      <c r="N301" s="16" t="s">
        <v>182</v>
      </c>
      <c r="O301" s="16">
        <v>1</v>
      </c>
    </row>
    <row r="302" spans="1:15" x14ac:dyDescent="0.25">
      <c r="A302" s="16" t="s">
        <v>1158</v>
      </c>
      <c r="B302" s="16" t="s">
        <v>13</v>
      </c>
      <c r="C302" s="16" t="s">
        <v>305</v>
      </c>
      <c r="D302" s="16">
        <v>197</v>
      </c>
      <c r="E302" s="16">
        <v>1</v>
      </c>
      <c r="F302" s="16">
        <v>10</v>
      </c>
      <c r="G302" s="16" t="s">
        <v>1159</v>
      </c>
      <c r="H302" s="16" t="s">
        <v>1160</v>
      </c>
      <c r="I302" s="16">
        <f>IF(OR(Picker!$B$10="Yes",SUMPRODUCT((Picker!$A$5:$A$9&lt;&gt;"")*(Picker!$A$5:$A$9&lt;&gt;"(none)"))=0),1,IF($L302="",0,COUNTIF(Picker!$A$5:$A$9,$L302))+IF($N302="",0,COUNTIF(Picker!$A$5:$A$9,$N302))+IF($P302="",0,COUNTIF(Picker!$A$5:$A$9,$P302)))</f>
      </c>
      <c r="J302" s="16">
        <f>IF($I302=0,"",COUNTIFS($B$2:$B$346,$B302,$I$2:$I$346,"&gt;"&amp;$I302)+COUNTIFS($B$2:$B302,$B302,$I$2:$I302,$I302))</f>
      </c>
      <c r="K302" s="16">
        <f>IF($J302="","",$B302&amp;"#"&amp;$J302)</f>
      </c>
      <c r="L302" s="16" t="s">
        <v>147</v>
      </c>
      <c r="M302" s="16">
        <v>1</v>
      </c>
      <c r="N302" s="16" t="s">
        <v>148</v>
      </c>
      <c r="O302" s="16">
        <v>1</v>
      </c>
    </row>
    <row r="303" spans="1:15" x14ac:dyDescent="0.25">
      <c r="A303" s="16" t="s">
        <v>1161</v>
      </c>
      <c r="B303" s="16" t="s">
        <v>13</v>
      </c>
      <c r="C303" s="16" t="s">
        <v>309</v>
      </c>
      <c r="D303" s="16">
        <v>197</v>
      </c>
      <c r="E303" s="16">
        <v>1</v>
      </c>
      <c r="F303" s="16">
        <v>10</v>
      </c>
      <c r="G303" s="16" t="s">
        <v>1162</v>
      </c>
      <c r="H303" s="16" t="s">
        <v>1163</v>
      </c>
      <c r="I303" s="16">
        <f>IF(OR(Picker!$B$10="Yes",SUMPRODUCT((Picker!$A$5:$A$9&lt;&gt;"")*(Picker!$A$5:$A$9&lt;&gt;"(none)"))=0),1,IF($L303="",0,COUNTIF(Picker!$A$5:$A$9,$L303))+IF($N303="",0,COUNTIF(Picker!$A$5:$A$9,$N303))+IF($P303="",0,COUNTIF(Picker!$A$5:$A$9,$P303)))</f>
      </c>
      <c r="J303" s="16">
        <f>IF($I303=0,"",COUNTIFS($B$2:$B$346,$B303,$I$2:$I$346,"&gt;"&amp;$I303)+COUNTIFS($B$2:$B303,$B303,$I$2:$I303,$I303))</f>
      </c>
      <c r="K303" s="16">
        <f>IF($J303="","",$B303&amp;"#"&amp;$J303)</f>
      </c>
      <c r="L303" s="16" t="s">
        <v>130</v>
      </c>
      <c r="M303" s="16">
        <v>1</v>
      </c>
      <c r="N303" s="16" t="s">
        <v>154</v>
      </c>
      <c r="O303" s="16">
        <v>1</v>
      </c>
    </row>
    <row r="304" spans="1:15" x14ac:dyDescent="0.25">
      <c r="A304" s="16" t="s">
        <v>1164</v>
      </c>
      <c r="B304" s="16" t="s">
        <v>13</v>
      </c>
      <c r="C304" s="16" t="s">
        <v>313</v>
      </c>
      <c r="D304" s="16">
        <v>197</v>
      </c>
      <c r="E304" s="16">
        <v>1</v>
      </c>
      <c r="F304" s="16">
        <v>10</v>
      </c>
      <c r="G304" s="16" t="s">
        <v>1165</v>
      </c>
      <c r="H304" s="16" t="s">
        <v>1166</v>
      </c>
      <c r="I304" s="16">
        <f>IF(OR(Picker!$B$10="Yes",SUMPRODUCT((Picker!$A$5:$A$9&lt;&gt;"")*(Picker!$A$5:$A$9&lt;&gt;"(none)"))=0),1,IF($L304="",0,COUNTIF(Picker!$A$5:$A$9,$L304))+IF($N304="",0,COUNTIF(Picker!$A$5:$A$9,$N304))+IF($P304="",0,COUNTIF(Picker!$A$5:$A$9,$P304)))</f>
      </c>
      <c r="J304" s="16">
        <f>IF($I304=0,"",COUNTIFS($B$2:$B$346,$B304,$I$2:$I$346,"&gt;"&amp;$I304)+COUNTIFS($B$2:$B304,$B304,$I$2:$I304,$I304))</f>
      </c>
      <c r="K304" s="16">
        <f>IF($J304="","",$B304&amp;"#"&amp;$J304)</f>
      </c>
      <c r="L304" s="16" t="s">
        <v>130</v>
      </c>
      <c r="M304" s="16">
        <v>1</v>
      </c>
      <c r="N304" s="16" t="s">
        <v>134</v>
      </c>
      <c r="O304" s="16">
        <v>2</v>
      </c>
    </row>
    <row r="305" spans="1:13" x14ac:dyDescent="0.25">
      <c r="A305" s="16" t="s">
        <v>1167</v>
      </c>
      <c r="B305" s="16" t="s">
        <v>13</v>
      </c>
      <c r="C305" s="16" t="s">
        <v>317</v>
      </c>
      <c r="D305" s="16">
        <v>197</v>
      </c>
      <c r="E305" s="16">
        <v>1</v>
      </c>
      <c r="F305" s="16">
        <v>10</v>
      </c>
      <c r="G305" s="16" t="s">
        <v>382</v>
      </c>
      <c r="H305" s="16" t="s">
        <v>1168</v>
      </c>
      <c r="I305" s="16">
        <f>IF(OR(Picker!$B$10="Yes",SUMPRODUCT((Picker!$A$5:$A$9&lt;&gt;"")*(Picker!$A$5:$A$9&lt;&gt;"(none)"))=0),1,IF($L305="",0,COUNTIF(Picker!$A$5:$A$9,$L305))+IF($N305="",0,COUNTIF(Picker!$A$5:$A$9,$N305))+IF($P305="",0,COUNTIF(Picker!$A$5:$A$9,$P305)))</f>
      </c>
      <c r="J305" s="16">
        <f>IF($I305=0,"",COUNTIFS($B$2:$B$346,$B305,$I$2:$I$346,"&gt;"&amp;$I305)+COUNTIFS($B$2:$B305,$B305,$I$2:$I305,$I305))</f>
      </c>
      <c r="K305" s="16">
        <f>IF($J305="","",$B305&amp;"#"&amp;$J305)</f>
      </c>
      <c r="L305" s="16" t="s">
        <v>190</v>
      </c>
      <c r="M305" s="16">
        <v>2</v>
      </c>
    </row>
    <row r="306" spans="1:15" x14ac:dyDescent="0.25">
      <c r="A306" s="16" t="s">
        <v>1169</v>
      </c>
      <c r="B306" s="16" t="s">
        <v>13</v>
      </c>
      <c r="C306" s="16" t="s">
        <v>321</v>
      </c>
      <c r="D306" s="16">
        <v>197</v>
      </c>
      <c r="E306" s="16">
        <v>1</v>
      </c>
      <c r="F306" s="16">
        <v>10</v>
      </c>
      <c r="G306" s="16" t="s">
        <v>1170</v>
      </c>
      <c r="H306" s="16" t="s">
        <v>1171</v>
      </c>
      <c r="I306" s="16">
        <f>IF(OR(Picker!$B$10="Yes",SUMPRODUCT((Picker!$A$5:$A$9&lt;&gt;"")*(Picker!$A$5:$A$9&lt;&gt;"(none)"))=0),1,IF($L306="",0,COUNTIF(Picker!$A$5:$A$9,$L306))+IF($N306="",0,COUNTIF(Picker!$A$5:$A$9,$N306))+IF($P306="",0,COUNTIF(Picker!$A$5:$A$9,$P306)))</f>
      </c>
      <c r="J306" s="16">
        <f>IF($I306=0,"",COUNTIFS($B$2:$B$346,$B306,$I$2:$I$346,"&gt;"&amp;$I306)+COUNTIFS($B$2:$B306,$B306,$I$2:$I306,$I306))</f>
      </c>
      <c r="K306" s="16">
        <f>IF($J306="","",$B306&amp;"#"&amp;$J306)</f>
      </c>
      <c r="L306" s="16" t="s">
        <v>112</v>
      </c>
      <c r="M306" s="16">
        <v>2</v>
      </c>
      <c r="N306" s="16" t="s">
        <v>127</v>
      </c>
      <c r="O306" s="16">
        <v>1</v>
      </c>
    </row>
    <row r="307" spans="1:15" x14ac:dyDescent="0.25">
      <c r="A307" s="16" t="s">
        <v>1172</v>
      </c>
      <c r="B307" s="16" t="s">
        <v>13</v>
      </c>
      <c r="C307" s="16" t="s">
        <v>325</v>
      </c>
      <c r="D307" s="16">
        <v>197</v>
      </c>
      <c r="E307" s="16">
        <v>1</v>
      </c>
      <c r="F307" s="16">
        <v>10</v>
      </c>
      <c r="G307" s="16" t="s">
        <v>1173</v>
      </c>
      <c r="H307" s="16" t="s">
        <v>1174</v>
      </c>
      <c r="I307" s="16">
        <f>IF(OR(Picker!$B$10="Yes",SUMPRODUCT((Picker!$A$5:$A$9&lt;&gt;"")*(Picker!$A$5:$A$9&lt;&gt;"(none)"))=0),1,IF($L307="",0,COUNTIF(Picker!$A$5:$A$9,$L307))+IF($N307="",0,COUNTIF(Picker!$A$5:$A$9,$N307))+IF($P307="",0,COUNTIF(Picker!$A$5:$A$9,$P307)))</f>
      </c>
      <c r="J307" s="16">
        <f>IF($I307=0,"",COUNTIFS($B$2:$B$346,$B307,$I$2:$I$346,"&gt;"&amp;$I307)+COUNTIFS($B$2:$B307,$B307,$I$2:$I307,$I307))</f>
      </c>
      <c r="K307" s="16">
        <f>IF($J307="","",$B307&amp;"#"&amp;$J307)</f>
      </c>
      <c r="L307" s="16" t="s">
        <v>180</v>
      </c>
      <c r="M307" s="16">
        <v>3</v>
      </c>
      <c r="N307" s="16" t="s">
        <v>69</v>
      </c>
      <c r="O307" s="16">
        <v>1</v>
      </c>
    </row>
    <row r="308" spans="1:17" x14ac:dyDescent="0.25">
      <c r="A308" s="16" t="s">
        <v>1175</v>
      </c>
      <c r="B308" s="16" t="s">
        <v>13</v>
      </c>
      <c r="C308" s="16" t="s">
        <v>329</v>
      </c>
      <c r="D308" s="16">
        <v>197</v>
      </c>
      <c r="E308" s="16">
        <v>1</v>
      </c>
      <c r="F308" s="16">
        <v>10</v>
      </c>
      <c r="G308" s="16" t="s">
        <v>1176</v>
      </c>
      <c r="H308" s="16" t="s">
        <v>1177</v>
      </c>
      <c r="I308" s="16">
        <f>IF(OR(Picker!$B$10="Yes",SUMPRODUCT((Picker!$A$5:$A$9&lt;&gt;"")*(Picker!$A$5:$A$9&lt;&gt;"(none)"))=0),1,IF($L308="",0,COUNTIF(Picker!$A$5:$A$9,$L308))+IF($N308="",0,COUNTIF(Picker!$A$5:$A$9,$N308))+IF($P308="",0,COUNTIF(Picker!$A$5:$A$9,$P308)))</f>
      </c>
      <c r="J308" s="16">
        <f>IF($I308=0,"",COUNTIFS($B$2:$B$346,$B308,$I$2:$I$346,"&gt;"&amp;$I308)+COUNTIFS($B$2:$B308,$B308,$I$2:$I308,$I308))</f>
      </c>
      <c r="K308" s="16">
        <f>IF($J308="","",$B308&amp;"#"&amp;$J308)</f>
      </c>
      <c r="L308" s="16" t="s">
        <v>104</v>
      </c>
      <c r="M308" s="16">
        <v>1</v>
      </c>
      <c r="N308" s="16" t="s">
        <v>90</v>
      </c>
      <c r="O308" s="16">
        <v>2</v>
      </c>
      <c r="P308" s="16" t="s">
        <v>178</v>
      </c>
      <c r="Q308" s="16">
        <v>1</v>
      </c>
    </row>
    <row r="309" spans="1:15" x14ac:dyDescent="0.25">
      <c r="A309" s="16" t="s">
        <v>1178</v>
      </c>
      <c r="B309" s="16" t="s">
        <v>13</v>
      </c>
      <c r="C309" s="16" t="s">
        <v>333</v>
      </c>
      <c r="D309" s="16">
        <v>197</v>
      </c>
      <c r="E309" s="16">
        <v>1</v>
      </c>
      <c r="F309" s="16">
        <v>10</v>
      </c>
      <c r="G309" s="16" t="s">
        <v>1179</v>
      </c>
      <c r="H309" s="16" t="s">
        <v>1180</v>
      </c>
      <c r="I309" s="16">
        <f>IF(OR(Picker!$B$10="Yes",SUMPRODUCT((Picker!$A$5:$A$9&lt;&gt;"")*(Picker!$A$5:$A$9&lt;&gt;"(none)"))=0),1,IF($L309="",0,COUNTIF(Picker!$A$5:$A$9,$L309))+IF($N309="",0,COUNTIF(Picker!$A$5:$A$9,$N309))+IF($P309="",0,COUNTIF(Picker!$A$5:$A$9,$P309)))</f>
      </c>
      <c r="J309" s="16">
        <f>IF($I309=0,"",COUNTIFS($B$2:$B$346,$B309,$I$2:$I$346,"&gt;"&amp;$I309)+COUNTIFS($B$2:$B309,$B309,$I$2:$I309,$I309))</f>
      </c>
      <c r="K309" s="16">
        <f>IF($J309="","",$B309&amp;"#"&amp;$J309)</f>
      </c>
      <c r="L309" s="16" t="s">
        <v>112</v>
      </c>
      <c r="M309" s="16">
        <v>1</v>
      </c>
      <c r="N309" s="16" t="s">
        <v>169</v>
      </c>
      <c r="O309" s="16">
        <v>1</v>
      </c>
    </row>
    <row r="310" spans="1:15" x14ac:dyDescent="0.25">
      <c r="A310" s="16" t="s">
        <v>1181</v>
      </c>
      <c r="B310" s="16" t="s">
        <v>13</v>
      </c>
      <c r="C310" s="16" t="s">
        <v>337</v>
      </c>
      <c r="D310" s="16">
        <v>197</v>
      </c>
      <c r="E310" s="16">
        <v>1</v>
      </c>
      <c r="F310" s="16">
        <v>10</v>
      </c>
      <c r="G310" s="16" t="s">
        <v>1182</v>
      </c>
      <c r="H310" s="16" t="s">
        <v>1183</v>
      </c>
      <c r="I310" s="16">
        <f>IF(OR(Picker!$B$10="Yes",SUMPRODUCT((Picker!$A$5:$A$9&lt;&gt;"")*(Picker!$A$5:$A$9&lt;&gt;"(none)"))=0),1,IF($L310="",0,COUNTIF(Picker!$A$5:$A$9,$L310))+IF($N310="",0,COUNTIF(Picker!$A$5:$A$9,$N310))+IF($P310="",0,COUNTIF(Picker!$A$5:$A$9,$P310)))</f>
      </c>
      <c r="J310" s="16">
        <f>IF($I310=0,"",COUNTIFS($B$2:$B$346,$B310,$I$2:$I$346,"&gt;"&amp;$I310)+COUNTIFS($B$2:$B310,$B310,$I$2:$I310,$I310))</f>
      </c>
      <c r="K310" s="16">
        <f>IF($J310="","",$B310&amp;"#"&amp;$J310)</f>
      </c>
      <c r="L310" s="16" t="s">
        <v>155</v>
      </c>
      <c r="M310" s="16">
        <v>2</v>
      </c>
      <c r="N310" s="16" t="s">
        <v>125</v>
      </c>
      <c r="O310" s="16">
        <v>1</v>
      </c>
    </row>
    <row r="311" spans="1:13" x14ac:dyDescent="0.25">
      <c r="A311" s="16" t="s">
        <v>1184</v>
      </c>
      <c r="B311" s="16" t="s">
        <v>13</v>
      </c>
      <c r="C311" s="16" t="s">
        <v>341</v>
      </c>
      <c r="D311" s="16">
        <v>197</v>
      </c>
      <c r="E311" s="16">
        <v>1</v>
      </c>
      <c r="F311" s="16">
        <v>10</v>
      </c>
      <c r="G311" s="16" t="s">
        <v>888</v>
      </c>
      <c r="H311" s="16" t="s">
        <v>1185</v>
      </c>
      <c r="I311" s="16">
        <f>IF(OR(Picker!$B$10="Yes",SUMPRODUCT((Picker!$A$5:$A$9&lt;&gt;"")*(Picker!$A$5:$A$9&lt;&gt;"(none)"))=0),1,IF($L311="",0,COUNTIF(Picker!$A$5:$A$9,$L311))+IF($N311="",0,COUNTIF(Picker!$A$5:$A$9,$N311))+IF($P311="",0,COUNTIF(Picker!$A$5:$A$9,$P311)))</f>
      </c>
      <c r="J311" s="16">
        <f>IF($I311=0,"",COUNTIFS($B$2:$B$346,$B311,$I$2:$I$346,"&gt;"&amp;$I311)+COUNTIFS($B$2:$B311,$B311,$I$2:$I311,$I311))</f>
      </c>
      <c r="K311" s="16">
        <f>IF($J311="","",$B311&amp;"#"&amp;$J311)</f>
      </c>
      <c r="L311" s="16" t="s">
        <v>92</v>
      </c>
      <c r="M311" s="16">
        <v>2</v>
      </c>
    </row>
    <row r="312" spans="1:17" x14ac:dyDescent="0.25">
      <c r="A312" s="16" t="s">
        <v>1186</v>
      </c>
      <c r="B312" s="16" t="s">
        <v>13</v>
      </c>
      <c r="C312" s="16" t="s">
        <v>345</v>
      </c>
      <c r="D312" s="16">
        <v>197</v>
      </c>
      <c r="E312" s="16">
        <v>1</v>
      </c>
      <c r="F312" s="16">
        <v>10</v>
      </c>
      <c r="G312" s="16" t="s">
        <v>1187</v>
      </c>
      <c r="H312" s="16" t="s">
        <v>1188</v>
      </c>
      <c r="I312" s="16">
        <f>IF(OR(Picker!$B$10="Yes",SUMPRODUCT((Picker!$A$5:$A$9&lt;&gt;"")*(Picker!$A$5:$A$9&lt;&gt;"(none)"))=0),1,IF($L312="",0,COUNTIF(Picker!$A$5:$A$9,$L312))+IF($N312="",0,COUNTIF(Picker!$A$5:$A$9,$N312))+IF($P312="",0,COUNTIF(Picker!$A$5:$A$9,$P312)))</f>
      </c>
      <c r="J312" s="16">
        <f>IF($I312=0,"",COUNTIFS($B$2:$B$346,$B312,$I$2:$I$346,"&gt;"&amp;$I312)+COUNTIFS($B$2:$B312,$B312,$I$2:$I312,$I312))</f>
      </c>
      <c r="K312" s="16">
        <f>IF($J312="","",$B312&amp;"#"&amp;$J312)</f>
      </c>
      <c r="L312" s="16" t="s">
        <v>69</v>
      </c>
      <c r="M312" s="16">
        <v>1</v>
      </c>
      <c r="N312" s="16" t="s">
        <v>165</v>
      </c>
      <c r="O312" s="16">
        <v>2</v>
      </c>
      <c r="P312" s="16" t="s">
        <v>126</v>
      </c>
      <c r="Q312" s="16">
        <v>1</v>
      </c>
    </row>
    <row r="313" spans="1:13" x14ac:dyDescent="0.25">
      <c r="A313" s="16" t="s">
        <v>1189</v>
      </c>
      <c r="B313" s="16" t="s">
        <v>13</v>
      </c>
      <c r="C313" s="16" t="s">
        <v>349</v>
      </c>
      <c r="D313" s="16">
        <v>197</v>
      </c>
      <c r="E313" s="16">
        <v>1</v>
      </c>
      <c r="F313" s="16">
        <v>10</v>
      </c>
      <c r="G313" s="16" t="s">
        <v>716</v>
      </c>
      <c r="H313" s="16" t="s">
        <v>1190</v>
      </c>
      <c r="I313" s="16">
        <f>IF(OR(Picker!$B$10="Yes",SUMPRODUCT((Picker!$A$5:$A$9&lt;&gt;"")*(Picker!$A$5:$A$9&lt;&gt;"(none)"))=0),1,IF($L313="",0,COUNTIF(Picker!$A$5:$A$9,$L313))+IF($N313="",0,COUNTIF(Picker!$A$5:$A$9,$N313))+IF($P313="",0,COUNTIF(Picker!$A$5:$A$9,$P313)))</f>
      </c>
      <c r="J313" s="16">
        <f>IF($I313=0,"",COUNTIFS($B$2:$B$346,$B313,$I$2:$I$346,"&gt;"&amp;$I313)+COUNTIFS($B$2:$B313,$B313,$I$2:$I313,$I313))</f>
      </c>
      <c r="K313" s="16">
        <f>IF($J313="","",$B313&amp;"#"&amp;$J313)</f>
      </c>
      <c r="L313" s="16" t="s">
        <v>123</v>
      </c>
      <c r="M313" s="16">
        <v>2</v>
      </c>
    </row>
    <row r="314" spans="1:15" x14ac:dyDescent="0.25">
      <c r="A314" s="16" t="s">
        <v>1191</v>
      </c>
      <c r="B314" s="16" t="s">
        <v>13</v>
      </c>
      <c r="C314" s="16" t="s">
        <v>353</v>
      </c>
      <c r="D314" s="16">
        <v>197</v>
      </c>
      <c r="E314" s="16">
        <v>1</v>
      </c>
      <c r="F314" s="16">
        <v>10</v>
      </c>
      <c r="G314" s="16" t="s">
        <v>1192</v>
      </c>
      <c r="H314" s="16" t="s">
        <v>1193</v>
      </c>
      <c r="I314" s="16">
        <f>IF(OR(Picker!$B$10="Yes",SUMPRODUCT((Picker!$A$5:$A$9&lt;&gt;"")*(Picker!$A$5:$A$9&lt;&gt;"(none)"))=0),1,IF($L314="",0,COUNTIF(Picker!$A$5:$A$9,$L314))+IF($N314="",0,COUNTIF(Picker!$A$5:$A$9,$N314))+IF($P314="",0,COUNTIF(Picker!$A$5:$A$9,$P314)))</f>
      </c>
      <c r="J314" s="16">
        <f>IF($I314=0,"",COUNTIFS($B$2:$B$346,$B314,$I$2:$I$346,"&gt;"&amp;$I314)+COUNTIFS($B$2:$B314,$B314,$I$2:$I314,$I314))</f>
      </c>
      <c r="K314" s="16">
        <f>IF($J314="","",$B314&amp;"#"&amp;$J314)</f>
      </c>
      <c r="L314" s="16" t="s">
        <v>149</v>
      </c>
      <c r="M314" s="16">
        <v>1</v>
      </c>
      <c r="N314" s="16" t="s">
        <v>142</v>
      </c>
      <c r="O314" s="16">
        <v>1</v>
      </c>
    </row>
    <row r="315" spans="1:15" x14ac:dyDescent="0.25">
      <c r="A315" s="16" t="s">
        <v>1194</v>
      </c>
      <c r="B315" s="16" t="s">
        <v>13</v>
      </c>
      <c r="C315" s="16" t="s">
        <v>357</v>
      </c>
      <c r="D315" s="16">
        <v>197</v>
      </c>
      <c r="E315" s="16">
        <v>1</v>
      </c>
      <c r="F315" s="16">
        <v>10</v>
      </c>
      <c r="G315" s="16" t="s">
        <v>1195</v>
      </c>
      <c r="H315" s="16" t="s">
        <v>1196</v>
      </c>
      <c r="I315" s="16">
        <f>IF(OR(Picker!$B$10="Yes",SUMPRODUCT((Picker!$A$5:$A$9&lt;&gt;"")*(Picker!$A$5:$A$9&lt;&gt;"(none)"))=0),1,IF($L315="",0,COUNTIF(Picker!$A$5:$A$9,$L315))+IF($N315="",0,COUNTIF(Picker!$A$5:$A$9,$N315))+IF($P315="",0,COUNTIF(Picker!$A$5:$A$9,$P315)))</f>
      </c>
      <c r="J315" s="16">
        <f>IF($I315=0,"",COUNTIFS($B$2:$B$346,$B315,$I$2:$I$346,"&gt;"&amp;$I315)+COUNTIFS($B$2:$B315,$B315,$I$2:$I315,$I315))</f>
      </c>
      <c r="K315" s="16">
        <f>IF($J315="","",$B315&amp;"#"&amp;$J315)</f>
      </c>
      <c r="L315" s="16" t="s">
        <v>124</v>
      </c>
      <c r="M315" s="16">
        <v>1</v>
      </c>
      <c r="N315" s="16" t="s">
        <v>157</v>
      </c>
      <c r="O315" s="16">
        <v>2</v>
      </c>
    </row>
    <row r="316" spans="1:13" x14ac:dyDescent="0.25">
      <c r="A316" s="16" t="s">
        <v>1197</v>
      </c>
      <c r="B316" s="16" t="s">
        <v>13</v>
      </c>
      <c r="C316" s="16" t="s">
        <v>361</v>
      </c>
      <c r="D316" s="16">
        <v>197</v>
      </c>
      <c r="E316" s="16">
        <v>1</v>
      </c>
      <c r="F316" s="16">
        <v>10</v>
      </c>
      <c r="G316" s="16" t="s">
        <v>1198</v>
      </c>
      <c r="H316" s="16" t="s">
        <v>1199</v>
      </c>
      <c r="I316" s="16">
        <f>IF(OR(Picker!$B$10="Yes",SUMPRODUCT((Picker!$A$5:$A$9&lt;&gt;"")*(Picker!$A$5:$A$9&lt;&gt;"(none)"))=0),1,IF($L316="",0,COUNTIF(Picker!$A$5:$A$9,$L316))+IF($N316="",0,COUNTIF(Picker!$A$5:$A$9,$N316))+IF($P316="",0,COUNTIF(Picker!$A$5:$A$9,$P316)))</f>
      </c>
      <c r="J316" s="16">
        <f>IF($I316=0,"",COUNTIFS($B$2:$B$346,$B316,$I$2:$I$346,"&gt;"&amp;$I316)+COUNTIFS($B$2:$B316,$B316,$I$2:$I316,$I316))</f>
      </c>
      <c r="K316" s="16">
        <f>IF($J316="","",$B316&amp;"#"&amp;$J316)</f>
      </c>
      <c r="L316" s="16" t="s">
        <v>193</v>
      </c>
      <c r="M316" s="16">
        <v>3</v>
      </c>
    </row>
    <row r="317" spans="1:15" x14ac:dyDescent="0.25">
      <c r="A317" s="16" t="s">
        <v>1200</v>
      </c>
      <c r="B317" s="16" t="s">
        <v>13</v>
      </c>
      <c r="C317" s="16" t="s">
        <v>365</v>
      </c>
      <c r="D317" s="16">
        <v>197</v>
      </c>
      <c r="E317" s="16">
        <v>1</v>
      </c>
      <c r="F317" s="16">
        <v>10</v>
      </c>
      <c r="G317" s="16" t="s">
        <v>1201</v>
      </c>
      <c r="H317" s="16" t="s">
        <v>1202</v>
      </c>
      <c r="I317" s="16">
        <f>IF(OR(Picker!$B$10="Yes",SUMPRODUCT((Picker!$A$5:$A$9&lt;&gt;"")*(Picker!$A$5:$A$9&lt;&gt;"(none)"))=0),1,IF($L317="",0,COUNTIF(Picker!$A$5:$A$9,$L317))+IF($N317="",0,COUNTIF(Picker!$A$5:$A$9,$N317))+IF($P317="",0,COUNTIF(Picker!$A$5:$A$9,$P317)))</f>
      </c>
      <c r="J317" s="16">
        <f>IF($I317=0,"",COUNTIFS($B$2:$B$346,$B317,$I$2:$I$346,"&gt;"&amp;$I317)+COUNTIFS($B$2:$B317,$B317,$I$2:$I317,$I317))</f>
      </c>
      <c r="K317" s="16">
        <f>IF($J317="","",$B317&amp;"#"&amp;$J317)</f>
      </c>
      <c r="L317" s="16" t="s">
        <v>175</v>
      </c>
      <c r="M317" s="16">
        <v>1</v>
      </c>
      <c r="N317" s="16" t="s">
        <v>162</v>
      </c>
      <c r="O317" s="16">
        <v>1</v>
      </c>
    </row>
    <row r="318" spans="1:15" x14ac:dyDescent="0.25">
      <c r="A318" s="16" t="s">
        <v>1203</v>
      </c>
      <c r="B318" s="16" t="s">
        <v>13</v>
      </c>
      <c r="C318" s="16" t="s">
        <v>369</v>
      </c>
      <c r="D318" s="16">
        <v>197</v>
      </c>
      <c r="E318" s="16">
        <v>1</v>
      </c>
      <c r="F318" s="16">
        <v>10</v>
      </c>
      <c r="G318" s="16" t="s">
        <v>1204</v>
      </c>
      <c r="H318" s="16" t="s">
        <v>1205</v>
      </c>
      <c r="I318" s="16">
        <f>IF(OR(Picker!$B$10="Yes",SUMPRODUCT((Picker!$A$5:$A$9&lt;&gt;"")*(Picker!$A$5:$A$9&lt;&gt;"(none)"))=0),1,IF($L318="",0,COUNTIF(Picker!$A$5:$A$9,$L318))+IF($N318="",0,COUNTIF(Picker!$A$5:$A$9,$N318))+IF($P318="",0,COUNTIF(Picker!$A$5:$A$9,$P318)))</f>
      </c>
      <c r="J318" s="16">
        <f>IF($I318=0,"",COUNTIFS($B$2:$B$346,$B318,$I$2:$I$346,"&gt;"&amp;$I318)+COUNTIFS($B$2:$B318,$B318,$I$2:$I318,$I318))</f>
      </c>
      <c r="K318" s="16">
        <f>IF($J318="","",$B318&amp;"#"&amp;$J318)</f>
      </c>
      <c r="L318" s="16" t="s">
        <v>84</v>
      </c>
      <c r="M318" s="16">
        <v>1</v>
      </c>
      <c r="N318" s="16" t="s">
        <v>74</v>
      </c>
      <c r="O318" s="16">
        <v>2</v>
      </c>
    </row>
    <row r="319" spans="1:15" x14ac:dyDescent="0.25">
      <c r="A319" s="16" t="s">
        <v>1206</v>
      </c>
      <c r="B319" s="16" t="s">
        <v>13</v>
      </c>
      <c r="C319" s="16" t="s">
        <v>373</v>
      </c>
      <c r="D319" s="16">
        <v>197</v>
      </c>
      <c r="E319" s="16">
        <v>1</v>
      </c>
      <c r="F319" s="16">
        <v>10</v>
      </c>
      <c r="G319" s="16" t="s">
        <v>1207</v>
      </c>
      <c r="H319" s="16" t="s">
        <v>1208</v>
      </c>
      <c r="I319" s="16">
        <f>IF(OR(Picker!$B$10="Yes",SUMPRODUCT((Picker!$A$5:$A$9&lt;&gt;"")*(Picker!$A$5:$A$9&lt;&gt;"(none)"))=0),1,IF($L319="",0,COUNTIF(Picker!$A$5:$A$9,$L319))+IF($N319="",0,COUNTIF(Picker!$A$5:$A$9,$N319))+IF($P319="",0,COUNTIF(Picker!$A$5:$A$9,$P319)))</f>
      </c>
      <c r="J319" s="16">
        <f>IF($I319=0,"",COUNTIFS($B$2:$B$346,$B319,$I$2:$I$346,"&gt;"&amp;$I319)+COUNTIFS($B$2:$B319,$B319,$I$2:$I319,$I319))</f>
      </c>
      <c r="K319" s="16">
        <f>IF($J319="","",$B319&amp;"#"&amp;$J319)</f>
      </c>
      <c r="L319" s="16" t="s">
        <v>151</v>
      </c>
      <c r="M319" s="16">
        <v>2</v>
      </c>
      <c r="N319" s="16" t="s">
        <v>131</v>
      </c>
      <c r="O319" s="16">
        <v>1</v>
      </c>
    </row>
    <row r="320" spans="1:17" x14ac:dyDescent="0.25">
      <c r="A320" s="16" t="s">
        <v>1209</v>
      </c>
      <c r="B320" s="16" t="s">
        <v>13</v>
      </c>
      <c r="C320" s="16" t="s">
        <v>377</v>
      </c>
      <c r="D320" s="16">
        <v>197</v>
      </c>
      <c r="E320" s="16">
        <v>1</v>
      </c>
      <c r="F320" s="16">
        <v>10</v>
      </c>
      <c r="G320" s="16" t="s">
        <v>1210</v>
      </c>
      <c r="H320" s="16" t="s">
        <v>1211</v>
      </c>
      <c r="I320" s="16">
        <f>IF(OR(Picker!$B$10="Yes",SUMPRODUCT((Picker!$A$5:$A$9&lt;&gt;"")*(Picker!$A$5:$A$9&lt;&gt;"(none)"))=0),1,IF($L320="",0,COUNTIF(Picker!$A$5:$A$9,$L320))+IF($N320="",0,COUNTIF(Picker!$A$5:$A$9,$N320))+IF($P320="",0,COUNTIF(Picker!$A$5:$A$9,$P320)))</f>
      </c>
      <c r="J320" s="16">
        <f>IF($I320=0,"",COUNTIFS($B$2:$B$346,$B320,$I$2:$I$346,"&gt;"&amp;$I320)+COUNTIFS($B$2:$B320,$B320,$I$2:$I320,$I320))</f>
      </c>
      <c r="K320" s="16">
        <f>IF($J320="","",$B320&amp;"#"&amp;$J320)</f>
      </c>
      <c r="L320" s="16" t="s">
        <v>139</v>
      </c>
      <c r="M320" s="16">
        <v>1</v>
      </c>
      <c r="N320" s="16" t="s">
        <v>114</v>
      </c>
      <c r="O320" s="16">
        <v>1</v>
      </c>
      <c r="P320" s="16" t="s">
        <v>85</v>
      </c>
      <c r="Q320" s="16">
        <v>1</v>
      </c>
    </row>
    <row r="321" spans="1:13" x14ac:dyDescent="0.25">
      <c r="A321" s="16" t="s">
        <v>1212</v>
      </c>
      <c r="B321" s="16" t="s">
        <v>13</v>
      </c>
      <c r="C321" s="16" t="s">
        <v>381</v>
      </c>
      <c r="D321" s="16">
        <v>197</v>
      </c>
      <c r="E321" s="16">
        <v>1</v>
      </c>
      <c r="F321" s="16">
        <v>10</v>
      </c>
      <c r="G321" s="16" t="s">
        <v>1213</v>
      </c>
      <c r="H321" s="16" t="s">
        <v>1214</v>
      </c>
      <c r="I321" s="16">
        <f>IF(OR(Picker!$B$10="Yes",SUMPRODUCT((Picker!$A$5:$A$9&lt;&gt;"")*(Picker!$A$5:$A$9&lt;&gt;"(none)"))=0),1,IF($L321="",0,COUNTIF(Picker!$A$5:$A$9,$L321))+IF($N321="",0,COUNTIF(Picker!$A$5:$A$9,$N321))+IF($P321="",0,COUNTIF(Picker!$A$5:$A$9,$P321)))</f>
      </c>
      <c r="J321" s="16">
        <f>IF($I321=0,"",COUNTIFS($B$2:$B$346,$B321,$I$2:$I$346,"&gt;"&amp;$I321)+COUNTIFS($B$2:$B321,$B321,$I$2:$I321,$I321))</f>
      </c>
      <c r="K321" s="16">
        <f>IF($J321="","",$B321&amp;"#"&amp;$J321)</f>
      </c>
      <c r="L321" s="16" t="s">
        <v>159</v>
      </c>
      <c r="M321" s="16">
        <v>2</v>
      </c>
    </row>
    <row r="322" spans="1:15" x14ac:dyDescent="0.25">
      <c r="A322" s="16" t="s">
        <v>1215</v>
      </c>
      <c r="B322" s="16" t="s">
        <v>13</v>
      </c>
      <c r="C322" s="16" t="s">
        <v>385</v>
      </c>
      <c r="D322" s="16">
        <v>197</v>
      </c>
      <c r="E322" s="16">
        <v>1</v>
      </c>
      <c r="F322" s="16">
        <v>10</v>
      </c>
      <c r="G322" s="16" t="s">
        <v>1216</v>
      </c>
      <c r="H322" s="16" t="s">
        <v>1217</v>
      </c>
      <c r="I322" s="16">
        <f>IF(OR(Picker!$B$10="Yes",SUMPRODUCT((Picker!$A$5:$A$9&lt;&gt;"")*(Picker!$A$5:$A$9&lt;&gt;"(none)"))=0),1,IF($L322="",0,COUNTIF(Picker!$A$5:$A$9,$L322))+IF($N322="",0,COUNTIF(Picker!$A$5:$A$9,$N322))+IF($P322="",0,COUNTIF(Picker!$A$5:$A$9,$P322)))</f>
      </c>
      <c r="J322" s="16">
        <f>IF($I322=0,"",COUNTIFS($B$2:$B$346,$B322,$I$2:$I$346,"&gt;"&amp;$I322)+COUNTIFS($B$2:$B322,$B322,$I$2:$I322,$I322))</f>
      </c>
      <c r="K322" s="16">
        <f>IF($J322="","",$B322&amp;"#"&amp;$J322)</f>
      </c>
      <c r="L322" s="16" t="s">
        <v>69</v>
      </c>
      <c r="M322" s="16">
        <v>1</v>
      </c>
      <c r="N322" s="16" t="s">
        <v>83</v>
      </c>
      <c r="O322" s="16">
        <v>2</v>
      </c>
    </row>
    <row r="323" spans="1:17" x14ac:dyDescent="0.25">
      <c r="A323" s="16" t="s">
        <v>1218</v>
      </c>
      <c r="B323" s="16" t="s">
        <v>13</v>
      </c>
      <c r="C323" s="16" t="s">
        <v>389</v>
      </c>
      <c r="D323" s="16">
        <v>197</v>
      </c>
      <c r="E323" s="16">
        <v>1</v>
      </c>
      <c r="F323" s="16">
        <v>10</v>
      </c>
      <c r="G323" s="16" t="s">
        <v>1219</v>
      </c>
      <c r="H323" s="16" t="s">
        <v>1220</v>
      </c>
      <c r="I323" s="16">
        <f>IF(OR(Picker!$B$10="Yes",SUMPRODUCT((Picker!$A$5:$A$9&lt;&gt;"")*(Picker!$A$5:$A$9&lt;&gt;"(none)"))=0),1,IF($L323="",0,COUNTIF(Picker!$A$5:$A$9,$L323))+IF($N323="",0,COUNTIF(Picker!$A$5:$A$9,$N323))+IF($P323="",0,COUNTIF(Picker!$A$5:$A$9,$P323)))</f>
      </c>
      <c r="J323" s="16">
        <f>IF($I323=0,"",COUNTIFS($B$2:$B$346,$B323,$I$2:$I$346,"&gt;"&amp;$I323)+COUNTIFS($B$2:$B323,$B323,$I$2:$I323,$I323))</f>
      </c>
      <c r="K323" s="16">
        <f>IF($J323="","",$B323&amp;"#"&amp;$J323)</f>
      </c>
      <c r="L323" s="16" t="s">
        <v>155</v>
      </c>
      <c r="M323" s="16">
        <v>1</v>
      </c>
      <c r="N323" s="16" t="s">
        <v>157</v>
      </c>
      <c r="O323" s="16">
        <v>1</v>
      </c>
      <c r="P323" s="16" t="s">
        <v>136</v>
      </c>
      <c r="Q323" s="16">
        <v>1</v>
      </c>
    </row>
    <row r="324" spans="1:13" x14ac:dyDescent="0.25">
      <c r="A324" s="16" t="s">
        <v>1221</v>
      </c>
      <c r="B324" s="16" t="s">
        <v>13</v>
      </c>
      <c r="C324" s="16" t="s">
        <v>393</v>
      </c>
      <c r="D324" s="16">
        <v>197</v>
      </c>
      <c r="E324" s="16">
        <v>1</v>
      </c>
      <c r="F324" s="16">
        <v>10</v>
      </c>
      <c r="G324" s="16" t="s">
        <v>1016</v>
      </c>
      <c r="H324" s="16" t="s">
        <v>1222</v>
      </c>
      <c r="I324" s="16">
        <f>IF(OR(Picker!$B$10="Yes",SUMPRODUCT((Picker!$A$5:$A$9&lt;&gt;"")*(Picker!$A$5:$A$9&lt;&gt;"(none)"))=0),1,IF($L324="",0,COUNTIF(Picker!$A$5:$A$9,$L324))+IF($N324="",0,COUNTIF(Picker!$A$5:$A$9,$N324))+IF($P324="",0,COUNTIF(Picker!$A$5:$A$9,$P324)))</f>
      </c>
      <c r="J324" s="16">
        <f>IF($I324=0,"",COUNTIFS($B$2:$B$346,$B324,$I$2:$I$346,"&gt;"&amp;$I324)+COUNTIFS($B$2:$B324,$B324,$I$2:$I324,$I324))</f>
      </c>
      <c r="K324" s="16">
        <f>IF($J324="","",$B324&amp;"#"&amp;$J324)</f>
      </c>
      <c r="L324" s="16" t="s">
        <v>106</v>
      </c>
      <c r="M324" s="16">
        <v>2</v>
      </c>
    </row>
    <row r="325" spans="1:15" x14ac:dyDescent="0.25">
      <c r="A325" s="16" t="s">
        <v>1223</v>
      </c>
      <c r="B325" s="16" t="s">
        <v>13</v>
      </c>
      <c r="C325" s="16" t="s">
        <v>397</v>
      </c>
      <c r="D325" s="16">
        <v>197</v>
      </c>
      <c r="E325" s="16">
        <v>2</v>
      </c>
      <c r="F325" s="16">
        <v>10</v>
      </c>
      <c r="G325" s="16" t="s">
        <v>1224</v>
      </c>
      <c r="H325" s="16" t="s">
        <v>1225</v>
      </c>
      <c r="I325" s="16">
        <f>IF(OR(Picker!$B$10="Yes",SUMPRODUCT((Picker!$A$5:$A$9&lt;&gt;"")*(Picker!$A$5:$A$9&lt;&gt;"(none)"))=0),1,IF($L325="",0,COUNTIF(Picker!$A$5:$A$9,$L325))+IF($N325="",0,COUNTIF(Picker!$A$5:$A$9,$N325))+IF($P325="",0,COUNTIF(Picker!$A$5:$A$9,$P325)))</f>
      </c>
      <c r="J325" s="16">
        <f>IF($I325=0,"",COUNTIFS($B$2:$B$346,$B325,$I$2:$I$346,"&gt;"&amp;$I325)+COUNTIFS($B$2:$B325,$B325,$I$2:$I325,$I325))</f>
      </c>
      <c r="K325" s="16">
        <f>IF($J325="","",$B325&amp;"#"&amp;$J325)</f>
      </c>
      <c r="L325" s="16" t="s">
        <v>119</v>
      </c>
      <c r="M325" s="16">
        <v>1</v>
      </c>
      <c r="N325" s="16" t="s">
        <v>149</v>
      </c>
      <c r="O325" s="16">
        <v>2</v>
      </c>
    </row>
    <row r="326" spans="1:15" x14ac:dyDescent="0.25">
      <c r="A326" s="16" t="s">
        <v>1226</v>
      </c>
      <c r="B326" s="16" t="s">
        <v>13</v>
      </c>
      <c r="C326" s="16" t="s">
        <v>401</v>
      </c>
      <c r="D326" s="16">
        <v>197</v>
      </c>
      <c r="E326" s="16">
        <v>1</v>
      </c>
      <c r="F326" s="16">
        <v>10</v>
      </c>
      <c r="G326" s="16" t="s">
        <v>1227</v>
      </c>
      <c r="H326" s="16" t="s">
        <v>1228</v>
      </c>
      <c r="I326" s="16">
        <f>IF(OR(Picker!$B$10="Yes",SUMPRODUCT((Picker!$A$5:$A$9&lt;&gt;"")*(Picker!$A$5:$A$9&lt;&gt;"(none)"))=0),1,IF($L326="",0,COUNTIF(Picker!$A$5:$A$9,$L326))+IF($N326="",0,COUNTIF(Picker!$A$5:$A$9,$N326))+IF($P326="",0,COUNTIF(Picker!$A$5:$A$9,$P326)))</f>
      </c>
      <c r="J326" s="16">
        <f>IF($I326=0,"",COUNTIFS($B$2:$B$346,$B326,$I$2:$I$346,"&gt;"&amp;$I326)+COUNTIFS($B$2:$B326,$B326,$I$2:$I326,$I326))</f>
      </c>
      <c r="K326" s="16">
        <f>IF($J326="","",$B326&amp;"#"&amp;$J326)</f>
      </c>
      <c r="L326" s="16" t="s">
        <v>192</v>
      </c>
      <c r="M326" s="16">
        <v>1</v>
      </c>
      <c r="N326" s="16" t="s">
        <v>150</v>
      </c>
      <c r="O326" s="16">
        <v>1</v>
      </c>
    </row>
    <row r="327" spans="1:13" x14ac:dyDescent="0.25">
      <c r="A327" s="16" t="s">
        <v>1229</v>
      </c>
      <c r="B327" s="16" t="s">
        <v>13</v>
      </c>
      <c r="C327" s="16" t="s">
        <v>405</v>
      </c>
      <c r="D327" s="16">
        <v>197</v>
      </c>
      <c r="E327" s="16">
        <v>1</v>
      </c>
      <c r="F327" s="16">
        <v>10</v>
      </c>
      <c r="G327" s="16" t="s">
        <v>590</v>
      </c>
      <c r="H327" s="16" t="s">
        <v>1230</v>
      </c>
      <c r="I327" s="16">
        <f>IF(OR(Picker!$B$10="Yes",SUMPRODUCT((Picker!$A$5:$A$9&lt;&gt;"")*(Picker!$A$5:$A$9&lt;&gt;"(none)"))=0),1,IF($L327="",0,COUNTIF(Picker!$A$5:$A$9,$L327))+IF($N327="",0,COUNTIF(Picker!$A$5:$A$9,$N327))+IF($P327="",0,COUNTIF(Picker!$A$5:$A$9,$P327)))</f>
      </c>
      <c r="J327" s="16">
        <f>IF($I327=0,"",COUNTIFS($B$2:$B$346,$B327,$I$2:$I$346,"&gt;"&amp;$I327)+COUNTIFS($B$2:$B327,$B327,$I$2:$I327,$I327))</f>
      </c>
      <c r="K327" s="16">
        <f>IF($J327="","",$B327&amp;"#"&amp;$J327)</f>
      </c>
      <c r="L327" s="16" t="s">
        <v>72</v>
      </c>
      <c r="M327" s="16">
        <v>3</v>
      </c>
    </row>
    <row r="328" spans="1:15" x14ac:dyDescent="0.25">
      <c r="A328" s="16" t="s">
        <v>1231</v>
      </c>
      <c r="B328" s="16" t="s">
        <v>13</v>
      </c>
      <c r="C328" s="16" t="s">
        <v>409</v>
      </c>
      <c r="D328" s="16">
        <v>197</v>
      </c>
      <c r="E328" s="16">
        <v>1</v>
      </c>
      <c r="F328" s="16">
        <v>10</v>
      </c>
      <c r="G328" s="16" t="s">
        <v>1232</v>
      </c>
      <c r="H328" s="16" t="s">
        <v>1233</v>
      </c>
      <c r="I328" s="16">
        <f>IF(OR(Picker!$B$10="Yes",SUMPRODUCT((Picker!$A$5:$A$9&lt;&gt;"")*(Picker!$A$5:$A$9&lt;&gt;"(none)"))=0),1,IF($L328="",0,COUNTIF(Picker!$A$5:$A$9,$L328))+IF($N328="",0,COUNTIF(Picker!$A$5:$A$9,$N328))+IF($P328="",0,COUNTIF(Picker!$A$5:$A$9,$P328)))</f>
      </c>
      <c r="J328" s="16">
        <f>IF($I328=0,"",COUNTIFS($B$2:$B$346,$B328,$I$2:$I$346,"&gt;"&amp;$I328)+COUNTIFS($B$2:$B328,$B328,$I$2:$I328,$I328))</f>
      </c>
      <c r="K328" s="16">
        <f>IF($J328="","",$B328&amp;"#"&amp;$J328)</f>
      </c>
      <c r="L328" s="16" t="s">
        <v>172</v>
      </c>
      <c r="M328" s="16">
        <v>2</v>
      </c>
      <c r="N328" s="16" t="s">
        <v>100</v>
      </c>
      <c r="O328" s="16">
        <v>1</v>
      </c>
    </row>
    <row r="329" spans="1:15" x14ac:dyDescent="0.25">
      <c r="A329" s="16" t="s">
        <v>1234</v>
      </c>
      <c r="B329" s="16" t="s">
        <v>13</v>
      </c>
      <c r="C329" s="16" t="s">
        <v>413</v>
      </c>
      <c r="D329" s="16">
        <v>197</v>
      </c>
      <c r="E329" s="16">
        <v>1</v>
      </c>
      <c r="F329" s="16">
        <v>10</v>
      </c>
      <c r="G329" s="16" t="s">
        <v>1235</v>
      </c>
      <c r="H329" s="16" t="s">
        <v>1236</v>
      </c>
      <c r="I329" s="16">
        <f>IF(OR(Picker!$B$10="Yes",SUMPRODUCT((Picker!$A$5:$A$9&lt;&gt;"")*(Picker!$A$5:$A$9&lt;&gt;"(none)"))=0),1,IF($L329="",0,COUNTIF(Picker!$A$5:$A$9,$L329))+IF($N329="",0,COUNTIF(Picker!$A$5:$A$9,$N329))+IF($P329="",0,COUNTIF(Picker!$A$5:$A$9,$P329)))</f>
      </c>
      <c r="J329" s="16">
        <f>IF($I329=0,"",COUNTIFS($B$2:$B$346,$B329,$I$2:$I$346,"&gt;"&amp;$I329)+COUNTIFS($B$2:$B329,$B329,$I$2:$I329,$I329))</f>
      </c>
      <c r="K329" s="16">
        <f>IF($J329="","",$B329&amp;"#"&amp;$J329)</f>
      </c>
      <c r="L329" s="16" t="s">
        <v>109</v>
      </c>
      <c r="M329" s="16">
        <v>1</v>
      </c>
      <c r="N329" s="16" t="s">
        <v>157</v>
      </c>
      <c r="O329" s="16">
        <v>2</v>
      </c>
    </row>
    <row r="330" spans="1:15" x14ac:dyDescent="0.25">
      <c r="A330" s="16" t="s">
        <v>1237</v>
      </c>
      <c r="B330" s="16" t="s">
        <v>13</v>
      </c>
      <c r="C330" s="16" t="s">
        <v>417</v>
      </c>
      <c r="D330" s="16">
        <v>197</v>
      </c>
      <c r="E330" s="16">
        <v>1</v>
      </c>
      <c r="F330" s="16">
        <v>10</v>
      </c>
      <c r="G330" s="16" t="s">
        <v>1238</v>
      </c>
      <c r="H330" s="16" t="s">
        <v>1239</v>
      </c>
      <c r="I330" s="16">
        <f>IF(OR(Picker!$B$10="Yes",SUMPRODUCT((Picker!$A$5:$A$9&lt;&gt;"")*(Picker!$A$5:$A$9&lt;&gt;"(none)"))=0),1,IF($L330="",0,COUNTIF(Picker!$A$5:$A$9,$L330))+IF($N330="",0,COUNTIF(Picker!$A$5:$A$9,$N330))+IF($P330="",0,COUNTIF(Picker!$A$5:$A$9,$P330)))</f>
      </c>
      <c r="J330" s="16">
        <f>IF($I330=0,"",COUNTIFS($B$2:$B$346,$B330,$I$2:$I$346,"&gt;"&amp;$I330)+COUNTIFS($B$2:$B330,$B330,$I$2:$I330,$I330))</f>
      </c>
      <c r="K330" s="16">
        <f>IF($J330="","",$B330&amp;"#"&amp;$J330)</f>
      </c>
      <c r="L330" s="16" t="s">
        <v>110</v>
      </c>
      <c r="M330" s="16">
        <v>3</v>
      </c>
      <c r="N330" s="16" t="s">
        <v>192</v>
      </c>
      <c r="O330" s="16">
        <v>1</v>
      </c>
    </row>
    <row r="331" spans="1:13" x14ac:dyDescent="0.25">
      <c r="A331" s="16" t="s">
        <v>1240</v>
      </c>
      <c r="B331" s="16" t="s">
        <v>13</v>
      </c>
      <c r="C331" s="16" t="s">
        <v>421</v>
      </c>
      <c r="D331" s="16">
        <v>197</v>
      </c>
      <c r="E331" s="16">
        <v>2</v>
      </c>
      <c r="F331" s="16">
        <v>10</v>
      </c>
      <c r="G331" s="16" t="s">
        <v>1241</v>
      </c>
      <c r="H331" s="16" t="s">
        <v>1242</v>
      </c>
      <c r="I331" s="16">
        <f>IF(OR(Picker!$B$10="Yes",SUMPRODUCT((Picker!$A$5:$A$9&lt;&gt;"")*(Picker!$A$5:$A$9&lt;&gt;"(none)"))=0),1,IF($L331="",0,COUNTIF(Picker!$A$5:$A$9,$L331))+IF($N331="",0,COUNTIF(Picker!$A$5:$A$9,$N331))+IF($P331="",0,COUNTIF(Picker!$A$5:$A$9,$P331)))</f>
      </c>
      <c r="J331" s="16">
        <f>IF($I331=0,"",COUNTIFS($B$2:$B$346,$B331,$I$2:$I$346,"&gt;"&amp;$I331)+COUNTIFS($B$2:$B331,$B331,$I$2:$I331,$I331))</f>
      </c>
      <c r="K331" s="16">
        <f>IF($J331="","",$B331&amp;"#"&amp;$J331)</f>
      </c>
      <c r="L331" s="16" t="s">
        <v>119</v>
      </c>
      <c r="M331" s="16">
        <v>2</v>
      </c>
    </row>
    <row r="332" spans="1:17" x14ac:dyDescent="0.25">
      <c r="A332" s="16" t="s">
        <v>1243</v>
      </c>
      <c r="B332" s="16" t="s">
        <v>13</v>
      </c>
      <c r="C332" s="16" t="s">
        <v>425</v>
      </c>
      <c r="D332" s="16">
        <v>197</v>
      </c>
      <c r="E332" s="16">
        <v>1</v>
      </c>
      <c r="F332" s="16">
        <v>10</v>
      </c>
      <c r="G332" s="16" t="s">
        <v>1244</v>
      </c>
      <c r="H332" s="16" t="s">
        <v>1245</v>
      </c>
      <c r="I332" s="16">
        <f>IF(OR(Picker!$B$10="Yes",SUMPRODUCT((Picker!$A$5:$A$9&lt;&gt;"")*(Picker!$A$5:$A$9&lt;&gt;"(none)"))=0),1,IF($L332="",0,COUNTIF(Picker!$A$5:$A$9,$L332))+IF($N332="",0,COUNTIF(Picker!$A$5:$A$9,$N332))+IF($P332="",0,COUNTIF(Picker!$A$5:$A$9,$P332)))</f>
      </c>
      <c r="J332" s="16">
        <f>IF($I332=0,"",COUNTIFS($B$2:$B$346,$B332,$I$2:$I$346,"&gt;"&amp;$I332)+COUNTIFS($B$2:$B332,$B332,$I$2:$I332,$I332))</f>
      </c>
      <c r="K332" s="16">
        <f>IF($J332="","",$B332&amp;"#"&amp;$J332)</f>
      </c>
      <c r="L332" s="16" t="s">
        <v>139</v>
      </c>
      <c r="M332" s="16">
        <v>1</v>
      </c>
      <c r="N332" s="16" t="s">
        <v>130</v>
      </c>
      <c r="O332" s="16">
        <v>1</v>
      </c>
      <c r="P332" s="16" t="s">
        <v>73</v>
      </c>
      <c r="Q332" s="16">
        <v>1</v>
      </c>
    </row>
    <row r="333" spans="1:15" x14ac:dyDescent="0.25">
      <c r="A333" s="16" t="s">
        <v>1246</v>
      </c>
      <c r="B333" s="16" t="s">
        <v>13</v>
      </c>
      <c r="C333" s="16" t="s">
        <v>429</v>
      </c>
      <c r="D333" s="16">
        <v>197</v>
      </c>
      <c r="E333" s="16">
        <v>1</v>
      </c>
      <c r="F333" s="16">
        <v>10</v>
      </c>
      <c r="G333" s="16" t="s">
        <v>1247</v>
      </c>
      <c r="H333" s="16" t="s">
        <v>1248</v>
      </c>
      <c r="I333" s="16">
        <f>IF(OR(Picker!$B$10="Yes",SUMPRODUCT((Picker!$A$5:$A$9&lt;&gt;"")*(Picker!$A$5:$A$9&lt;&gt;"(none)"))=0),1,IF($L333="",0,COUNTIF(Picker!$A$5:$A$9,$L333))+IF($N333="",0,COUNTIF(Picker!$A$5:$A$9,$N333))+IF($P333="",0,COUNTIF(Picker!$A$5:$A$9,$P333)))</f>
      </c>
      <c r="J333" s="16">
        <f>IF($I333=0,"",COUNTIFS($B$2:$B$346,$B333,$I$2:$I$346,"&gt;"&amp;$I333)+COUNTIFS($B$2:$B333,$B333,$I$2:$I333,$I333))</f>
      </c>
      <c r="K333" s="16">
        <f>IF($J333="","",$B333&amp;"#"&amp;$J333)</f>
      </c>
      <c r="L333" s="16" t="s">
        <v>138</v>
      </c>
      <c r="M333" s="16">
        <v>2</v>
      </c>
      <c r="N333" s="16" t="s">
        <v>59</v>
      </c>
      <c r="O333" s="16">
        <v>1</v>
      </c>
    </row>
    <row r="334" spans="1:17" x14ac:dyDescent="0.25">
      <c r="A334" s="16" t="s">
        <v>1249</v>
      </c>
      <c r="B334" s="16" t="s">
        <v>13</v>
      </c>
      <c r="C334" s="16" t="s">
        <v>433</v>
      </c>
      <c r="D334" s="16">
        <v>197</v>
      </c>
      <c r="E334" s="16">
        <v>1</v>
      </c>
      <c r="F334" s="16">
        <v>10</v>
      </c>
      <c r="G334" s="16" t="s">
        <v>1250</v>
      </c>
      <c r="H334" s="16" t="s">
        <v>1251</v>
      </c>
      <c r="I334" s="16">
        <f>IF(OR(Picker!$B$10="Yes",SUMPRODUCT((Picker!$A$5:$A$9&lt;&gt;"")*(Picker!$A$5:$A$9&lt;&gt;"(none)"))=0),1,IF($L334="",0,COUNTIF(Picker!$A$5:$A$9,$L334))+IF($N334="",0,COUNTIF(Picker!$A$5:$A$9,$N334))+IF($P334="",0,COUNTIF(Picker!$A$5:$A$9,$P334)))</f>
      </c>
      <c r="J334" s="16">
        <f>IF($I334=0,"",COUNTIFS($B$2:$B$346,$B334,$I$2:$I$346,"&gt;"&amp;$I334)+COUNTIFS($B$2:$B334,$B334,$I$2:$I334,$I334))</f>
      </c>
      <c r="K334" s="16">
        <f>IF($J334="","",$B334&amp;"#"&amp;$J334)</f>
      </c>
      <c r="L334" s="16" t="s">
        <v>155</v>
      </c>
      <c r="M334" s="16">
        <v>1</v>
      </c>
      <c r="N334" s="16" t="s">
        <v>157</v>
      </c>
      <c r="O334" s="16">
        <v>1</v>
      </c>
      <c r="P334" s="16" t="s">
        <v>184</v>
      </c>
      <c r="Q334" s="16">
        <v>1</v>
      </c>
    </row>
    <row r="335" spans="1:15" x14ac:dyDescent="0.25">
      <c r="A335" s="16" t="s">
        <v>1252</v>
      </c>
      <c r="B335" s="16" t="s">
        <v>13</v>
      </c>
      <c r="C335" s="16" t="s">
        <v>437</v>
      </c>
      <c r="D335" s="16">
        <v>197</v>
      </c>
      <c r="E335" s="16">
        <v>1</v>
      </c>
      <c r="F335" s="16">
        <v>10</v>
      </c>
      <c r="G335" s="16" t="s">
        <v>1253</v>
      </c>
      <c r="H335" s="16" t="s">
        <v>1254</v>
      </c>
      <c r="I335" s="16">
        <f>IF(OR(Picker!$B$10="Yes",SUMPRODUCT((Picker!$A$5:$A$9&lt;&gt;"")*(Picker!$A$5:$A$9&lt;&gt;"(none)"))=0),1,IF($L335="",0,COUNTIF(Picker!$A$5:$A$9,$L335))+IF($N335="",0,COUNTIF(Picker!$A$5:$A$9,$N335))+IF($P335="",0,COUNTIF(Picker!$A$5:$A$9,$P335)))</f>
      </c>
      <c r="J335" s="16">
        <f>IF($I335=0,"",COUNTIFS($B$2:$B$346,$B335,$I$2:$I$346,"&gt;"&amp;$I335)+COUNTIFS($B$2:$B335,$B335,$I$2:$I335,$I335))</f>
      </c>
      <c r="K335" s="16">
        <f>IF($J335="","",$B335&amp;"#"&amp;$J335)</f>
      </c>
      <c r="L335" s="16" t="s">
        <v>192</v>
      </c>
      <c r="M335" s="16">
        <v>1</v>
      </c>
      <c r="N335" s="16" t="s">
        <v>91</v>
      </c>
      <c r="O335" s="16">
        <v>1</v>
      </c>
    </row>
    <row r="336" spans="1:15" x14ac:dyDescent="0.25">
      <c r="A336" s="16" t="s">
        <v>1255</v>
      </c>
      <c r="B336" s="16" t="s">
        <v>13</v>
      </c>
      <c r="C336" s="16" t="s">
        <v>441</v>
      </c>
      <c r="D336" s="16">
        <v>197</v>
      </c>
      <c r="E336" s="16">
        <v>1</v>
      </c>
      <c r="F336" s="16">
        <v>10</v>
      </c>
      <c r="G336" s="16" t="s">
        <v>1256</v>
      </c>
      <c r="H336" s="16" t="s">
        <v>1257</v>
      </c>
      <c r="I336" s="16">
        <f>IF(OR(Picker!$B$10="Yes",SUMPRODUCT((Picker!$A$5:$A$9&lt;&gt;"")*(Picker!$A$5:$A$9&lt;&gt;"(none)"))=0),1,IF($L336="",0,COUNTIF(Picker!$A$5:$A$9,$L336))+IF($N336="",0,COUNTIF(Picker!$A$5:$A$9,$N336))+IF($P336="",0,COUNTIF(Picker!$A$5:$A$9,$P336)))</f>
      </c>
      <c r="J336" s="16">
        <f>IF($I336=0,"",COUNTIFS($B$2:$B$346,$B336,$I$2:$I$346,"&gt;"&amp;$I336)+COUNTIFS($B$2:$B336,$B336,$I$2:$I336,$I336))</f>
      </c>
      <c r="K336" s="16">
        <f>IF($J336="","",$B336&amp;"#"&amp;$J336)</f>
      </c>
      <c r="L336" s="16" t="s">
        <v>170</v>
      </c>
      <c r="M336" s="16">
        <v>1</v>
      </c>
      <c r="N336" s="16" t="s">
        <v>75</v>
      </c>
      <c r="O336" s="16">
        <v>1</v>
      </c>
    </row>
    <row r="337" spans="1:13" x14ac:dyDescent="0.25">
      <c r="A337" s="16" t="s">
        <v>1258</v>
      </c>
      <c r="B337" s="16" t="s">
        <v>13</v>
      </c>
      <c r="C337" s="16" t="s">
        <v>445</v>
      </c>
      <c r="D337" s="16">
        <v>197</v>
      </c>
      <c r="E337" s="16">
        <v>1</v>
      </c>
      <c r="F337" s="16">
        <v>10</v>
      </c>
      <c r="G337" s="16" t="s">
        <v>876</v>
      </c>
      <c r="H337" s="16" t="s">
        <v>1259</v>
      </c>
      <c r="I337" s="16">
        <f>IF(OR(Picker!$B$10="Yes",SUMPRODUCT((Picker!$A$5:$A$9&lt;&gt;"")*(Picker!$A$5:$A$9&lt;&gt;"(none)"))=0),1,IF($L337="",0,COUNTIF(Picker!$A$5:$A$9,$L337))+IF($N337="",0,COUNTIF(Picker!$A$5:$A$9,$N337))+IF($P337="",0,COUNTIF(Picker!$A$5:$A$9,$P337)))</f>
      </c>
      <c r="J337" s="16">
        <f>IF($I337=0,"",COUNTIFS($B$2:$B$346,$B337,$I$2:$I$346,"&gt;"&amp;$I337)+COUNTIFS($B$2:$B337,$B337,$I$2:$I337,$I337))</f>
      </c>
      <c r="K337" s="16">
        <f>IF($J337="","",$B337&amp;"#"&amp;$J337)</f>
      </c>
      <c r="L337" s="16" t="s">
        <v>175</v>
      </c>
      <c r="M337" s="16">
        <v>2</v>
      </c>
    </row>
    <row r="338" spans="1:13" x14ac:dyDescent="0.25">
      <c r="A338" s="16" t="s">
        <v>1260</v>
      </c>
      <c r="B338" s="16" t="s">
        <v>13</v>
      </c>
      <c r="C338" s="16" t="s">
        <v>449</v>
      </c>
      <c r="D338" s="16">
        <v>197</v>
      </c>
      <c r="E338" s="16">
        <v>1</v>
      </c>
      <c r="F338" s="16">
        <v>10</v>
      </c>
      <c r="G338" s="16" t="s">
        <v>1261</v>
      </c>
      <c r="H338" s="16" t="s">
        <v>1262</v>
      </c>
      <c r="I338" s="16">
        <f>IF(OR(Picker!$B$10="Yes",SUMPRODUCT((Picker!$A$5:$A$9&lt;&gt;"")*(Picker!$A$5:$A$9&lt;&gt;"(none)"))=0),1,IF($L338="",0,COUNTIF(Picker!$A$5:$A$9,$L338))+IF($N338="",0,COUNTIF(Picker!$A$5:$A$9,$N338))+IF($P338="",0,COUNTIF(Picker!$A$5:$A$9,$P338)))</f>
      </c>
      <c r="J338" s="16">
        <f>IF($I338=0,"",COUNTIFS($B$2:$B$346,$B338,$I$2:$I$346,"&gt;"&amp;$I338)+COUNTIFS($B$2:$B338,$B338,$I$2:$I338,$I338))</f>
      </c>
      <c r="K338" s="16">
        <f>IF($J338="","",$B338&amp;"#"&amp;$J338)</f>
      </c>
      <c r="L338" s="16" t="s">
        <v>103</v>
      </c>
      <c r="M338" s="16">
        <v>3</v>
      </c>
    </row>
    <row r="339" spans="1:15" x14ac:dyDescent="0.25">
      <c r="A339" s="16" t="s">
        <v>1263</v>
      </c>
      <c r="B339" s="16" t="s">
        <v>13</v>
      </c>
      <c r="C339" s="16" t="s">
        <v>453</v>
      </c>
      <c r="D339" s="16">
        <v>197</v>
      </c>
      <c r="E339" s="16">
        <v>1</v>
      </c>
      <c r="F339" s="16">
        <v>10</v>
      </c>
      <c r="G339" s="16" t="s">
        <v>1264</v>
      </c>
      <c r="H339" s="16" t="s">
        <v>1265</v>
      </c>
      <c r="I339" s="16">
        <f>IF(OR(Picker!$B$10="Yes",SUMPRODUCT((Picker!$A$5:$A$9&lt;&gt;"")*(Picker!$A$5:$A$9&lt;&gt;"(none)"))=0),1,IF($L339="",0,COUNTIF(Picker!$A$5:$A$9,$L339))+IF($N339="",0,COUNTIF(Picker!$A$5:$A$9,$N339))+IF($P339="",0,COUNTIF(Picker!$A$5:$A$9,$P339)))</f>
      </c>
      <c r="J339" s="16">
        <f>IF($I339=0,"",COUNTIFS($B$2:$B$346,$B339,$I$2:$I$346,"&gt;"&amp;$I339)+COUNTIFS($B$2:$B339,$B339,$I$2:$I339,$I339))</f>
      </c>
      <c r="K339" s="16">
        <f>IF($J339="","",$B339&amp;"#"&amp;$J339)</f>
      </c>
      <c r="L339" s="16" t="s">
        <v>67</v>
      </c>
      <c r="M339" s="16">
        <v>2</v>
      </c>
      <c r="N339" s="16" t="s">
        <v>135</v>
      </c>
      <c r="O339" s="16">
        <v>1</v>
      </c>
    </row>
    <row r="340" spans="1:15" x14ac:dyDescent="0.25">
      <c r="A340" s="16" t="s">
        <v>1266</v>
      </c>
      <c r="B340" s="16" t="s">
        <v>13</v>
      </c>
      <c r="C340" s="16" t="s">
        <v>457</v>
      </c>
      <c r="D340" s="16">
        <v>197</v>
      </c>
      <c r="E340" s="16">
        <v>1</v>
      </c>
      <c r="F340" s="16">
        <v>10</v>
      </c>
      <c r="G340" s="16" t="s">
        <v>1267</v>
      </c>
      <c r="H340" s="16" t="s">
        <v>1268</v>
      </c>
      <c r="I340" s="16">
        <f>IF(OR(Picker!$B$10="Yes",SUMPRODUCT((Picker!$A$5:$A$9&lt;&gt;"")*(Picker!$A$5:$A$9&lt;&gt;"(none)"))=0),1,IF($L340="",0,COUNTIF(Picker!$A$5:$A$9,$L340))+IF($N340="",0,COUNTIF(Picker!$A$5:$A$9,$N340))+IF($P340="",0,COUNTIF(Picker!$A$5:$A$9,$P340)))</f>
      </c>
      <c r="J340" s="16">
        <f>IF($I340=0,"",COUNTIFS($B$2:$B$346,$B340,$I$2:$I$346,"&gt;"&amp;$I340)+COUNTIFS($B$2:$B340,$B340,$I$2:$I340,$I340))</f>
      </c>
      <c r="K340" s="16">
        <f>IF($J340="","",$B340&amp;"#"&amp;$J340)</f>
      </c>
      <c r="L340" s="16" t="s">
        <v>144</v>
      </c>
      <c r="M340" s="16">
        <v>2</v>
      </c>
      <c r="N340" s="16" t="s">
        <v>130</v>
      </c>
      <c r="O340" s="16">
        <v>1</v>
      </c>
    </row>
    <row r="341" spans="1:13" x14ac:dyDescent="0.25">
      <c r="A341" s="16" t="s">
        <v>1269</v>
      </c>
      <c r="B341" s="16" t="s">
        <v>13</v>
      </c>
      <c r="C341" s="16" t="s">
        <v>461</v>
      </c>
      <c r="D341" s="16">
        <v>197</v>
      </c>
      <c r="E341" s="16">
        <v>2</v>
      </c>
      <c r="F341" s="16">
        <v>10</v>
      </c>
      <c r="G341" s="16" t="s">
        <v>1270</v>
      </c>
      <c r="H341" s="16" t="s">
        <v>1271</v>
      </c>
      <c r="I341" s="16">
        <f>IF(OR(Picker!$B$10="Yes",SUMPRODUCT((Picker!$A$5:$A$9&lt;&gt;"")*(Picker!$A$5:$A$9&lt;&gt;"(none)"))=0),1,IF($L341="",0,COUNTIF(Picker!$A$5:$A$9,$L341))+IF($N341="",0,COUNTIF(Picker!$A$5:$A$9,$N341))+IF($P341="",0,COUNTIF(Picker!$A$5:$A$9,$P341)))</f>
      </c>
      <c r="J341" s="16">
        <f>IF($I341=0,"",COUNTIFS($B$2:$B$346,$B341,$I$2:$I$346,"&gt;"&amp;$I341)+COUNTIFS($B$2:$B341,$B341,$I$2:$I341,$I341))</f>
      </c>
      <c r="K341" s="16">
        <f>IF($J341="","",$B341&amp;"#"&amp;$J341)</f>
      </c>
      <c r="L341" s="16" t="s">
        <v>113</v>
      </c>
      <c r="M341" s="16">
        <v>2</v>
      </c>
    </row>
    <row r="342" spans="1:15" x14ac:dyDescent="0.25">
      <c r="A342" s="16" t="s">
        <v>1272</v>
      </c>
      <c r="B342" s="16" t="s">
        <v>13</v>
      </c>
      <c r="C342" s="16" t="s">
        <v>465</v>
      </c>
      <c r="D342" s="16">
        <v>197</v>
      </c>
      <c r="E342" s="16">
        <v>1</v>
      </c>
      <c r="F342" s="16">
        <v>10</v>
      </c>
      <c r="G342" s="16" t="s">
        <v>1273</v>
      </c>
      <c r="H342" s="16" t="s">
        <v>1274</v>
      </c>
      <c r="I342" s="16">
        <f>IF(OR(Picker!$B$10="Yes",SUMPRODUCT((Picker!$A$5:$A$9&lt;&gt;"")*(Picker!$A$5:$A$9&lt;&gt;"(none)"))=0),1,IF($L342="",0,COUNTIF(Picker!$A$5:$A$9,$L342))+IF($N342="",0,COUNTIF(Picker!$A$5:$A$9,$N342))+IF($P342="",0,COUNTIF(Picker!$A$5:$A$9,$P342)))</f>
      </c>
      <c r="J342" s="16">
        <f>IF($I342=0,"",COUNTIFS($B$2:$B$346,$B342,$I$2:$I$346,"&gt;"&amp;$I342)+COUNTIFS($B$2:$B342,$B342,$I$2:$I342,$I342))</f>
      </c>
      <c r="K342" s="16">
        <f>IF($J342="","",$B342&amp;"#"&amp;$J342)</f>
      </c>
      <c r="L342" s="16" t="s">
        <v>117</v>
      </c>
      <c r="M342" s="16">
        <v>2</v>
      </c>
      <c r="N342" s="16" t="s">
        <v>128</v>
      </c>
      <c r="O342" s="16">
        <v>1</v>
      </c>
    </row>
    <row r="343" spans="1:15" x14ac:dyDescent="0.25">
      <c r="A343" s="16" t="s">
        <v>1275</v>
      </c>
      <c r="B343" s="16" t="s">
        <v>13</v>
      </c>
      <c r="C343" s="16" t="s">
        <v>469</v>
      </c>
      <c r="D343" s="16">
        <v>197</v>
      </c>
      <c r="E343" s="16">
        <v>1</v>
      </c>
      <c r="F343" s="16">
        <v>10</v>
      </c>
      <c r="G343" s="16" t="s">
        <v>1276</v>
      </c>
      <c r="H343" s="16" t="s">
        <v>1277</v>
      </c>
      <c r="I343" s="16">
        <f>IF(OR(Picker!$B$10="Yes",SUMPRODUCT((Picker!$A$5:$A$9&lt;&gt;"")*(Picker!$A$5:$A$9&lt;&gt;"(none)"))=0),1,IF($L343="",0,COUNTIF(Picker!$A$5:$A$9,$L343))+IF($N343="",0,COUNTIF(Picker!$A$5:$A$9,$N343))+IF($P343="",0,COUNTIF(Picker!$A$5:$A$9,$P343)))</f>
      </c>
      <c r="J343" s="16">
        <f>IF($I343=0,"",COUNTIFS($B$2:$B$346,$B343,$I$2:$I$346,"&gt;"&amp;$I343)+COUNTIFS($B$2:$B343,$B343,$I$2:$I343,$I343))</f>
      </c>
      <c r="K343" s="16">
        <f>IF($J343="","",$B343&amp;"#"&amp;$J343)</f>
      </c>
      <c r="L343" s="16" t="s">
        <v>148</v>
      </c>
      <c r="M343" s="16">
        <v>2</v>
      </c>
      <c r="N343" s="16" t="s">
        <v>61</v>
      </c>
      <c r="O343" s="16">
        <v>1</v>
      </c>
    </row>
    <row r="344" spans="1:13" x14ac:dyDescent="0.25">
      <c r="A344" s="16" t="s">
        <v>1278</v>
      </c>
      <c r="B344" s="16" t="s">
        <v>13</v>
      </c>
      <c r="C344" s="16" t="s">
        <v>473</v>
      </c>
      <c r="D344" s="16">
        <v>197</v>
      </c>
      <c r="E344" s="16">
        <v>1</v>
      </c>
      <c r="F344" s="16">
        <v>10</v>
      </c>
      <c r="G344" s="16" t="s">
        <v>294</v>
      </c>
      <c r="H344" s="16" t="s">
        <v>1279</v>
      </c>
      <c r="I344" s="16">
        <f>IF(OR(Picker!$B$10="Yes",SUMPRODUCT((Picker!$A$5:$A$9&lt;&gt;"")*(Picker!$A$5:$A$9&lt;&gt;"(none)"))=0),1,IF($L344="",0,COUNTIF(Picker!$A$5:$A$9,$L344))+IF($N344="",0,COUNTIF(Picker!$A$5:$A$9,$N344))+IF($P344="",0,COUNTIF(Picker!$A$5:$A$9,$P344)))</f>
      </c>
      <c r="J344" s="16">
        <f>IF($I344=0,"",COUNTIFS($B$2:$B$346,$B344,$I$2:$I$346,"&gt;"&amp;$I344)+COUNTIFS($B$2:$B344,$B344,$I$2:$I344,$I344))</f>
      </c>
      <c r="K344" s="16">
        <f>IF($J344="","",$B344&amp;"#"&amp;$J344)</f>
      </c>
      <c r="L344" s="16" t="s">
        <v>142</v>
      </c>
      <c r="M344" s="16">
        <v>3</v>
      </c>
    </row>
    <row r="345" spans="1:13" x14ac:dyDescent="0.25">
      <c r="A345" s="16" t="s">
        <v>1280</v>
      </c>
      <c r="B345" s="16" t="s">
        <v>13</v>
      </c>
      <c r="C345" s="16" t="s">
        <v>477</v>
      </c>
      <c r="D345" s="16">
        <v>197</v>
      </c>
      <c r="E345" s="16">
        <v>1</v>
      </c>
      <c r="F345" s="16">
        <v>10</v>
      </c>
      <c r="G345" s="16" t="s">
        <v>1281</v>
      </c>
      <c r="H345" s="16" t="s">
        <v>1282</v>
      </c>
      <c r="I345" s="16">
        <f>IF(OR(Picker!$B$10="Yes",SUMPRODUCT((Picker!$A$5:$A$9&lt;&gt;"")*(Picker!$A$5:$A$9&lt;&gt;"(none)"))=0),1,IF($L345="",0,COUNTIF(Picker!$A$5:$A$9,$L345))+IF($N345="",0,COUNTIF(Picker!$A$5:$A$9,$N345))+IF($P345="",0,COUNTIF(Picker!$A$5:$A$9,$P345)))</f>
      </c>
      <c r="J345" s="16">
        <f>IF($I345=0,"",COUNTIFS($B$2:$B$346,$B345,$I$2:$I$346,"&gt;"&amp;$I345)+COUNTIFS($B$2:$B345,$B345,$I$2:$I345,$I345))</f>
      </c>
      <c r="K345" s="16">
        <f>IF($J345="","",$B345&amp;"#"&amp;$J345)</f>
      </c>
      <c r="L345" s="16" t="s">
        <v>108</v>
      </c>
      <c r="M345" s="16">
        <v>2</v>
      </c>
    </row>
    <row r="346" spans="1:15" x14ac:dyDescent="0.25">
      <c r="A346" s="16" t="s">
        <v>1283</v>
      </c>
      <c r="B346" s="16" t="s">
        <v>13</v>
      </c>
      <c r="C346" s="16" t="s">
        <v>481</v>
      </c>
      <c r="D346" s="16">
        <v>197</v>
      </c>
      <c r="E346" s="16">
        <v>1</v>
      </c>
      <c r="F346" s="16">
        <v>10</v>
      </c>
      <c r="G346" s="16" t="s">
        <v>1284</v>
      </c>
      <c r="H346" s="16" t="s">
        <v>1285</v>
      </c>
      <c r="I346" s="16">
        <f>IF(OR(Picker!$B$10="Yes",SUMPRODUCT((Picker!$A$5:$A$9&lt;&gt;"")*(Picker!$A$5:$A$9&lt;&gt;"(none)"))=0),1,IF($L346="",0,COUNTIF(Picker!$A$5:$A$9,$L346))+IF($N346="",0,COUNTIF(Picker!$A$5:$A$9,$N346))+IF($P346="",0,COUNTIF(Picker!$A$5:$A$9,$P346)))</f>
      </c>
      <c r="J346" s="16">
        <f>IF($I346=0,"",COUNTIFS($B$2:$B$346,$B346,$I$2:$I$346,"&gt;"&amp;$I346)+COUNTIFS($B$2:$B346,$B346,$I$2:$I346,$I346))</f>
      </c>
      <c r="K346" s="16">
        <f>IF($J346="","",$B346&amp;"#"&amp;$J346)</f>
      </c>
      <c r="L346" s="16" t="s">
        <v>179</v>
      </c>
      <c r="M346" s="16">
        <v>1</v>
      </c>
      <c r="N346" s="16" t="s">
        <v>84</v>
      </c>
      <c r="O346" s="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3" max="3" width="26" customWidth="1"/>
    <col min="4" max="4" width="7" customWidth="1"/>
  </cols>
  <sheetData>
    <row r="1" spans="1:4" x14ac:dyDescent="0.25">
      <c r="A1" s="4" t="s">
        <v>1286</v>
      </c>
      <c r="B1" s="4" t="s">
        <v>15</v>
      </c>
      <c r="C1" s="4" t="s">
        <v>21</v>
      </c>
      <c r="D1" s="4" t="s">
        <v>1287</v>
      </c>
    </row>
    <row r="2" spans="1:4" x14ac:dyDescent="0.25">
      <c r="A2" s="16" t="s">
        <v>208</v>
      </c>
      <c r="B2" s="16" t="s">
        <v>9</v>
      </c>
      <c r="C2" s="16" t="s">
        <v>98</v>
      </c>
      <c r="D2" s="16">
        <v>2</v>
      </c>
    </row>
    <row r="3" spans="1:4" x14ac:dyDescent="0.25">
      <c r="A3" s="16" t="s">
        <v>212</v>
      </c>
      <c r="B3" s="16" t="s">
        <v>9</v>
      </c>
      <c r="C3" s="16" t="s">
        <v>102</v>
      </c>
      <c r="D3" s="16">
        <v>3</v>
      </c>
    </row>
    <row r="4" spans="1:4" x14ac:dyDescent="0.25">
      <c r="A4" s="16" t="s">
        <v>216</v>
      </c>
      <c r="B4" s="16" t="s">
        <v>9</v>
      </c>
      <c r="C4" s="16" t="s">
        <v>190</v>
      </c>
      <c r="D4" s="16">
        <v>1</v>
      </c>
    </row>
    <row r="5" spans="1:4" x14ac:dyDescent="0.25">
      <c r="A5" s="16" t="s">
        <v>216</v>
      </c>
      <c r="B5" s="16" t="s">
        <v>9</v>
      </c>
      <c r="C5" s="16" t="s">
        <v>170</v>
      </c>
      <c r="D5" s="16">
        <v>1</v>
      </c>
    </row>
    <row r="6" spans="1:4" x14ac:dyDescent="0.25">
      <c r="A6" s="16" t="s">
        <v>216</v>
      </c>
      <c r="B6" s="16" t="s">
        <v>9</v>
      </c>
      <c r="C6" s="16" t="s">
        <v>66</v>
      </c>
      <c r="D6" s="16">
        <v>1</v>
      </c>
    </row>
    <row r="7" spans="1:4" x14ac:dyDescent="0.25">
      <c r="A7" s="16" t="s">
        <v>220</v>
      </c>
      <c r="B7" s="16" t="s">
        <v>9</v>
      </c>
      <c r="C7" s="16" t="s">
        <v>110</v>
      </c>
      <c r="D7" s="16">
        <v>1</v>
      </c>
    </row>
    <row r="8" spans="1:4" x14ac:dyDescent="0.25">
      <c r="A8" s="16" t="s">
        <v>220</v>
      </c>
      <c r="B8" s="16" t="s">
        <v>9</v>
      </c>
      <c r="C8" s="16" t="s">
        <v>109</v>
      </c>
      <c r="D8" s="16">
        <v>2</v>
      </c>
    </row>
    <row r="9" spans="1:4" x14ac:dyDescent="0.25">
      <c r="A9" s="16" t="s">
        <v>224</v>
      </c>
      <c r="B9" s="16" t="s">
        <v>9</v>
      </c>
      <c r="C9" s="16" t="s">
        <v>163</v>
      </c>
      <c r="D9" s="16">
        <v>1</v>
      </c>
    </row>
    <row r="10" spans="1:4" x14ac:dyDescent="0.25">
      <c r="A10" s="16" t="s">
        <v>224</v>
      </c>
      <c r="B10" s="16" t="s">
        <v>9</v>
      </c>
      <c r="C10" s="16" t="s">
        <v>164</v>
      </c>
      <c r="D10" s="16">
        <v>1</v>
      </c>
    </row>
    <row r="11" spans="1:4" x14ac:dyDescent="0.25">
      <c r="A11" s="16" t="s">
        <v>228</v>
      </c>
      <c r="B11" s="16" t="s">
        <v>9</v>
      </c>
      <c r="C11" s="16" t="s">
        <v>179</v>
      </c>
      <c r="D11" s="16">
        <v>1</v>
      </c>
    </row>
    <row r="12" spans="1:4" x14ac:dyDescent="0.25">
      <c r="A12" s="16" t="s">
        <v>228</v>
      </c>
      <c r="B12" s="16" t="s">
        <v>9</v>
      </c>
      <c r="C12" s="16" t="s">
        <v>157</v>
      </c>
      <c r="D12" s="16">
        <v>1</v>
      </c>
    </row>
    <row r="13" spans="1:4" x14ac:dyDescent="0.25">
      <c r="A13" s="16" t="s">
        <v>228</v>
      </c>
      <c r="B13" s="16" t="s">
        <v>9</v>
      </c>
      <c r="C13" s="16" t="s">
        <v>65</v>
      </c>
      <c r="D13" s="16">
        <v>1</v>
      </c>
    </row>
    <row r="14" spans="1:4" x14ac:dyDescent="0.25">
      <c r="A14" s="16" t="s">
        <v>232</v>
      </c>
      <c r="B14" s="16" t="s">
        <v>9</v>
      </c>
      <c r="C14" s="16" t="s">
        <v>114</v>
      </c>
      <c r="D14" s="16">
        <v>2</v>
      </c>
    </row>
    <row r="15" spans="1:4" x14ac:dyDescent="0.25">
      <c r="A15" s="16" t="s">
        <v>236</v>
      </c>
      <c r="B15" s="16" t="s">
        <v>9</v>
      </c>
      <c r="C15" s="16" t="s">
        <v>155</v>
      </c>
      <c r="D15" s="16">
        <v>1</v>
      </c>
    </row>
    <row r="16" spans="1:4" x14ac:dyDescent="0.25">
      <c r="A16" s="16" t="s">
        <v>236</v>
      </c>
      <c r="B16" s="16" t="s">
        <v>9</v>
      </c>
      <c r="C16" s="16" t="s">
        <v>182</v>
      </c>
      <c r="D16" s="16">
        <v>1</v>
      </c>
    </row>
    <row r="17" spans="1:4" x14ac:dyDescent="0.25">
      <c r="A17" s="16" t="s">
        <v>240</v>
      </c>
      <c r="B17" s="16" t="s">
        <v>9</v>
      </c>
      <c r="C17" s="16" t="s">
        <v>104</v>
      </c>
      <c r="D17" s="16">
        <v>1</v>
      </c>
    </row>
    <row r="18" spans="1:4" x14ac:dyDescent="0.25">
      <c r="A18" s="16" t="s">
        <v>240</v>
      </c>
      <c r="B18" s="16" t="s">
        <v>9</v>
      </c>
      <c r="C18" s="16" t="s">
        <v>165</v>
      </c>
      <c r="D18" s="16">
        <v>2</v>
      </c>
    </row>
    <row r="19" spans="1:4" x14ac:dyDescent="0.25">
      <c r="A19" s="16" t="s">
        <v>244</v>
      </c>
      <c r="B19" s="16" t="s">
        <v>9</v>
      </c>
      <c r="C19" s="16" t="s">
        <v>97</v>
      </c>
      <c r="D19" s="16">
        <v>1</v>
      </c>
    </row>
    <row r="20" spans="1:4" x14ac:dyDescent="0.25">
      <c r="A20" s="16" t="s">
        <v>244</v>
      </c>
      <c r="B20" s="16" t="s">
        <v>9</v>
      </c>
      <c r="C20" s="16" t="s">
        <v>139</v>
      </c>
      <c r="D20" s="16">
        <v>2</v>
      </c>
    </row>
    <row r="21" spans="1:4" x14ac:dyDescent="0.25">
      <c r="A21" s="16" t="s">
        <v>248</v>
      </c>
      <c r="B21" s="16" t="s">
        <v>9</v>
      </c>
      <c r="C21" s="16" t="s">
        <v>167</v>
      </c>
      <c r="D21" s="16">
        <v>2</v>
      </c>
    </row>
    <row r="22" spans="1:4" x14ac:dyDescent="0.25">
      <c r="A22" s="16" t="s">
        <v>252</v>
      </c>
      <c r="B22" s="16" t="s">
        <v>9</v>
      </c>
      <c r="C22" s="16" t="s">
        <v>157</v>
      </c>
      <c r="D22" s="16">
        <v>2</v>
      </c>
    </row>
    <row r="23" spans="1:4" x14ac:dyDescent="0.25">
      <c r="A23" s="16" t="s">
        <v>252</v>
      </c>
      <c r="B23" s="16" t="s">
        <v>9</v>
      </c>
      <c r="C23" s="16" t="s">
        <v>71</v>
      </c>
      <c r="D23" s="16">
        <v>1</v>
      </c>
    </row>
    <row r="24" spans="1:4" x14ac:dyDescent="0.25">
      <c r="A24" s="16" t="s">
        <v>256</v>
      </c>
      <c r="B24" s="16" t="s">
        <v>9</v>
      </c>
      <c r="C24" s="16" t="s">
        <v>145</v>
      </c>
      <c r="D24" s="16">
        <v>3</v>
      </c>
    </row>
    <row r="25" spans="1:4" x14ac:dyDescent="0.25">
      <c r="A25" s="16" t="s">
        <v>260</v>
      </c>
      <c r="B25" s="16" t="s">
        <v>9</v>
      </c>
      <c r="C25" s="16" t="s">
        <v>141</v>
      </c>
      <c r="D25" s="16">
        <v>2</v>
      </c>
    </row>
    <row r="26" spans="1:4" x14ac:dyDescent="0.25">
      <c r="A26" s="16" t="s">
        <v>264</v>
      </c>
      <c r="B26" s="16" t="s">
        <v>9</v>
      </c>
      <c r="C26" s="16" t="s">
        <v>151</v>
      </c>
      <c r="D26" s="16">
        <v>1</v>
      </c>
    </row>
    <row r="27" spans="1:4" x14ac:dyDescent="0.25">
      <c r="A27" s="16" t="s">
        <v>264</v>
      </c>
      <c r="B27" s="16" t="s">
        <v>9</v>
      </c>
      <c r="C27" s="16" t="s">
        <v>189</v>
      </c>
      <c r="D27" s="16">
        <v>1</v>
      </c>
    </row>
    <row r="28" spans="1:4" x14ac:dyDescent="0.25">
      <c r="A28" s="16" t="s">
        <v>268</v>
      </c>
      <c r="B28" s="16" t="s">
        <v>9</v>
      </c>
      <c r="C28" s="16" t="s">
        <v>170</v>
      </c>
      <c r="D28" s="16">
        <v>2</v>
      </c>
    </row>
    <row r="29" spans="1:4" x14ac:dyDescent="0.25">
      <c r="A29" s="16" t="s">
        <v>268</v>
      </c>
      <c r="B29" s="16" t="s">
        <v>9</v>
      </c>
      <c r="C29" s="16" t="s">
        <v>129</v>
      </c>
      <c r="D29" s="16">
        <v>1</v>
      </c>
    </row>
    <row r="30" spans="1:4" x14ac:dyDescent="0.25">
      <c r="A30" s="16" t="s">
        <v>272</v>
      </c>
      <c r="B30" s="16" t="s">
        <v>9</v>
      </c>
      <c r="C30" s="16" t="s">
        <v>159</v>
      </c>
      <c r="D30" s="16">
        <v>1</v>
      </c>
    </row>
    <row r="31" spans="1:4" x14ac:dyDescent="0.25">
      <c r="A31" s="16" t="s">
        <v>272</v>
      </c>
      <c r="B31" s="16" t="s">
        <v>9</v>
      </c>
      <c r="C31" s="16" t="s">
        <v>78</v>
      </c>
      <c r="D31" s="16">
        <v>1</v>
      </c>
    </row>
    <row r="32" spans="1:4" x14ac:dyDescent="0.25">
      <c r="A32" s="16" t="s">
        <v>276</v>
      </c>
      <c r="B32" s="16" t="s">
        <v>9</v>
      </c>
      <c r="C32" s="16" t="s">
        <v>121</v>
      </c>
      <c r="D32" s="16">
        <v>2</v>
      </c>
    </row>
    <row r="33" spans="1:4" x14ac:dyDescent="0.25">
      <c r="A33" s="16" t="s">
        <v>280</v>
      </c>
      <c r="B33" s="16" t="s">
        <v>9</v>
      </c>
      <c r="C33" s="16" t="s">
        <v>144</v>
      </c>
      <c r="D33" s="16">
        <v>2</v>
      </c>
    </row>
    <row r="34" spans="1:4" x14ac:dyDescent="0.25">
      <c r="A34" s="16" t="s">
        <v>280</v>
      </c>
      <c r="B34" s="16" t="s">
        <v>9</v>
      </c>
      <c r="C34" s="16" t="s">
        <v>158</v>
      </c>
      <c r="D34" s="16">
        <v>1</v>
      </c>
    </row>
    <row r="35" spans="1:4" x14ac:dyDescent="0.25">
      <c r="A35" s="16" t="s">
        <v>284</v>
      </c>
      <c r="B35" s="16" t="s">
        <v>9</v>
      </c>
      <c r="C35" s="16" t="s">
        <v>119</v>
      </c>
      <c r="D35" s="16">
        <v>1</v>
      </c>
    </row>
    <row r="36" spans="1:4" x14ac:dyDescent="0.25">
      <c r="A36" s="16" t="s">
        <v>284</v>
      </c>
      <c r="B36" s="16" t="s">
        <v>9</v>
      </c>
      <c r="C36" s="16" t="s">
        <v>186</v>
      </c>
      <c r="D36" s="16">
        <v>1</v>
      </c>
    </row>
    <row r="37" spans="1:4" x14ac:dyDescent="0.25">
      <c r="A37" s="16" t="s">
        <v>288</v>
      </c>
      <c r="B37" s="16" t="s">
        <v>9</v>
      </c>
      <c r="C37" s="16" t="s">
        <v>172</v>
      </c>
      <c r="D37" s="16">
        <v>1</v>
      </c>
    </row>
    <row r="38" spans="1:4" x14ac:dyDescent="0.25">
      <c r="A38" s="16" t="s">
        <v>288</v>
      </c>
      <c r="B38" s="16" t="s">
        <v>9</v>
      </c>
      <c r="C38" s="16" t="s">
        <v>174</v>
      </c>
      <c r="D38" s="16">
        <v>2</v>
      </c>
    </row>
    <row r="39" spans="1:4" x14ac:dyDescent="0.25">
      <c r="A39" s="16" t="s">
        <v>292</v>
      </c>
      <c r="B39" s="16" t="s">
        <v>9</v>
      </c>
      <c r="C39" s="16" t="s">
        <v>142</v>
      </c>
      <c r="D39" s="16">
        <v>3</v>
      </c>
    </row>
    <row r="40" spans="1:4" x14ac:dyDescent="0.25">
      <c r="A40" s="16" t="s">
        <v>296</v>
      </c>
      <c r="B40" s="16" t="s">
        <v>9</v>
      </c>
      <c r="C40" s="16" t="s">
        <v>153</v>
      </c>
      <c r="D40" s="16">
        <v>2</v>
      </c>
    </row>
    <row r="41" spans="1:4" x14ac:dyDescent="0.25">
      <c r="A41" s="16" t="s">
        <v>300</v>
      </c>
      <c r="B41" s="16" t="s">
        <v>9</v>
      </c>
      <c r="C41" s="16" t="s">
        <v>180</v>
      </c>
      <c r="D41" s="16">
        <v>3</v>
      </c>
    </row>
    <row r="42" spans="1:4" x14ac:dyDescent="0.25">
      <c r="A42" s="16" t="s">
        <v>304</v>
      </c>
      <c r="B42" s="16" t="s">
        <v>9</v>
      </c>
      <c r="C42" s="16" t="s">
        <v>99</v>
      </c>
      <c r="D42" s="16">
        <v>2</v>
      </c>
    </row>
    <row r="43" spans="1:4" x14ac:dyDescent="0.25">
      <c r="A43" s="16" t="s">
        <v>304</v>
      </c>
      <c r="B43" s="16" t="s">
        <v>9</v>
      </c>
      <c r="C43" s="16" t="s">
        <v>158</v>
      </c>
      <c r="D43" s="16">
        <v>1</v>
      </c>
    </row>
    <row r="44" spans="1:4" x14ac:dyDescent="0.25">
      <c r="A44" s="16" t="s">
        <v>308</v>
      </c>
      <c r="B44" s="16" t="s">
        <v>9</v>
      </c>
      <c r="C44" s="16" t="s">
        <v>93</v>
      </c>
      <c r="D44" s="16">
        <v>2</v>
      </c>
    </row>
    <row r="45" spans="1:4" x14ac:dyDescent="0.25">
      <c r="A45" s="16" t="s">
        <v>312</v>
      </c>
      <c r="B45" s="16" t="s">
        <v>9</v>
      </c>
      <c r="C45" s="16" t="s">
        <v>134</v>
      </c>
      <c r="D45" s="16">
        <v>1</v>
      </c>
    </row>
    <row r="46" spans="1:4" x14ac:dyDescent="0.25">
      <c r="A46" s="16" t="s">
        <v>312</v>
      </c>
      <c r="B46" s="16" t="s">
        <v>9</v>
      </c>
      <c r="C46" s="16" t="s">
        <v>133</v>
      </c>
      <c r="D46" s="16">
        <v>1</v>
      </c>
    </row>
    <row r="47" spans="1:4" x14ac:dyDescent="0.25">
      <c r="A47" s="16" t="s">
        <v>316</v>
      </c>
      <c r="B47" s="16" t="s">
        <v>9</v>
      </c>
      <c r="C47" s="16" t="s">
        <v>111</v>
      </c>
      <c r="D47" s="16">
        <v>2</v>
      </c>
    </row>
    <row r="48" spans="1:4" x14ac:dyDescent="0.25">
      <c r="A48" s="16" t="s">
        <v>320</v>
      </c>
      <c r="B48" s="16" t="s">
        <v>9</v>
      </c>
      <c r="C48" s="16" t="s">
        <v>191</v>
      </c>
      <c r="D48" s="16">
        <v>1</v>
      </c>
    </row>
    <row r="49" spans="1:4" x14ac:dyDescent="0.25">
      <c r="A49" s="16" t="s">
        <v>320</v>
      </c>
      <c r="B49" s="16" t="s">
        <v>9</v>
      </c>
      <c r="C49" s="16" t="s">
        <v>127</v>
      </c>
      <c r="D49" s="16">
        <v>1</v>
      </c>
    </row>
    <row r="50" spans="1:4" x14ac:dyDescent="0.25">
      <c r="A50" s="16" t="s">
        <v>324</v>
      </c>
      <c r="B50" s="16" t="s">
        <v>9</v>
      </c>
      <c r="C50" s="16" t="s">
        <v>157</v>
      </c>
      <c r="D50" s="16">
        <v>1</v>
      </c>
    </row>
    <row r="51" spans="1:4" x14ac:dyDescent="0.25">
      <c r="A51" s="16" t="s">
        <v>324</v>
      </c>
      <c r="B51" s="16" t="s">
        <v>9</v>
      </c>
      <c r="C51" s="16" t="s">
        <v>69</v>
      </c>
      <c r="D51" s="16">
        <v>2</v>
      </c>
    </row>
    <row r="52" spans="1:4" x14ac:dyDescent="0.25">
      <c r="A52" s="16" t="s">
        <v>328</v>
      </c>
      <c r="B52" s="16" t="s">
        <v>9</v>
      </c>
      <c r="C52" s="16" t="s">
        <v>117</v>
      </c>
      <c r="D52" s="16">
        <v>1</v>
      </c>
    </row>
    <row r="53" spans="1:4" x14ac:dyDescent="0.25">
      <c r="A53" s="16" t="s">
        <v>328</v>
      </c>
      <c r="B53" s="16" t="s">
        <v>9</v>
      </c>
      <c r="C53" s="16" t="s">
        <v>128</v>
      </c>
      <c r="D53" s="16">
        <v>2</v>
      </c>
    </row>
    <row r="54" spans="1:4" x14ac:dyDescent="0.25">
      <c r="A54" s="16" t="s">
        <v>328</v>
      </c>
      <c r="B54" s="16" t="s">
        <v>9</v>
      </c>
      <c r="C54" s="16" t="s">
        <v>178</v>
      </c>
      <c r="D54" s="16">
        <v>1</v>
      </c>
    </row>
    <row r="55" spans="1:4" x14ac:dyDescent="0.25">
      <c r="A55" s="16" t="s">
        <v>332</v>
      </c>
      <c r="B55" s="16" t="s">
        <v>9</v>
      </c>
      <c r="C55" s="16" t="s">
        <v>140</v>
      </c>
      <c r="D55" s="16">
        <v>1</v>
      </c>
    </row>
    <row r="56" spans="1:4" x14ac:dyDescent="0.25">
      <c r="A56" s="16" t="s">
        <v>332</v>
      </c>
      <c r="B56" s="16" t="s">
        <v>9</v>
      </c>
      <c r="C56" s="16" t="s">
        <v>173</v>
      </c>
      <c r="D56" s="16">
        <v>1</v>
      </c>
    </row>
    <row r="57" spans="1:4" x14ac:dyDescent="0.25">
      <c r="A57" s="16" t="s">
        <v>336</v>
      </c>
      <c r="B57" s="16" t="s">
        <v>9</v>
      </c>
      <c r="C57" s="16" t="s">
        <v>130</v>
      </c>
      <c r="D57" s="16">
        <v>1</v>
      </c>
    </row>
    <row r="58" spans="1:4" x14ac:dyDescent="0.25">
      <c r="A58" s="16" t="s">
        <v>336</v>
      </c>
      <c r="B58" s="16" t="s">
        <v>9</v>
      </c>
      <c r="C58" s="16" t="s">
        <v>107</v>
      </c>
      <c r="D58" s="16">
        <v>1</v>
      </c>
    </row>
    <row r="59" spans="1:4" x14ac:dyDescent="0.25">
      <c r="A59" s="16" t="s">
        <v>336</v>
      </c>
      <c r="B59" s="16" t="s">
        <v>9</v>
      </c>
      <c r="C59" s="16" t="s">
        <v>125</v>
      </c>
      <c r="D59" s="16">
        <v>1</v>
      </c>
    </row>
    <row r="60" spans="1:4" x14ac:dyDescent="0.25">
      <c r="A60" s="16" t="s">
        <v>340</v>
      </c>
      <c r="B60" s="16" t="s">
        <v>9</v>
      </c>
      <c r="C60" s="16" t="s">
        <v>92</v>
      </c>
      <c r="D60" s="16">
        <v>1</v>
      </c>
    </row>
    <row r="61" spans="1:4" x14ac:dyDescent="0.25">
      <c r="A61" s="16" t="s">
        <v>340</v>
      </c>
      <c r="B61" s="16" t="s">
        <v>9</v>
      </c>
      <c r="C61" s="16" t="s">
        <v>130</v>
      </c>
      <c r="D61" s="16">
        <v>1</v>
      </c>
    </row>
    <row r="62" spans="1:4" x14ac:dyDescent="0.25">
      <c r="A62" s="16" t="s">
        <v>344</v>
      </c>
      <c r="B62" s="16" t="s">
        <v>9</v>
      </c>
      <c r="C62" s="16" t="s">
        <v>102</v>
      </c>
      <c r="D62" s="16">
        <v>1</v>
      </c>
    </row>
    <row r="63" spans="1:4" x14ac:dyDescent="0.25">
      <c r="A63" s="16" t="s">
        <v>344</v>
      </c>
      <c r="B63" s="16" t="s">
        <v>9</v>
      </c>
      <c r="C63" s="16" t="s">
        <v>157</v>
      </c>
      <c r="D63" s="16">
        <v>2</v>
      </c>
    </row>
    <row r="64" spans="1:4" x14ac:dyDescent="0.25">
      <c r="A64" s="16" t="s">
        <v>344</v>
      </c>
      <c r="B64" s="16" t="s">
        <v>9</v>
      </c>
      <c r="C64" s="16" t="s">
        <v>126</v>
      </c>
      <c r="D64" s="16">
        <v>1</v>
      </c>
    </row>
    <row r="65" spans="1:4" x14ac:dyDescent="0.25">
      <c r="A65" s="16" t="s">
        <v>348</v>
      </c>
      <c r="B65" s="16" t="s">
        <v>9</v>
      </c>
      <c r="C65" s="16" t="s">
        <v>104</v>
      </c>
      <c r="D65" s="16">
        <v>1</v>
      </c>
    </row>
    <row r="66" spans="1:4" x14ac:dyDescent="0.25">
      <c r="A66" s="16" t="s">
        <v>348</v>
      </c>
      <c r="B66" s="16" t="s">
        <v>9</v>
      </c>
      <c r="C66" s="16" t="s">
        <v>172</v>
      </c>
      <c r="D66" s="16">
        <v>2</v>
      </c>
    </row>
    <row r="67" spans="1:4" x14ac:dyDescent="0.25">
      <c r="A67" s="16" t="s">
        <v>352</v>
      </c>
      <c r="B67" s="16" t="s">
        <v>9</v>
      </c>
      <c r="C67" s="16" t="s">
        <v>124</v>
      </c>
      <c r="D67" s="16">
        <v>1</v>
      </c>
    </row>
    <row r="68" spans="1:4" x14ac:dyDescent="0.25">
      <c r="A68" s="16" t="s">
        <v>352</v>
      </c>
      <c r="B68" s="16" t="s">
        <v>9</v>
      </c>
      <c r="C68" s="16" t="s">
        <v>92</v>
      </c>
      <c r="D68" s="16">
        <v>1</v>
      </c>
    </row>
    <row r="69" spans="1:4" x14ac:dyDescent="0.25">
      <c r="A69" s="16" t="s">
        <v>356</v>
      </c>
      <c r="B69" s="16" t="s">
        <v>9</v>
      </c>
      <c r="C69" s="16" t="s">
        <v>123</v>
      </c>
      <c r="D69" s="16">
        <v>1</v>
      </c>
    </row>
    <row r="70" spans="1:4" x14ac:dyDescent="0.25">
      <c r="A70" s="16" t="s">
        <v>356</v>
      </c>
      <c r="B70" s="16" t="s">
        <v>9</v>
      </c>
      <c r="C70" s="16" t="s">
        <v>99</v>
      </c>
      <c r="D70" s="16">
        <v>2</v>
      </c>
    </row>
    <row r="71" spans="1:4" x14ac:dyDescent="0.25">
      <c r="A71" s="16" t="s">
        <v>360</v>
      </c>
      <c r="B71" s="16" t="s">
        <v>9</v>
      </c>
      <c r="C71" s="16" t="s">
        <v>89</v>
      </c>
      <c r="D71" s="16">
        <v>2</v>
      </c>
    </row>
    <row r="72" spans="1:4" x14ac:dyDescent="0.25">
      <c r="A72" s="16" t="s">
        <v>360</v>
      </c>
      <c r="B72" s="16" t="s">
        <v>9</v>
      </c>
      <c r="C72" s="16" t="s">
        <v>193</v>
      </c>
      <c r="D72" s="16">
        <v>1</v>
      </c>
    </row>
    <row r="73" spans="1:4" x14ac:dyDescent="0.25">
      <c r="A73" s="16" t="s">
        <v>364</v>
      </c>
      <c r="B73" s="16" t="s">
        <v>9</v>
      </c>
      <c r="C73" s="16" t="s">
        <v>162</v>
      </c>
      <c r="D73" s="16">
        <v>2</v>
      </c>
    </row>
    <row r="74" spans="1:4" x14ac:dyDescent="0.25">
      <c r="A74" s="16" t="s">
        <v>368</v>
      </c>
      <c r="B74" s="16" t="s">
        <v>9</v>
      </c>
      <c r="C74" s="16" t="s">
        <v>155</v>
      </c>
      <c r="D74" s="16">
        <v>2</v>
      </c>
    </row>
    <row r="75" spans="1:4" x14ac:dyDescent="0.25">
      <c r="A75" s="16" t="s">
        <v>368</v>
      </c>
      <c r="B75" s="16" t="s">
        <v>9</v>
      </c>
      <c r="C75" s="16" t="s">
        <v>74</v>
      </c>
      <c r="D75" s="16">
        <v>1</v>
      </c>
    </row>
    <row r="76" spans="1:4" x14ac:dyDescent="0.25">
      <c r="A76" s="16" t="s">
        <v>372</v>
      </c>
      <c r="B76" s="16" t="s">
        <v>9</v>
      </c>
      <c r="C76" s="16" t="s">
        <v>185</v>
      </c>
      <c r="D76" s="16">
        <v>2</v>
      </c>
    </row>
    <row r="77" spans="1:4" x14ac:dyDescent="0.25">
      <c r="A77" s="16" t="s">
        <v>372</v>
      </c>
      <c r="B77" s="16" t="s">
        <v>9</v>
      </c>
      <c r="C77" s="16" t="s">
        <v>131</v>
      </c>
      <c r="D77" s="16">
        <v>1</v>
      </c>
    </row>
    <row r="78" spans="1:4" x14ac:dyDescent="0.25">
      <c r="A78" s="16" t="s">
        <v>376</v>
      </c>
      <c r="B78" s="16" t="s">
        <v>9</v>
      </c>
      <c r="C78" s="16" t="s">
        <v>175</v>
      </c>
      <c r="D78" s="16">
        <v>1</v>
      </c>
    </row>
    <row r="79" spans="1:4" x14ac:dyDescent="0.25">
      <c r="A79" s="16" t="s">
        <v>376</v>
      </c>
      <c r="B79" s="16" t="s">
        <v>9</v>
      </c>
      <c r="C79" s="16" t="s">
        <v>148</v>
      </c>
      <c r="D79" s="16">
        <v>1</v>
      </c>
    </row>
    <row r="80" spans="1:4" x14ac:dyDescent="0.25">
      <c r="A80" s="16" t="s">
        <v>376</v>
      </c>
      <c r="B80" s="16" t="s">
        <v>9</v>
      </c>
      <c r="C80" s="16" t="s">
        <v>85</v>
      </c>
      <c r="D80" s="16">
        <v>1</v>
      </c>
    </row>
    <row r="81" spans="1:4" x14ac:dyDescent="0.25">
      <c r="A81" s="16" t="s">
        <v>380</v>
      </c>
      <c r="B81" s="16" t="s">
        <v>9</v>
      </c>
      <c r="C81" s="16" t="s">
        <v>190</v>
      </c>
      <c r="D81" s="16">
        <v>2</v>
      </c>
    </row>
    <row r="82" spans="1:4" x14ac:dyDescent="0.25">
      <c r="A82" s="16" t="s">
        <v>384</v>
      </c>
      <c r="B82" s="16" t="s">
        <v>9</v>
      </c>
      <c r="C82" s="16" t="s">
        <v>112</v>
      </c>
      <c r="D82" s="16">
        <v>1</v>
      </c>
    </row>
    <row r="83" spans="1:4" x14ac:dyDescent="0.25">
      <c r="A83" s="16" t="s">
        <v>384</v>
      </c>
      <c r="B83" s="16" t="s">
        <v>9</v>
      </c>
      <c r="C83" s="16" t="s">
        <v>107</v>
      </c>
      <c r="D83" s="16">
        <v>1</v>
      </c>
    </row>
    <row r="84" spans="1:4" x14ac:dyDescent="0.25">
      <c r="A84" s="16" t="s">
        <v>388</v>
      </c>
      <c r="B84" s="16" t="s">
        <v>9</v>
      </c>
      <c r="C84" s="16" t="s">
        <v>92</v>
      </c>
      <c r="D84" s="16">
        <v>2</v>
      </c>
    </row>
    <row r="85" spans="1:4" x14ac:dyDescent="0.25">
      <c r="A85" s="16" t="s">
        <v>388</v>
      </c>
      <c r="B85" s="16" t="s">
        <v>9</v>
      </c>
      <c r="C85" s="16" t="s">
        <v>69</v>
      </c>
      <c r="D85" s="16">
        <v>1</v>
      </c>
    </row>
    <row r="86" spans="1:4" x14ac:dyDescent="0.25">
      <c r="A86" s="16" t="s">
        <v>388</v>
      </c>
      <c r="B86" s="16" t="s">
        <v>9</v>
      </c>
      <c r="C86" s="16" t="s">
        <v>136</v>
      </c>
      <c r="D86" s="16">
        <v>1</v>
      </c>
    </row>
    <row r="87" spans="1:4" x14ac:dyDescent="0.25">
      <c r="A87" s="16" t="s">
        <v>392</v>
      </c>
      <c r="B87" s="16" t="s">
        <v>9</v>
      </c>
      <c r="C87" s="16" t="s">
        <v>152</v>
      </c>
      <c r="D87" s="16">
        <v>2</v>
      </c>
    </row>
    <row r="88" spans="1:4" x14ac:dyDescent="0.25">
      <c r="A88" s="16" t="s">
        <v>396</v>
      </c>
      <c r="B88" s="16" t="s">
        <v>9</v>
      </c>
      <c r="C88" s="16" t="s">
        <v>119</v>
      </c>
      <c r="D88" s="16">
        <v>2</v>
      </c>
    </row>
    <row r="89" spans="1:4" x14ac:dyDescent="0.25">
      <c r="A89" s="16" t="s">
        <v>396</v>
      </c>
      <c r="B89" s="16" t="s">
        <v>9</v>
      </c>
      <c r="C89" s="16" t="s">
        <v>112</v>
      </c>
      <c r="D89" s="16">
        <v>1</v>
      </c>
    </row>
    <row r="90" spans="1:4" x14ac:dyDescent="0.25">
      <c r="A90" s="16" t="s">
        <v>400</v>
      </c>
      <c r="B90" s="16" t="s">
        <v>9</v>
      </c>
      <c r="C90" s="16" t="s">
        <v>192</v>
      </c>
      <c r="D90" s="16">
        <v>2</v>
      </c>
    </row>
    <row r="91" spans="1:4" x14ac:dyDescent="0.25">
      <c r="A91" s="16" t="s">
        <v>400</v>
      </c>
      <c r="B91" s="16" t="s">
        <v>9</v>
      </c>
      <c r="C91" s="16" t="s">
        <v>130</v>
      </c>
      <c r="D91" s="16">
        <v>1</v>
      </c>
    </row>
    <row r="92" spans="1:4" x14ac:dyDescent="0.25">
      <c r="A92" s="16" t="s">
        <v>404</v>
      </c>
      <c r="B92" s="16" t="s">
        <v>9</v>
      </c>
      <c r="C92" s="16" t="s">
        <v>130</v>
      </c>
      <c r="D92" s="16">
        <v>1</v>
      </c>
    </row>
    <row r="93" spans="1:4" x14ac:dyDescent="0.25">
      <c r="A93" s="16" t="s">
        <v>404</v>
      </c>
      <c r="B93" s="16" t="s">
        <v>9</v>
      </c>
      <c r="C93" s="16" t="s">
        <v>71</v>
      </c>
      <c r="D93" s="16">
        <v>2</v>
      </c>
    </row>
    <row r="94" spans="1:4" x14ac:dyDescent="0.25">
      <c r="A94" s="16" t="s">
        <v>408</v>
      </c>
      <c r="B94" s="16" t="s">
        <v>9</v>
      </c>
      <c r="C94" s="16" t="s">
        <v>172</v>
      </c>
      <c r="D94" s="16">
        <v>1</v>
      </c>
    </row>
    <row r="95" spans="1:4" x14ac:dyDescent="0.25">
      <c r="A95" s="16" t="s">
        <v>408</v>
      </c>
      <c r="B95" s="16" t="s">
        <v>9</v>
      </c>
      <c r="C95" s="16" t="s">
        <v>193</v>
      </c>
      <c r="D95" s="16">
        <v>1</v>
      </c>
    </row>
    <row r="96" spans="1:4" x14ac:dyDescent="0.25">
      <c r="A96" s="16" t="s">
        <v>412</v>
      </c>
      <c r="B96" s="16" t="s">
        <v>9</v>
      </c>
      <c r="C96" s="16" t="s">
        <v>112</v>
      </c>
      <c r="D96" s="16">
        <v>2</v>
      </c>
    </row>
    <row r="97" spans="1:4" x14ac:dyDescent="0.25">
      <c r="A97" s="16" t="s">
        <v>416</v>
      </c>
      <c r="B97" s="16" t="s">
        <v>9</v>
      </c>
      <c r="C97" s="16" t="s">
        <v>72</v>
      </c>
      <c r="D97" s="16">
        <v>2</v>
      </c>
    </row>
    <row r="98" spans="1:4" x14ac:dyDescent="0.25">
      <c r="A98" s="16" t="s">
        <v>416</v>
      </c>
      <c r="B98" s="16" t="s">
        <v>9</v>
      </c>
      <c r="C98" s="16" t="s">
        <v>109</v>
      </c>
      <c r="D98" s="16">
        <v>1</v>
      </c>
    </row>
    <row r="99" spans="1:4" x14ac:dyDescent="0.25">
      <c r="A99" s="16" t="s">
        <v>420</v>
      </c>
      <c r="B99" s="16" t="s">
        <v>9</v>
      </c>
      <c r="C99" s="16" t="s">
        <v>119</v>
      </c>
      <c r="D99" s="16">
        <v>2</v>
      </c>
    </row>
    <row r="100" spans="1:4" x14ac:dyDescent="0.25">
      <c r="A100" s="16" t="s">
        <v>420</v>
      </c>
      <c r="B100" s="16" t="s">
        <v>9</v>
      </c>
      <c r="C100" s="16" t="s">
        <v>147</v>
      </c>
      <c r="D100" s="16">
        <v>1</v>
      </c>
    </row>
    <row r="101" spans="1:4" x14ac:dyDescent="0.25">
      <c r="A101" s="16" t="s">
        <v>424</v>
      </c>
      <c r="B101" s="16" t="s">
        <v>9</v>
      </c>
      <c r="C101" s="16" t="s">
        <v>73</v>
      </c>
      <c r="D101" s="16">
        <v>1</v>
      </c>
    </row>
    <row r="102" spans="1:4" x14ac:dyDescent="0.25">
      <c r="A102" s="16" t="s">
        <v>424</v>
      </c>
      <c r="B102" s="16" t="s">
        <v>9</v>
      </c>
      <c r="C102" s="16" t="s">
        <v>95</v>
      </c>
      <c r="D102" s="16">
        <v>1</v>
      </c>
    </row>
    <row r="103" spans="1:4" x14ac:dyDescent="0.25">
      <c r="A103" s="16" t="s">
        <v>428</v>
      </c>
      <c r="B103" s="16" t="s">
        <v>9</v>
      </c>
      <c r="C103" s="16" t="s">
        <v>154</v>
      </c>
      <c r="D103" s="16">
        <v>2</v>
      </c>
    </row>
    <row r="104" spans="1:4" x14ac:dyDescent="0.25">
      <c r="A104" s="16" t="s">
        <v>428</v>
      </c>
      <c r="B104" s="16" t="s">
        <v>9</v>
      </c>
      <c r="C104" s="16" t="s">
        <v>59</v>
      </c>
      <c r="D104" s="16">
        <v>1</v>
      </c>
    </row>
    <row r="105" spans="1:4" x14ac:dyDescent="0.25">
      <c r="A105" s="16" t="s">
        <v>432</v>
      </c>
      <c r="B105" s="16" t="s">
        <v>9</v>
      </c>
      <c r="C105" s="16" t="s">
        <v>123</v>
      </c>
      <c r="D105" s="16">
        <v>2</v>
      </c>
    </row>
    <row r="106" spans="1:4" x14ac:dyDescent="0.25">
      <c r="A106" s="16" t="s">
        <v>432</v>
      </c>
      <c r="B106" s="16" t="s">
        <v>9</v>
      </c>
      <c r="C106" s="16" t="s">
        <v>184</v>
      </c>
      <c r="D106" s="16">
        <v>1</v>
      </c>
    </row>
    <row r="107" spans="1:4" x14ac:dyDescent="0.25">
      <c r="A107" s="16" t="s">
        <v>436</v>
      </c>
      <c r="B107" s="16" t="s">
        <v>9</v>
      </c>
      <c r="C107" s="16" t="s">
        <v>91</v>
      </c>
      <c r="D107" s="16">
        <v>2</v>
      </c>
    </row>
    <row r="108" spans="1:4" x14ac:dyDescent="0.25">
      <c r="A108" s="16" t="s">
        <v>440</v>
      </c>
      <c r="B108" s="16" t="s">
        <v>9</v>
      </c>
      <c r="C108" s="16" t="s">
        <v>120</v>
      </c>
      <c r="D108" s="16">
        <v>2</v>
      </c>
    </row>
    <row r="109" spans="1:4" x14ac:dyDescent="0.25">
      <c r="A109" s="16" t="s">
        <v>444</v>
      </c>
      <c r="B109" s="16" t="s">
        <v>9</v>
      </c>
      <c r="C109" s="16" t="s">
        <v>104</v>
      </c>
      <c r="D109" s="16">
        <v>1</v>
      </c>
    </row>
    <row r="110" spans="1:4" x14ac:dyDescent="0.25">
      <c r="A110" s="16" t="s">
        <v>444</v>
      </c>
      <c r="B110" s="16" t="s">
        <v>9</v>
      </c>
      <c r="C110" s="16" t="s">
        <v>105</v>
      </c>
      <c r="D110" s="16">
        <v>1</v>
      </c>
    </row>
    <row r="111" spans="1:4" x14ac:dyDescent="0.25">
      <c r="A111" s="16" t="s">
        <v>448</v>
      </c>
      <c r="B111" s="16" t="s">
        <v>9</v>
      </c>
      <c r="C111" s="16" t="s">
        <v>100</v>
      </c>
      <c r="D111" s="16">
        <v>2</v>
      </c>
    </row>
    <row r="112" spans="1:4" x14ac:dyDescent="0.25">
      <c r="A112" s="16" t="s">
        <v>448</v>
      </c>
      <c r="B112" s="16" t="s">
        <v>9</v>
      </c>
      <c r="C112" s="16" t="s">
        <v>62</v>
      </c>
      <c r="D112" s="16">
        <v>1</v>
      </c>
    </row>
    <row r="113" spans="1:4" x14ac:dyDescent="0.25">
      <c r="A113" s="16" t="s">
        <v>452</v>
      </c>
      <c r="B113" s="16" t="s">
        <v>9</v>
      </c>
      <c r="C113" s="16" t="s">
        <v>155</v>
      </c>
      <c r="D113" s="16">
        <v>1</v>
      </c>
    </row>
    <row r="114" spans="1:4" x14ac:dyDescent="0.25">
      <c r="A114" s="16" t="s">
        <v>452</v>
      </c>
      <c r="B114" s="16" t="s">
        <v>9</v>
      </c>
      <c r="C114" s="16" t="s">
        <v>157</v>
      </c>
      <c r="D114" s="16">
        <v>1</v>
      </c>
    </row>
    <row r="115" spans="1:4" x14ac:dyDescent="0.25">
      <c r="A115" s="16" t="s">
        <v>452</v>
      </c>
      <c r="B115" s="16" t="s">
        <v>9</v>
      </c>
      <c r="C115" s="16" t="s">
        <v>135</v>
      </c>
      <c r="D115" s="16">
        <v>1</v>
      </c>
    </row>
    <row r="116" spans="1:4" x14ac:dyDescent="0.25">
      <c r="A116" s="16" t="s">
        <v>456</v>
      </c>
      <c r="B116" s="16" t="s">
        <v>9</v>
      </c>
      <c r="C116" s="16" t="s">
        <v>89</v>
      </c>
      <c r="D116" s="16">
        <v>1</v>
      </c>
    </row>
    <row r="117" spans="1:4" x14ac:dyDescent="0.25">
      <c r="A117" s="16" t="s">
        <v>456</v>
      </c>
      <c r="B117" s="16" t="s">
        <v>9</v>
      </c>
      <c r="C117" s="16" t="s">
        <v>93</v>
      </c>
      <c r="D117" s="16">
        <v>1</v>
      </c>
    </row>
    <row r="118" spans="1:4" x14ac:dyDescent="0.25">
      <c r="A118" s="16" t="s">
        <v>460</v>
      </c>
      <c r="B118" s="16" t="s">
        <v>9</v>
      </c>
      <c r="C118" s="16" t="s">
        <v>179</v>
      </c>
      <c r="D118" s="16">
        <v>2</v>
      </c>
    </row>
    <row r="119" spans="1:4" x14ac:dyDescent="0.25">
      <c r="A119" s="16" t="s">
        <v>460</v>
      </c>
      <c r="B119" s="16" t="s">
        <v>9</v>
      </c>
      <c r="C119" s="16" t="s">
        <v>104</v>
      </c>
      <c r="D119" s="16">
        <v>1</v>
      </c>
    </row>
    <row r="120" spans="1:4" x14ac:dyDescent="0.25">
      <c r="A120" s="16" t="s">
        <v>464</v>
      </c>
      <c r="B120" s="16" t="s">
        <v>9</v>
      </c>
      <c r="C120" s="16" t="s">
        <v>169</v>
      </c>
      <c r="D120" s="16">
        <v>2</v>
      </c>
    </row>
    <row r="121" spans="1:4" x14ac:dyDescent="0.25">
      <c r="A121" s="16" t="s">
        <v>464</v>
      </c>
      <c r="B121" s="16" t="s">
        <v>9</v>
      </c>
      <c r="C121" s="16" t="s">
        <v>100</v>
      </c>
      <c r="D121" s="16">
        <v>1</v>
      </c>
    </row>
    <row r="122" spans="1:4" x14ac:dyDescent="0.25">
      <c r="A122" s="16" t="s">
        <v>468</v>
      </c>
      <c r="B122" s="16" t="s">
        <v>9</v>
      </c>
      <c r="C122" s="16" t="s">
        <v>69</v>
      </c>
      <c r="D122" s="16">
        <v>1</v>
      </c>
    </row>
    <row r="123" spans="1:4" x14ac:dyDescent="0.25">
      <c r="A123" s="16" t="s">
        <v>468</v>
      </c>
      <c r="B123" s="16" t="s">
        <v>9</v>
      </c>
      <c r="C123" s="16" t="s">
        <v>61</v>
      </c>
      <c r="D123" s="16">
        <v>1</v>
      </c>
    </row>
    <row r="124" spans="1:4" x14ac:dyDescent="0.25">
      <c r="A124" s="16" t="s">
        <v>468</v>
      </c>
      <c r="B124" s="16" t="s">
        <v>9</v>
      </c>
      <c r="C124" s="16" t="s">
        <v>88</v>
      </c>
      <c r="D124" s="16">
        <v>1</v>
      </c>
    </row>
    <row r="125" spans="1:4" x14ac:dyDescent="0.25">
      <c r="A125" s="16" t="s">
        <v>472</v>
      </c>
      <c r="B125" s="16" t="s">
        <v>9</v>
      </c>
      <c r="C125" s="16" t="s">
        <v>150</v>
      </c>
      <c r="D125" s="16">
        <v>1</v>
      </c>
    </row>
    <row r="126" spans="1:4" x14ac:dyDescent="0.25">
      <c r="A126" s="16" t="s">
        <v>472</v>
      </c>
      <c r="B126" s="16" t="s">
        <v>9</v>
      </c>
      <c r="C126" s="16" t="s">
        <v>134</v>
      </c>
      <c r="D126" s="16">
        <v>1</v>
      </c>
    </row>
    <row r="127" spans="1:4" x14ac:dyDescent="0.25">
      <c r="A127" s="16" t="s">
        <v>476</v>
      </c>
      <c r="B127" s="16" t="s">
        <v>9</v>
      </c>
      <c r="C127" s="16" t="s">
        <v>150</v>
      </c>
      <c r="D127" s="16">
        <v>2</v>
      </c>
    </row>
    <row r="128" spans="1:4" x14ac:dyDescent="0.25">
      <c r="A128" s="16" t="s">
        <v>480</v>
      </c>
      <c r="B128" s="16" t="s">
        <v>9</v>
      </c>
      <c r="C128" s="16" t="s">
        <v>84</v>
      </c>
      <c r="D128" s="16">
        <v>1</v>
      </c>
    </row>
    <row r="129" spans="1:4" x14ac:dyDescent="0.25">
      <c r="A129" s="16" t="s">
        <v>480</v>
      </c>
      <c r="B129" s="16" t="s">
        <v>9</v>
      </c>
      <c r="C129" s="16" t="s">
        <v>106</v>
      </c>
      <c r="D129" s="16">
        <v>1</v>
      </c>
    </row>
    <row r="130" spans="1:4" x14ac:dyDescent="0.25">
      <c r="A130" s="16" t="s">
        <v>484</v>
      </c>
      <c r="B130" s="16" t="s">
        <v>10</v>
      </c>
      <c r="C130" s="16" t="s">
        <v>114</v>
      </c>
      <c r="D130" s="16">
        <v>1</v>
      </c>
    </row>
    <row r="131" spans="1:4" x14ac:dyDescent="0.25">
      <c r="A131" s="16" t="s">
        <v>484</v>
      </c>
      <c r="B131" s="16" t="s">
        <v>10</v>
      </c>
      <c r="C131" s="16" t="s">
        <v>98</v>
      </c>
      <c r="D131" s="16">
        <v>1</v>
      </c>
    </row>
    <row r="132" spans="1:4" x14ac:dyDescent="0.25">
      <c r="A132" s="16" t="s">
        <v>487</v>
      </c>
      <c r="B132" s="16" t="s">
        <v>10</v>
      </c>
      <c r="C132" s="16" t="s">
        <v>182</v>
      </c>
      <c r="D132" s="16">
        <v>2</v>
      </c>
    </row>
    <row r="133" spans="1:4" x14ac:dyDescent="0.25">
      <c r="A133" s="16" t="s">
        <v>490</v>
      </c>
      <c r="B133" s="16" t="s">
        <v>10</v>
      </c>
      <c r="C133" s="16" t="s">
        <v>190</v>
      </c>
      <c r="D133" s="16">
        <v>2</v>
      </c>
    </row>
    <row r="134" spans="1:4" x14ac:dyDescent="0.25">
      <c r="A134" s="16" t="s">
        <v>490</v>
      </c>
      <c r="B134" s="16" t="s">
        <v>10</v>
      </c>
      <c r="C134" s="16" t="s">
        <v>66</v>
      </c>
      <c r="D134" s="16">
        <v>1</v>
      </c>
    </row>
    <row r="135" spans="1:4" x14ac:dyDescent="0.25">
      <c r="A135" s="16" t="s">
        <v>493</v>
      </c>
      <c r="B135" s="16" t="s">
        <v>10</v>
      </c>
      <c r="C135" s="16" t="s">
        <v>172</v>
      </c>
      <c r="D135" s="16">
        <v>2</v>
      </c>
    </row>
    <row r="136" spans="1:4" x14ac:dyDescent="0.25">
      <c r="A136" s="16" t="s">
        <v>496</v>
      </c>
      <c r="B136" s="16" t="s">
        <v>10</v>
      </c>
      <c r="C136" s="16" t="s">
        <v>164</v>
      </c>
      <c r="D136" s="16">
        <v>3</v>
      </c>
    </row>
    <row r="137" spans="1:4" x14ac:dyDescent="0.25">
      <c r="A137" s="16" t="s">
        <v>499</v>
      </c>
      <c r="B137" s="16" t="s">
        <v>10</v>
      </c>
      <c r="C137" s="16" t="s">
        <v>146</v>
      </c>
      <c r="D137" s="16">
        <v>2</v>
      </c>
    </row>
    <row r="138" spans="1:4" x14ac:dyDescent="0.25">
      <c r="A138" s="16" t="s">
        <v>499</v>
      </c>
      <c r="B138" s="16" t="s">
        <v>10</v>
      </c>
      <c r="C138" s="16" t="s">
        <v>65</v>
      </c>
      <c r="D138" s="16">
        <v>1</v>
      </c>
    </row>
    <row r="139" spans="1:4" x14ac:dyDescent="0.25">
      <c r="A139" s="16" t="s">
        <v>502</v>
      </c>
      <c r="B139" s="16" t="s">
        <v>10</v>
      </c>
      <c r="C139" s="16" t="s">
        <v>97</v>
      </c>
      <c r="D139" s="16">
        <v>2</v>
      </c>
    </row>
    <row r="140" spans="1:4" x14ac:dyDescent="0.25">
      <c r="A140" s="16" t="s">
        <v>502</v>
      </c>
      <c r="B140" s="16" t="s">
        <v>10</v>
      </c>
      <c r="C140" s="16" t="s">
        <v>166</v>
      </c>
      <c r="D140" s="16">
        <v>1</v>
      </c>
    </row>
    <row r="141" spans="1:4" x14ac:dyDescent="0.25">
      <c r="A141" s="16" t="s">
        <v>505</v>
      </c>
      <c r="B141" s="16" t="s">
        <v>10</v>
      </c>
      <c r="C141" s="16" t="s">
        <v>89</v>
      </c>
      <c r="D141" s="16">
        <v>1</v>
      </c>
    </row>
    <row r="142" spans="1:4" x14ac:dyDescent="0.25">
      <c r="A142" s="16" t="s">
        <v>505</v>
      </c>
      <c r="B142" s="16" t="s">
        <v>10</v>
      </c>
      <c r="C142" s="16" t="s">
        <v>144</v>
      </c>
      <c r="D142" s="16">
        <v>1</v>
      </c>
    </row>
    <row r="143" spans="1:4" x14ac:dyDescent="0.25">
      <c r="A143" s="16" t="s">
        <v>508</v>
      </c>
      <c r="B143" s="16" t="s">
        <v>10</v>
      </c>
      <c r="C143" s="16" t="s">
        <v>124</v>
      </c>
      <c r="D143" s="16">
        <v>1</v>
      </c>
    </row>
    <row r="144" spans="1:4" x14ac:dyDescent="0.25">
      <c r="A144" s="16" t="s">
        <v>508</v>
      </c>
      <c r="B144" s="16" t="s">
        <v>10</v>
      </c>
      <c r="C144" s="16" t="s">
        <v>123</v>
      </c>
      <c r="D144" s="16">
        <v>1</v>
      </c>
    </row>
    <row r="145" spans="1:4" x14ac:dyDescent="0.25">
      <c r="A145" s="16" t="s">
        <v>511</v>
      </c>
      <c r="B145" s="16" t="s">
        <v>10</v>
      </c>
      <c r="C145" s="16" t="s">
        <v>139</v>
      </c>
      <c r="D145" s="16">
        <v>2</v>
      </c>
    </row>
    <row r="146" spans="1:4" x14ac:dyDescent="0.25">
      <c r="A146" s="16" t="s">
        <v>514</v>
      </c>
      <c r="B146" s="16" t="s">
        <v>10</v>
      </c>
      <c r="C146" s="16" t="s">
        <v>71</v>
      </c>
      <c r="D146" s="16">
        <v>2</v>
      </c>
    </row>
    <row r="147" spans="1:4" x14ac:dyDescent="0.25">
      <c r="A147" s="16" t="s">
        <v>517</v>
      </c>
      <c r="B147" s="16" t="s">
        <v>10</v>
      </c>
      <c r="C147" s="16" t="s">
        <v>183</v>
      </c>
      <c r="D147" s="16">
        <v>3</v>
      </c>
    </row>
    <row r="148" spans="1:4" x14ac:dyDescent="0.25">
      <c r="A148" s="16" t="s">
        <v>520</v>
      </c>
      <c r="B148" s="16" t="s">
        <v>10</v>
      </c>
      <c r="C148" s="16" t="s">
        <v>169</v>
      </c>
      <c r="D148" s="16">
        <v>2</v>
      </c>
    </row>
    <row r="149" spans="1:4" x14ac:dyDescent="0.25">
      <c r="A149" s="16" t="s">
        <v>520</v>
      </c>
      <c r="B149" s="16" t="s">
        <v>10</v>
      </c>
      <c r="C149" s="16" t="s">
        <v>81</v>
      </c>
      <c r="D149" s="16">
        <v>1</v>
      </c>
    </row>
    <row r="150" spans="1:4" x14ac:dyDescent="0.25">
      <c r="A150" s="16" t="s">
        <v>523</v>
      </c>
      <c r="B150" s="16" t="s">
        <v>10</v>
      </c>
      <c r="C150" s="16" t="s">
        <v>84</v>
      </c>
      <c r="D150" s="16">
        <v>2</v>
      </c>
    </row>
    <row r="151" spans="1:4" x14ac:dyDescent="0.25">
      <c r="A151" s="16" t="s">
        <v>523</v>
      </c>
      <c r="B151" s="16" t="s">
        <v>10</v>
      </c>
      <c r="C151" s="16" t="s">
        <v>157</v>
      </c>
      <c r="D151" s="16">
        <v>1</v>
      </c>
    </row>
    <row r="152" spans="1:4" x14ac:dyDescent="0.25">
      <c r="A152" s="16" t="s">
        <v>526</v>
      </c>
      <c r="B152" s="16" t="s">
        <v>10</v>
      </c>
      <c r="C152" s="16" t="s">
        <v>155</v>
      </c>
      <c r="D152" s="16">
        <v>2</v>
      </c>
    </row>
    <row r="153" spans="1:4" x14ac:dyDescent="0.25">
      <c r="A153" s="16" t="s">
        <v>526</v>
      </c>
      <c r="B153" s="16" t="s">
        <v>10</v>
      </c>
      <c r="C153" s="16" t="s">
        <v>168</v>
      </c>
      <c r="D153" s="16">
        <v>1</v>
      </c>
    </row>
    <row r="154" spans="1:4" x14ac:dyDescent="0.25">
      <c r="A154" s="16" t="s">
        <v>529</v>
      </c>
      <c r="B154" s="16" t="s">
        <v>10</v>
      </c>
      <c r="C154" s="16" t="s">
        <v>111</v>
      </c>
      <c r="D154" s="16">
        <v>2</v>
      </c>
    </row>
    <row r="155" spans="1:4" x14ac:dyDescent="0.25">
      <c r="A155" s="16" t="s">
        <v>529</v>
      </c>
      <c r="B155" s="16" t="s">
        <v>10</v>
      </c>
      <c r="C155" s="16" t="s">
        <v>129</v>
      </c>
      <c r="D155" s="16">
        <v>1</v>
      </c>
    </row>
    <row r="156" spans="1:4" x14ac:dyDescent="0.25">
      <c r="A156" s="16" t="s">
        <v>532</v>
      </c>
      <c r="B156" s="16" t="s">
        <v>10</v>
      </c>
      <c r="C156" s="16" t="s">
        <v>128</v>
      </c>
      <c r="D156" s="16">
        <v>1</v>
      </c>
    </row>
    <row r="157" spans="1:4" x14ac:dyDescent="0.25">
      <c r="A157" s="16" t="s">
        <v>532</v>
      </c>
      <c r="B157" s="16" t="s">
        <v>10</v>
      </c>
      <c r="C157" s="16" t="s">
        <v>91</v>
      </c>
      <c r="D157" s="16">
        <v>1</v>
      </c>
    </row>
    <row r="158" spans="1:4" x14ac:dyDescent="0.25">
      <c r="A158" s="16" t="s">
        <v>535</v>
      </c>
      <c r="B158" s="16" t="s">
        <v>10</v>
      </c>
      <c r="C158" s="16" t="s">
        <v>121</v>
      </c>
      <c r="D158" s="16">
        <v>1</v>
      </c>
    </row>
    <row r="159" spans="1:4" x14ac:dyDescent="0.25">
      <c r="A159" s="16" t="s">
        <v>535</v>
      </c>
      <c r="B159" s="16" t="s">
        <v>10</v>
      </c>
      <c r="C159" s="16" t="s">
        <v>169</v>
      </c>
      <c r="D159" s="16">
        <v>3</v>
      </c>
    </row>
    <row r="160" spans="1:4" x14ac:dyDescent="0.25">
      <c r="A160" s="16" t="s">
        <v>538</v>
      </c>
      <c r="B160" s="16" t="s">
        <v>10</v>
      </c>
      <c r="C160" s="16" t="s">
        <v>111</v>
      </c>
      <c r="D160" s="16">
        <v>1</v>
      </c>
    </row>
    <row r="161" spans="1:4" x14ac:dyDescent="0.25">
      <c r="A161" s="16" t="s">
        <v>538</v>
      </c>
      <c r="B161" s="16" t="s">
        <v>10</v>
      </c>
      <c r="C161" s="16" t="s">
        <v>158</v>
      </c>
      <c r="D161" s="16">
        <v>2</v>
      </c>
    </row>
    <row r="162" spans="1:4" x14ac:dyDescent="0.25">
      <c r="A162" s="16" t="s">
        <v>541</v>
      </c>
      <c r="B162" s="16" t="s">
        <v>10</v>
      </c>
      <c r="C162" s="16" t="s">
        <v>151</v>
      </c>
      <c r="D162" s="16">
        <v>3</v>
      </c>
    </row>
    <row r="163" spans="1:4" x14ac:dyDescent="0.25">
      <c r="A163" s="16" t="s">
        <v>544</v>
      </c>
      <c r="B163" s="16" t="s">
        <v>10</v>
      </c>
      <c r="C163" s="16" t="s">
        <v>119</v>
      </c>
      <c r="D163" s="16">
        <v>1</v>
      </c>
    </row>
    <row r="164" spans="1:4" x14ac:dyDescent="0.25">
      <c r="A164" s="16" t="s">
        <v>544</v>
      </c>
      <c r="B164" s="16" t="s">
        <v>10</v>
      </c>
      <c r="C164" s="16" t="s">
        <v>188</v>
      </c>
      <c r="D164" s="16">
        <v>1</v>
      </c>
    </row>
    <row r="165" spans="1:4" x14ac:dyDescent="0.25">
      <c r="A165" s="16" t="s">
        <v>547</v>
      </c>
      <c r="B165" s="16" t="s">
        <v>10</v>
      </c>
      <c r="C165" s="16" t="s">
        <v>142</v>
      </c>
      <c r="D165" s="16">
        <v>1</v>
      </c>
    </row>
    <row r="166" spans="1:4" x14ac:dyDescent="0.25">
      <c r="A166" s="16" t="s">
        <v>547</v>
      </c>
      <c r="B166" s="16" t="s">
        <v>10</v>
      </c>
      <c r="C166" s="16" t="s">
        <v>170</v>
      </c>
      <c r="D166" s="16">
        <v>2</v>
      </c>
    </row>
    <row r="167" spans="1:4" x14ac:dyDescent="0.25">
      <c r="A167" s="16" t="s">
        <v>550</v>
      </c>
      <c r="B167" s="16" t="s">
        <v>10</v>
      </c>
      <c r="C167" s="16" t="s">
        <v>130</v>
      </c>
      <c r="D167" s="16">
        <v>1</v>
      </c>
    </row>
    <row r="168" spans="1:4" x14ac:dyDescent="0.25">
      <c r="A168" s="16" t="s">
        <v>550</v>
      </c>
      <c r="B168" s="16" t="s">
        <v>10</v>
      </c>
      <c r="C168" s="16" t="s">
        <v>153</v>
      </c>
      <c r="D168" s="16">
        <v>2</v>
      </c>
    </row>
    <row r="169" spans="1:4" x14ac:dyDescent="0.25">
      <c r="A169" s="16" t="s">
        <v>553</v>
      </c>
      <c r="B169" s="16" t="s">
        <v>10</v>
      </c>
      <c r="C169" s="16" t="s">
        <v>89</v>
      </c>
      <c r="D169" s="16">
        <v>1</v>
      </c>
    </row>
    <row r="170" spans="1:4" x14ac:dyDescent="0.25">
      <c r="A170" s="16" t="s">
        <v>553</v>
      </c>
      <c r="B170" s="16" t="s">
        <v>10</v>
      </c>
      <c r="C170" s="16" t="s">
        <v>107</v>
      </c>
      <c r="D170" s="16">
        <v>1</v>
      </c>
    </row>
    <row r="171" spans="1:4" x14ac:dyDescent="0.25">
      <c r="A171" s="16" t="s">
        <v>556</v>
      </c>
      <c r="B171" s="16" t="s">
        <v>10</v>
      </c>
      <c r="C171" s="16" t="s">
        <v>144</v>
      </c>
      <c r="D171" s="16">
        <v>2</v>
      </c>
    </row>
    <row r="172" spans="1:4" x14ac:dyDescent="0.25">
      <c r="A172" s="16" t="s">
        <v>559</v>
      </c>
      <c r="B172" s="16" t="s">
        <v>10</v>
      </c>
      <c r="C172" s="16" t="s">
        <v>114</v>
      </c>
      <c r="D172" s="16">
        <v>1</v>
      </c>
    </row>
    <row r="173" spans="1:4" x14ac:dyDescent="0.25">
      <c r="A173" s="16" t="s">
        <v>559</v>
      </c>
      <c r="B173" s="16" t="s">
        <v>10</v>
      </c>
      <c r="C173" s="16" t="s">
        <v>116</v>
      </c>
      <c r="D173" s="16">
        <v>1</v>
      </c>
    </row>
    <row r="174" spans="1:4" x14ac:dyDescent="0.25">
      <c r="A174" s="16" t="s">
        <v>562</v>
      </c>
      <c r="B174" s="16" t="s">
        <v>10</v>
      </c>
      <c r="C174" s="16" t="s">
        <v>123</v>
      </c>
      <c r="D174" s="16">
        <v>2</v>
      </c>
    </row>
    <row r="175" spans="1:4" x14ac:dyDescent="0.25">
      <c r="A175" s="16" t="s">
        <v>562</v>
      </c>
      <c r="B175" s="16" t="s">
        <v>10</v>
      </c>
      <c r="C175" s="16" t="s">
        <v>64</v>
      </c>
      <c r="D175" s="16">
        <v>1</v>
      </c>
    </row>
    <row r="176" spans="1:4" x14ac:dyDescent="0.25">
      <c r="A176" s="16" t="s">
        <v>565</v>
      </c>
      <c r="B176" s="16" t="s">
        <v>10</v>
      </c>
      <c r="C176" s="16" t="s">
        <v>161</v>
      </c>
      <c r="D176" s="16">
        <v>2</v>
      </c>
    </row>
    <row r="177" spans="1:4" x14ac:dyDescent="0.25">
      <c r="A177" s="16" t="s">
        <v>568</v>
      </c>
      <c r="B177" s="16" t="s">
        <v>10</v>
      </c>
      <c r="C177" s="16" t="s">
        <v>190</v>
      </c>
      <c r="D177" s="16">
        <v>1</v>
      </c>
    </row>
    <row r="178" spans="1:4" x14ac:dyDescent="0.25">
      <c r="A178" s="16" t="s">
        <v>568</v>
      </c>
      <c r="B178" s="16" t="s">
        <v>10</v>
      </c>
      <c r="C178" s="16" t="s">
        <v>127</v>
      </c>
      <c r="D178" s="16">
        <v>1</v>
      </c>
    </row>
    <row r="179" spans="1:4" x14ac:dyDescent="0.25">
      <c r="A179" s="16" t="s">
        <v>571</v>
      </c>
      <c r="B179" s="16" t="s">
        <v>10</v>
      </c>
      <c r="C179" s="16" t="s">
        <v>179</v>
      </c>
      <c r="D179" s="16">
        <v>1</v>
      </c>
    </row>
    <row r="180" spans="1:4" x14ac:dyDescent="0.25">
      <c r="A180" s="16" t="s">
        <v>571</v>
      </c>
      <c r="B180" s="16" t="s">
        <v>10</v>
      </c>
      <c r="C180" s="16" t="s">
        <v>104</v>
      </c>
      <c r="D180" s="16">
        <v>1</v>
      </c>
    </row>
    <row r="181" spans="1:4" x14ac:dyDescent="0.25">
      <c r="A181" s="16" t="s">
        <v>574</v>
      </c>
      <c r="B181" s="16" t="s">
        <v>10</v>
      </c>
      <c r="C181" s="16" t="s">
        <v>92</v>
      </c>
      <c r="D181" s="16">
        <v>2</v>
      </c>
    </row>
    <row r="182" spans="1:4" x14ac:dyDescent="0.25">
      <c r="A182" s="16" t="s">
        <v>574</v>
      </c>
      <c r="B182" s="16" t="s">
        <v>10</v>
      </c>
      <c r="C182" s="16" t="s">
        <v>69</v>
      </c>
      <c r="D182" s="16">
        <v>1</v>
      </c>
    </row>
    <row r="183" spans="1:4" x14ac:dyDescent="0.25">
      <c r="A183" s="16" t="s">
        <v>574</v>
      </c>
      <c r="B183" s="16" t="s">
        <v>10</v>
      </c>
      <c r="C183" s="16" t="s">
        <v>178</v>
      </c>
      <c r="D183" s="16">
        <v>1</v>
      </c>
    </row>
    <row r="184" spans="1:4" x14ac:dyDescent="0.25">
      <c r="A184" s="16" t="s">
        <v>577</v>
      </c>
      <c r="B184" s="16" t="s">
        <v>10</v>
      </c>
      <c r="C184" s="16" t="s">
        <v>179</v>
      </c>
      <c r="D184" s="16">
        <v>2</v>
      </c>
    </row>
    <row r="185" spans="1:4" x14ac:dyDescent="0.25">
      <c r="A185" s="16" t="s">
        <v>580</v>
      </c>
      <c r="B185" s="16" t="s">
        <v>10</v>
      </c>
      <c r="C185" s="16" t="s">
        <v>92</v>
      </c>
      <c r="D185" s="16">
        <v>1</v>
      </c>
    </row>
    <row r="186" spans="1:4" x14ac:dyDescent="0.25">
      <c r="A186" s="16" t="s">
        <v>580</v>
      </c>
      <c r="B186" s="16" t="s">
        <v>10</v>
      </c>
      <c r="C186" s="16" t="s">
        <v>90</v>
      </c>
      <c r="D186" s="16">
        <v>1</v>
      </c>
    </row>
    <row r="187" spans="1:4" x14ac:dyDescent="0.25">
      <c r="A187" s="16" t="s">
        <v>580</v>
      </c>
      <c r="B187" s="16" t="s">
        <v>10</v>
      </c>
      <c r="C187" s="16" t="s">
        <v>125</v>
      </c>
      <c r="D187" s="16">
        <v>1</v>
      </c>
    </row>
    <row r="188" spans="1:4" x14ac:dyDescent="0.25">
      <c r="A188" s="16" t="s">
        <v>583</v>
      </c>
      <c r="B188" s="16" t="s">
        <v>10</v>
      </c>
      <c r="C188" s="16" t="s">
        <v>117</v>
      </c>
      <c r="D188" s="16">
        <v>2</v>
      </c>
    </row>
    <row r="189" spans="1:4" x14ac:dyDescent="0.25">
      <c r="A189" s="16" t="s">
        <v>586</v>
      </c>
      <c r="B189" s="16" t="s">
        <v>10</v>
      </c>
      <c r="C189" s="16" t="s">
        <v>119</v>
      </c>
      <c r="D189" s="16">
        <v>1</v>
      </c>
    </row>
    <row r="190" spans="1:4" x14ac:dyDescent="0.25">
      <c r="A190" s="16" t="s">
        <v>586</v>
      </c>
      <c r="B190" s="16" t="s">
        <v>10</v>
      </c>
      <c r="C190" s="16" t="s">
        <v>144</v>
      </c>
      <c r="D190" s="16">
        <v>1</v>
      </c>
    </row>
    <row r="191" spans="1:4" x14ac:dyDescent="0.25">
      <c r="A191" s="16" t="s">
        <v>586</v>
      </c>
      <c r="B191" s="16" t="s">
        <v>10</v>
      </c>
      <c r="C191" s="16" t="s">
        <v>126</v>
      </c>
      <c r="D191" s="16">
        <v>1</v>
      </c>
    </row>
    <row r="192" spans="1:4" x14ac:dyDescent="0.25">
      <c r="A192" s="16" t="s">
        <v>589</v>
      </c>
      <c r="B192" s="16" t="s">
        <v>10</v>
      </c>
      <c r="C192" s="16" t="s">
        <v>72</v>
      </c>
      <c r="D192" s="16">
        <v>3</v>
      </c>
    </row>
    <row r="193" spans="1:4" x14ac:dyDescent="0.25">
      <c r="A193" s="16" t="s">
        <v>592</v>
      </c>
      <c r="B193" s="16" t="s">
        <v>10</v>
      </c>
      <c r="C193" s="16" t="s">
        <v>72</v>
      </c>
      <c r="D193" s="16">
        <v>1</v>
      </c>
    </row>
    <row r="194" spans="1:4" x14ac:dyDescent="0.25">
      <c r="A194" s="16" t="s">
        <v>592</v>
      </c>
      <c r="B194" s="16" t="s">
        <v>10</v>
      </c>
      <c r="C194" s="16" t="s">
        <v>110</v>
      </c>
      <c r="D194" s="16">
        <v>1</v>
      </c>
    </row>
    <row r="195" spans="1:4" x14ac:dyDescent="0.25">
      <c r="A195" s="16" t="s">
        <v>595</v>
      </c>
      <c r="B195" s="16" t="s">
        <v>10</v>
      </c>
      <c r="C195" s="16" t="s">
        <v>99</v>
      </c>
      <c r="D195" s="16">
        <v>2</v>
      </c>
    </row>
    <row r="196" spans="1:4" x14ac:dyDescent="0.25">
      <c r="A196" s="16" t="s">
        <v>595</v>
      </c>
      <c r="B196" s="16" t="s">
        <v>10</v>
      </c>
      <c r="C196" s="16" t="s">
        <v>193</v>
      </c>
      <c r="D196" s="16">
        <v>1</v>
      </c>
    </row>
    <row r="197" spans="1:4" x14ac:dyDescent="0.25">
      <c r="A197" s="16" t="s">
        <v>598</v>
      </c>
      <c r="B197" s="16" t="s">
        <v>10</v>
      </c>
      <c r="C197" s="16" t="s">
        <v>155</v>
      </c>
      <c r="D197" s="16">
        <v>2</v>
      </c>
    </row>
    <row r="198" spans="1:4" x14ac:dyDescent="0.25">
      <c r="A198" s="16" t="s">
        <v>598</v>
      </c>
      <c r="B198" s="16" t="s">
        <v>10</v>
      </c>
      <c r="C198" s="16" t="s">
        <v>193</v>
      </c>
      <c r="D198" s="16">
        <v>1</v>
      </c>
    </row>
    <row r="199" spans="1:4" x14ac:dyDescent="0.25">
      <c r="A199" s="16" t="s">
        <v>601</v>
      </c>
      <c r="B199" s="16" t="s">
        <v>10</v>
      </c>
      <c r="C199" s="16" t="s">
        <v>112</v>
      </c>
      <c r="D199" s="16">
        <v>2</v>
      </c>
    </row>
    <row r="200" spans="1:4" x14ac:dyDescent="0.25">
      <c r="A200" s="16" t="s">
        <v>601</v>
      </c>
      <c r="B200" s="16" t="s">
        <v>10</v>
      </c>
      <c r="C200" s="16" t="s">
        <v>167</v>
      </c>
      <c r="D200" s="16">
        <v>1</v>
      </c>
    </row>
    <row r="201" spans="1:4" x14ac:dyDescent="0.25">
      <c r="A201" s="16" t="s">
        <v>604</v>
      </c>
      <c r="B201" s="16" t="s">
        <v>10</v>
      </c>
      <c r="C201" s="16" t="s">
        <v>187</v>
      </c>
      <c r="D201" s="16">
        <v>2</v>
      </c>
    </row>
    <row r="202" spans="1:4" x14ac:dyDescent="0.25">
      <c r="A202" s="16" t="s">
        <v>607</v>
      </c>
      <c r="B202" s="16" t="s">
        <v>10</v>
      </c>
      <c r="C202" s="16" t="s">
        <v>131</v>
      </c>
      <c r="D202" s="16">
        <v>1</v>
      </c>
    </row>
    <row r="203" spans="1:4" x14ac:dyDescent="0.25">
      <c r="A203" s="16" t="s">
        <v>607</v>
      </c>
      <c r="B203" s="16" t="s">
        <v>10</v>
      </c>
      <c r="C203" s="16" t="s">
        <v>80</v>
      </c>
      <c r="D203" s="16">
        <v>2</v>
      </c>
    </row>
    <row r="204" spans="1:4" x14ac:dyDescent="0.25">
      <c r="A204" s="16" t="s">
        <v>610</v>
      </c>
      <c r="B204" s="16" t="s">
        <v>10</v>
      </c>
      <c r="C204" s="16" t="s">
        <v>112</v>
      </c>
      <c r="D204" s="16">
        <v>2</v>
      </c>
    </row>
    <row r="205" spans="1:4" x14ac:dyDescent="0.25">
      <c r="A205" s="16" t="s">
        <v>610</v>
      </c>
      <c r="B205" s="16" t="s">
        <v>10</v>
      </c>
      <c r="C205" s="16" t="s">
        <v>85</v>
      </c>
      <c r="D205" s="16">
        <v>1</v>
      </c>
    </row>
    <row r="206" spans="1:4" x14ac:dyDescent="0.25">
      <c r="A206" s="16" t="s">
        <v>613</v>
      </c>
      <c r="B206" s="16" t="s">
        <v>10</v>
      </c>
      <c r="C206" s="16" t="s">
        <v>82</v>
      </c>
      <c r="D206" s="16">
        <v>2</v>
      </c>
    </row>
    <row r="207" spans="1:4" x14ac:dyDescent="0.25">
      <c r="A207" s="16" t="s">
        <v>616</v>
      </c>
      <c r="B207" s="16" t="s">
        <v>10</v>
      </c>
      <c r="C207" s="16" t="s">
        <v>90</v>
      </c>
      <c r="D207" s="16">
        <v>2</v>
      </c>
    </row>
    <row r="208" spans="1:4" x14ac:dyDescent="0.25">
      <c r="A208" s="16" t="s">
        <v>616</v>
      </c>
      <c r="B208" s="16" t="s">
        <v>10</v>
      </c>
      <c r="C208" s="16" t="s">
        <v>130</v>
      </c>
      <c r="D208" s="16">
        <v>1</v>
      </c>
    </row>
    <row r="209" spans="1:4" x14ac:dyDescent="0.25">
      <c r="A209" s="16" t="s">
        <v>619</v>
      </c>
      <c r="B209" s="16" t="s">
        <v>10</v>
      </c>
      <c r="C209" s="16" t="s">
        <v>104</v>
      </c>
      <c r="D209" s="16">
        <v>1</v>
      </c>
    </row>
    <row r="210" spans="1:4" x14ac:dyDescent="0.25">
      <c r="A210" s="16" t="s">
        <v>619</v>
      </c>
      <c r="B210" s="16" t="s">
        <v>10</v>
      </c>
      <c r="C210" s="16" t="s">
        <v>170</v>
      </c>
      <c r="D210" s="16">
        <v>2</v>
      </c>
    </row>
    <row r="211" spans="1:4" x14ac:dyDescent="0.25">
      <c r="A211" s="16" t="s">
        <v>619</v>
      </c>
      <c r="B211" s="16" t="s">
        <v>10</v>
      </c>
      <c r="C211" s="16" t="s">
        <v>136</v>
      </c>
      <c r="D211" s="16">
        <v>1</v>
      </c>
    </row>
    <row r="212" spans="1:4" x14ac:dyDescent="0.25">
      <c r="A212" s="16" t="s">
        <v>622</v>
      </c>
      <c r="B212" s="16" t="s">
        <v>10</v>
      </c>
      <c r="C212" s="16" t="s">
        <v>92</v>
      </c>
      <c r="D212" s="16">
        <v>2</v>
      </c>
    </row>
    <row r="213" spans="1:4" x14ac:dyDescent="0.25">
      <c r="A213" s="16" t="s">
        <v>622</v>
      </c>
      <c r="B213" s="16" t="s">
        <v>10</v>
      </c>
      <c r="C213" s="16" t="s">
        <v>79</v>
      </c>
      <c r="D213" s="16">
        <v>1</v>
      </c>
    </row>
    <row r="214" spans="1:4" x14ac:dyDescent="0.25">
      <c r="A214" s="16" t="s">
        <v>625</v>
      </c>
      <c r="B214" s="16" t="s">
        <v>10</v>
      </c>
      <c r="C214" s="16" t="s">
        <v>161</v>
      </c>
      <c r="D214" s="16">
        <v>1</v>
      </c>
    </row>
    <row r="215" spans="1:4" x14ac:dyDescent="0.25">
      <c r="A215" s="16" t="s">
        <v>625</v>
      </c>
      <c r="B215" s="16" t="s">
        <v>10</v>
      </c>
      <c r="C215" s="16" t="s">
        <v>150</v>
      </c>
      <c r="D215" s="16">
        <v>2</v>
      </c>
    </row>
    <row r="216" spans="1:4" x14ac:dyDescent="0.25">
      <c r="A216" s="16" t="s">
        <v>628</v>
      </c>
      <c r="B216" s="16" t="s">
        <v>10</v>
      </c>
      <c r="C216" s="16" t="s">
        <v>149</v>
      </c>
      <c r="D216" s="16">
        <v>1</v>
      </c>
    </row>
    <row r="217" spans="1:4" x14ac:dyDescent="0.25">
      <c r="A217" s="16" t="s">
        <v>628</v>
      </c>
      <c r="B217" s="16" t="s">
        <v>10</v>
      </c>
      <c r="C217" s="16" t="s">
        <v>112</v>
      </c>
      <c r="D217" s="16">
        <v>2</v>
      </c>
    </row>
    <row r="218" spans="1:4" x14ac:dyDescent="0.25">
      <c r="A218" s="16" t="s">
        <v>631</v>
      </c>
      <c r="B218" s="16" t="s">
        <v>10</v>
      </c>
      <c r="C218" s="16" t="s">
        <v>171</v>
      </c>
      <c r="D218" s="16">
        <v>1</v>
      </c>
    </row>
    <row r="219" spans="1:4" x14ac:dyDescent="0.25">
      <c r="A219" s="16" t="s">
        <v>631</v>
      </c>
      <c r="B219" s="16" t="s">
        <v>10</v>
      </c>
      <c r="C219" s="16" t="s">
        <v>137</v>
      </c>
      <c r="D219" s="16">
        <v>2</v>
      </c>
    </row>
    <row r="220" spans="1:4" x14ac:dyDescent="0.25">
      <c r="A220" s="16" t="s">
        <v>634</v>
      </c>
      <c r="B220" s="16" t="s">
        <v>10</v>
      </c>
      <c r="C220" s="16" t="s">
        <v>112</v>
      </c>
      <c r="D220" s="16">
        <v>1</v>
      </c>
    </row>
    <row r="221" spans="1:4" x14ac:dyDescent="0.25">
      <c r="A221" s="16" t="s">
        <v>634</v>
      </c>
      <c r="B221" s="16" t="s">
        <v>10</v>
      </c>
      <c r="C221" s="16" t="s">
        <v>100</v>
      </c>
      <c r="D221" s="16">
        <v>1</v>
      </c>
    </row>
    <row r="222" spans="1:4" x14ac:dyDescent="0.25">
      <c r="A222" s="16" t="s">
        <v>637</v>
      </c>
      <c r="B222" s="16" t="s">
        <v>10</v>
      </c>
      <c r="C222" s="16" t="s">
        <v>109</v>
      </c>
      <c r="D222" s="16">
        <v>1</v>
      </c>
    </row>
    <row r="223" spans="1:4" x14ac:dyDescent="0.25">
      <c r="A223" s="16" t="s">
        <v>637</v>
      </c>
      <c r="B223" s="16" t="s">
        <v>10</v>
      </c>
      <c r="C223" s="16" t="s">
        <v>102</v>
      </c>
      <c r="D223" s="16">
        <v>2</v>
      </c>
    </row>
    <row r="224" spans="1:4" x14ac:dyDescent="0.25">
      <c r="A224" s="16" t="s">
        <v>640</v>
      </c>
      <c r="B224" s="16" t="s">
        <v>10</v>
      </c>
      <c r="C224" s="16" t="s">
        <v>192</v>
      </c>
      <c r="D224" s="16">
        <v>2</v>
      </c>
    </row>
    <row r="225" spans="1:4" x14ac:dyDescent="0.25">
      <c r="A225" s="16" t="s">
        <v>643</v>
      </c>
      <c r="B225" s="16" t="s">
        <v>10</v>
      </c>
      <c r="C225" s="16" t="s">
        <v>147</v>
      </c>
      <c r="D225" s="16">
        <v>2</v>
      </c>
    </row>
    <row r="226" spans="1:4" x14ac:dyDescent="0.25">
      <c r="A226" s="16" t="s">
        <v>646</v>
      </c>
      <c r="B226" s="16" t="s">
        <v>10</v>
      </c>
      <c r="C226" s="16" t="s">
        <v>84</v>
      </c>
      <c r="D226" s="16">
        <v>1</v>
      </c>
    </row>
    <row r="227" spans="1:4" x14ac:dyDescent="0.25">
      <c r="A227" s="16" t="s">
        <v>646</v>
      </c>
      <c r="B227" s="16" t="s">
        <v>10</v>
      </c>
      <c r="C227" s="16" t="s">
        <v>73</v>
      </c>
      <c r="D227" s="16">
        <v>1</v>
      </c>
    </row>
    <row r="228" spans="1:4" x14ac:dyDescent="0.25">
      <c r="A228" s="16" t="s">
        <v>649</v>
      </c>
      <c r="B228" s="16" t="s">
        <v>10</v>
      </c>
      <c r="C228" s="16" t="s">
        <v>72</v>
      </c>
      <c r="D228" s="16">
        <v>1</v>
      </c>
    </row>
    <row r="229" spans="1:4" x14ac:dyDescent="0.25">
      <c r="A229" s="16" t="s">
        <v>649</v>
      </c>
      <c r="B229" s="16" t="s">
        <v>10</v>
      </c>
      <c r="C229" s="16" t="s">
        <v>130</v>
      </c>
      <c r="D229" s="16">
        <v>1</v>
      </c>
    </row>
    <row r="230" spans="1:4" x14ac:dyDescent="0.25">
      <c r="A230" s="16" t="s">
        <v>649</v>
      </c>
      <c r="B230" s="16" t="s">
        <v>10</v>
      </c>
      <c r="C230" s="16" t="s">
        <v>59</v>
      </c>
      <c r="D230" s="16">
        <v>1</v>
      </c>
    </row>
    <row r="231" spans="1:4" x14ac:dyDescent="0.25">
      <c r="A231" s="16" t="s">
        <v>652</v>
      </c>
      <c r="B231" s="16" t="s">
        <v>10</v>
      </c>
      <c r="C231" s="16" t="s">
        <v>132</v>
      </c>
      <c r="D231" s="16">
        <v>2</v>
      </c>
    </row>
    <row r="232" spans="1:4" x14ac:dyDescent="0.25">
      <c r="A232" s="16" t="s">
        <v>652</v>
      </c>
      <c r="B232" s="16" t="s">
        <v>10</v>
      </c>
      <c r="C232" s="16" t="s">
        <v>184</v>
      </c>
      <c r="D232" s="16">
        <v>1</v>
      </c>
    </row>
    <row r="233" spans="1:4" x14ac:dyDescent="0.25">
      <c r="A233" s="16" t="s">
        <v>655</v>
      </c>
      <c r="B233" s="16" t="s">
        <v>10</v>
      </c>
      <c r="C233" s="16" t="s">
        <v>109</v>
      </c>
      <c r="D233" s="16">
        <v>1</v>
      </c>
    </row>
    <row r="234" spans="1:4" x14ac:dyDescent="0.25">
      <c r="A234" s="16" t="s">
        <v>655</v>
      </c>
      <c r="B234" s="16" t="s">
        <v>10</v>
      </c>
      <c r="C234" s="16" t="s">
        <v>90</v>
      </c>
      <c r="D234" s="16">
        <v>1</v>
      </c>
    </row>
    <row r="235" spans="1:4" x14ac:dyDescent="0.25">
      <c r="A235" s="16" t="s">
        <v>658</v>
      </c>
      <c r="B235" s="16" t="s">
        <v>10</v>
      </c>
      <c r="C235" s="16" t="s">
        <v>157</v>
      </c>
      <c r="D235" s="16">
        <v>2</v>
      </c>
    </row>
    <row r="236" spans="1:4" x14ac:dyDescent="0.25">
      <c r="A236" s="16" t="s">
        <v>658</v>
      </c>
      <c r="B236" s="16" t="s">
        <v>10</v>
      </c>
      <c r="C236" s="16" t="s">
        <v>76</v>
      </c>
      <c r="D236" s="16">
        <v>1</v>
      </c>
    </row>
    <row r="237" spans="1:4" x14ac:dyDescent="0.25">
      <c r="A237" s="16" t="s">
        <v>661</v>
      </c>
      <c r="B237" s="16" t="s">
        <v>10</v>
      </c>
      <c r="C237" s="16" t="s">
        <v>165</v>
      </c>
      <c r="D237" s="16">
        <v>2</v>
      </c>
    </row>
    <row r="238" spans="1:4" x14ac:dyDescent="0.25">
      <c r="A238" s="16" t="s">
        <v>664</v>
      </c>
      <c r="B238" s="16" t="s">
        <v>10</v>
      </c>
      <c r="C238" s="16" t="s">
        <v>62</v>
      </c>
      <c r="D238" s="16">
        <v>1</v>
      </c>
    </row>
    <row r="239" spans="1:4" x14ac:dyDescent="0.25">
      <c r="A239" s="16" t="s">
        <v>664</v>
      </c>
      <c r="B239" s="16" t="s">
        <v>10</v>
      </c>
      <c r="C239" s="16" t="s">
        <v>103</v>
      </c>
      <c r="D239" s="16">
        <v>2</v>
      </c>
    </row>
    <row r="240" spans="1:4" x14ac:dyDescent="0.25">
      <c r="A240" s="16" t="s">
        <v>667</v>
      </c>
      <c r="B240" s="16" t="s">
        <v>10</v>
      </c>
      <c r="C240" s="16" t="s">
        <v>90</v>
      </c>
      <c r="D240" s="16">
        <v>1</v>
      </c>
    </row>
    <row r="241" spans="1:4" x14ac:dyDescent="0.25">
      <c r="A241" s="16" t="s">
        <v>667</v>
      </c>
      <c r="B241" s="16" t="s">
        <v>10</v>
      </c>
      <c r="C241" s="16" t="s">
        <v>128</v>
      </c>
      <c r="D241" s="16">
        <v>1</v>
      </c>
    </row>
    <row r="242" spans="1:4" x14ac:dyDescent="0.25">
      <c r="A242" s="16" t="s">
        <v>667</v>
      </c>
      <c r="B242" s="16" t="s">
        <v>10</v>
      </c>
      <c r="C242" s="16" t="s">
        <v>135</v>
      </c>
      <c r="D242" s="16">
        <v>1</v>
      </c>
    </row>
    <row r="243" spans="1:4" x14ac:dyDescent="0.25">
      <c r="A243" s="16" t="s">
        <v>670</v>
      </c>
      <c r="B243" s="16" t="s">
        <v>10</v>
      </c>
      <c r="C243" s="16" t="s">
        <v>117</v>
      </c>
      <c r="D243" s="16">
        <v>1</v>
      </c>
    </row>
    <row r="244" spans="1:4" x14ac:dyDescent="0.25">
      <c r="A244" s="16" t="s">
        <v>670</v>
      </c>
      <c r="B244" s="16" t="s">
        <v>10</v>
      </c>
      <c r="C244" s="16" t="s">
        <v>121</v>
      </c>
      <c r="D244" s="16">
        <v>2</v>
      </c>
    </row>
    <row r="245" spans="1:4" x14ac:dyDescent="0.25">
      <c r="A245" s="16" t="s">
        <v>673</v>
      </c>
      <c r="B245" s="16" t="s">
        <v>10</v>
      </c>
      <c r="C245" s="16" t="s">
        <v>69</v>
      </c>
      <c r="D245" s="16">
        <v>1</v>
      </c>
    </row>
    <row r="246" spans="1:4" x14ac:dyDescent="0.25">
      <c r="A246" s="16" t="s">
        <v>673</v>
      </c>
      <c r="B246" s="16" t="s">
        <v>10</v>
      </c>
      <c r="C246" s="16" t="s">
        <v>175</v>
      </c>
      <c r="D246" s="16">
        <v>1</v>
      </c>
    </row>
    <row r="247" spans="1:4" x14ac:dyDescent="0.25">
      <c r="A247" s="16" t="s">
        <v>676</v>
      </c>
      <c r="B247" s="16" t="s">
        <v>10</v>
      </c>
      <c r="C247" s="16" t="s">
        <v>128</v>
      </c>
      <c r="D247" s="16">
        <v>2</v>
      </c>
    </row>
    <row r="248" spans="1:4" x14ac:dyDescent="0.25">
      <c r="A248" s="16" t="s">
        <v>679</v>
      </c>
      <c r="B248" s="16" t="s">
        <v>10</v>
      </c>
      <c r="C248" s="16" t="s">
        <v>88</v>
      </c>
      <c r="D248" s="16">
        <v>2</v>
      </c>
    </row>
    <row r="249" spans="1:4" x14ac:dyDescent="0.25">
      <c r="A249" s="16" t="s">
        <v>682</v>
      </c>
      <c r="B249" s="16" t="s">
        <v>10</v>
      </c>
      <c r="C249" s="16" t="s">
        <v>140</v>
      </c>
      <c r="D249" s="16">
        <v>2</v>
      </c>
    </row>
    <row r="250" spans="1:4" x14ac:dyDescent="0.25">
      <c r="A250" s="16" t="s">
        <v>685</v>
      </c>
      <c r="B250" s="16" t="s">
        <v>10</v>
      </c>
      <c r="C250" s="16" t="s">
        <v>155</v>
      </c>
      <c r="D250" s="16">
        <v>1</v>
      </c>
    </row>
    <row r="251" spans="1:4" x14ac:dyDescent="0.25">
      <c r="A251" s="16" t="s">
        <v>685</v>
      </c>
      <c r="B251" s="16" t="s">
        <v>10</v>
      </c>
      <c r="C251" s="16" t="s">
        <v>108</v>
      </c>
      <c r="D251" s="16">
        <v>1</v>
      </c>
    </row>
    <row r="252" spans="1:4" x14ac:dyDescent="0.25">
      <c r="A252" s="16" t="s">
        <v>688</v>
      </c>
      <c r="B252" s="16" t="s">
        <v>10</v>
      </c>
      <c r="C252" s="16" t="s">
        <v>180</v>
      </c>
      <c r="D252" s="16">
        <v>1</v>
      </c>
    </row>
    <row r="253" spans="1:4" x14ac:dyDescent="0.25">
      <c r="A253" s="16" t="s">
        <v>688</v>
      </c>
      <c r="B253" s="16" t="s">
        <v>10</v>
      </c>
      <c r="C253" s="16" t="s">
        <v>106</v>
      </c>
      <c r="D253" s="16">
        <v>2</v>
      </c>
    </row>
    <row r="254" spans="1:4" x14ac:dyDescent="0.25">
      <c r="A254" s="16" t="s">
        <v>691</v>
      </c>
      <c r="B254" s="16" t="s">
        <v>11</v>
      </c>
      <c r="C254" s="16" t="s">
        <v>152</v>
      </c>
      <c r="D254" s="16">
        <v>1</v>
      </c>
    </row>
    <row r="255" spans="1:4" x14ac:dyDescent="0.25">
      <c r="A255" s="16" t="s">
        <v>691</v>
      </c>
      <c r="B255" s="16" t="s">
        <v>11</v>
      </c>
      <c r="C255" s="16" t="s">
        <v>150</v>
      </c>
      <c r="D255" s="16">
        <v>1</v>
      </c>
    </row>
    <row r="256" spans="1:4" x14ac:dyDescent="0.25">
      <c r="A256" s="16" t="s">
        <v>694</v>
      </c>
      <c r="B256" s="16" t="s">
        <v>11</v>
      </c>
      <c r="C256" s="16" t="s">
        <v>119</v>
      </c>
      <c r="D256" s="16">
        <v>3</v>
      </c>
    </row>
    <row r="257" spans="1:4" x14ac:dyDescent="0.25">
      <c r="A257" s="16" t="s">
        <v>697</v>
      </c>
      <c r="B257" s="16" t="s">
        <v>11</v>
      </c>
      <c r="C257" s="16" t="s">
        <v>69</v>
      </c>
      <c r="D257" s="16">
        <v>1</v>
      </c>
    </row>
    <row r="258" spans="1:4" x14ac:dyDescent="0.25">
      <c r="A258" s="16" t="s">
        <v>697</v>
      </c>
      <c r="B258" s="16" t="s">
        <v>11</v>
      </c>
      <c r="C258" s="16" t="s">
        <v>74</v>
      </c>
      <c r="D258" s="16">
        <v>1</v>
      </c>
    </row>
    <row r="259" spans="1:4" x14ac:dyDescent="0.25">
      <c r="A259" s="16" t="s">
        <v>700</v>
      </c>
      <c r="B259" s="16" t="s">
        <v>11</v>
      </c>
      <c r="C259" s="16" t="s">
        <v>109</v>
      </c>
      <c r="D259" s="16">
        <v>2</v>
      </c>
    </row>
    <row r="260" spans="1:4" x14ac:dyDescent="0.25">
      <c r="A260" s="16" t="s">
        <v>703</v>
      </c>
      <c r="B260" s="16" t="s">
        <v>11</v>
      </c>
      <c r="C260" s="16" t="s">
        <v>89</v>
      </c>
      <c r="D260" s="16">
        <v>1</v>
      </c>
    </row>
    <row r="261" spans="1:4" x14ac:dyDescent="0.25">
      <c r="A261" s="16" t="s">
        <v>703</v>
      </c>
      <c r="B261" s="16" t="s">
        <v>11</v>
      </c>
      <c r="C261" s="16" t="s">
        <v>112</v>
      </c>
      <c r="D261" s="16">
        <v>2</v>
      </c>
    </row>
    <row r="262" spans="1:4" x14ac:dyDescent="0.25">
      <c r="A262" s="16" t="s">
        <v>706</v>
      </c>
      <c r="B262" s="16" t="s">
        <v>11</v>
      </c>
      <c r="C262" s="16" t="s">
        <v>146</v>
      </c>
      <c r="D262" s="16">
        <v>1</v>
      </c>
    </row>
    <row r="263" spans="1:4" x14ac:dyDescent="0.25">
      <c r="A263" s="16" t="s">
        <v>706</v>
      </c>
      <c r="B263" s="16" t="s">
        <v>11</v>
      </c>
      <c r="C263" s="16" t="s">
        <v>138</v>
      </c>
      <c r="D263" s="16">
        <v>1</v>
      </c>
    </row>
    <row r="264" spans="1:4" x14ac:dyDescent="0.25">
      <c r="A264" s="16" t="s">
        <v>706</v>
      </c>
      <c r="B264" s="16" t="s">
        <v>11</v>
      </c>
      <c r="C264" s="16" t="s">
        <v>65</v>
      </c>
      <c r="D264" s="16">
        <v>1</v>
      </c>
    </row>
    <row r="265" spans="1:4" x14ac:dyDescent="0.25">
      <c r="A265" s="16" t="s">
        <v>709</v>
      </c>
      <c r="B265" s="16" t="s">
        <v>11</v>
      </c>
      <c r="C265" s="16" t="s">
        <v>169</v>
      </c>
      <c r="D265" s="16">
        <v>1</v>
      </c>
    </row>
    <row r="266" spans="1:4" x14ac:dyDescent="0.25">
      <c r="A266" s="16" t="s">
        <v>709</v>
      </c>
      <c r="B266" s="16" t="s">
        <v>11</v>
      </c>
      <c r="C266" s="16" t="s">
        <v>167</v>
      </c>
      <c r="D266" s="16">
        <v>1</v>
      </c>
    </row>
    <row r="267" spans="1:4" x14ac:dyDescent="0.25">
      <c r="A267" s="16" t="s">
        <v>712</v>
      </c>
      <c r="B267" s="16" t="s">
        <v>11</v>
      </c>
      <c r="C267" s="16" t="s">
        <v>139</v>
      </c>
      <c r="D267" s="16">
        <v>2</v>
      </c>
    </row>
    <row r="268" spans="1:4" x14ac:dyDescent="0.25">
      <c r="A268" s="16" t="s">
        <v>712</v>
      </c>
      <c r="B268" s="16" t="s">
        <v>11</v>
      </c>
      <c r="C268" s="16" t="s">
        <v>182</v>
      </c>
      <c r="D268" s="16">
        <v>1</v>
      </c>
    </row>
    <row r="269" spans="1:4" x14ac:dyDescent="0.25">
      <c r="A269" s="16" t="s">
        <v>715</v>
      </c>
      <c r="B269" s="16" t="s">
        <v>11</v>
      </c>
      <c r="C269" s="16" t="s">
        <v>123</v>
      </c>
      <c r="D269" s="16">
        <v>2</v>
      </c>
    </row>
    <row r="270" spans="1:4" x14ac:dyDescent="0.25">
      <c r="A270" s="16" t="s">
        <v>718</v>
      </c>
      <c r="B270" s="16" t="s">
        <v>11</v>
      </c>
      <c r="C270" s="16" t="s">
        <v>114</v>
      </c>
      <c r="D270" s="16">
        <v>2</v>
      </c>
    </row>
    <row r="271" spans="1:4" x14ac:dyDescent="0.25">
      <c r="A271" s="16" t="s">
        <v>720</v>
      </c>
      <c r="B271" s="16" t="s">
        <v>11</v>
      </c>
      <c r="C271" s="16" t="s">
        <v>155</v>
      </c>
      <c r="D271" s="16">
        <v>2</v>
      </c>
    </row>
    <row r="272" spans="1:4" x14ac:dyDescent="0.25">
      <c r="A272" s="16" t="s">
        <v>723</v>
      </c>
      <c r="B272" s="16" t="s">
        <v>11</v>
      </c>
      <c r="C272" s="16" t="s">
        <v>93</v>
      </c>
      <c r="D272" s="16">
        <v>2</v>
      </c>
    </row>
    <row r="273" spans="1:4" x14ac:dyDescent="0.25">
      <c r="A273" s="16" t="s">
        <v>725</v>
      </c>
      <c r="B273" s="16" t="s">
        <v>11</v>
      </c>
      <c r="C273" s="16" t="s">
        <v>112</v>
      </c>
      <c r="D273" s="16">
        <v>2</v>
      </c>
    </row>
    <row r="274" spans="1:4" x14ac:dyDescent="0.25">
      <c r="A274" s="16" t="s">
        <v>725</v>
      </c>
      <c r="B274" s="16" t="s">
        <v>11</v>
      </c>
      <c r="C274" s="16" t="s">
        <v>130</v>
      </c>
      <c r="D274" s="16">
        <v>1</v>
      </c>
    </row>
    <row r="275" spans="1:4" x14ac:dyDescent="0.25">
      <c r="A275" s="16" t="s">
        <v>728</v>
      </c>
      <c r="B275" s="16" t="s">
        <v>11</v>
      </c>
      <c r="C275" s="16" t="s">
        <v>169</v>
      </c>
      <c r="D275" s="16">
        <v>2</v>
      </c>
    </row>
    <row r="276" spans="1:4" x14ac:dyDescent="0.25">
      <c r="A276" s="16" t="s">
        <v>728</v>
      </c>
      <c r="B276" s="16" t="s">
        <v>11</v>
      </c>
      <c r="C276" s="16" t="s">
        <v>165</v>
      </c>
      <c r="D276" s="16">
        <v>1</v>
      </c>
    </row>
    <row r="277" spans="1:4" x14ac:dyDescent="0.25">
      <c r="A277" s="16" t="s">
        <v>731</v>
      </c>
      <c r="B277" s="16" t="s">
        <v>11</v>
      </c>
      <c r="C277" s="16" t="s">
        <v>190</v>
      </c>
      <c r="D277" s="16">
        <v>1</v>
      </c>
    </row>
    <row r="278" spans="1:4" x14ac:dyDescent="0.25">
      <c r="A278" s="16" t="s">
        <v>731</v>
      </c>
      <c r="B278" s="16" t="s">
        <v>11</v>
      </c>
      <c r="C278" s="16" t="s">
        <v>130</v>
      </c>
      <c r="D278" s="16">
        <v>1</v>
      </c>
    </row>
    <row r="279" spans="1:4" x14ac:dyDescent="0.25">
      <c r="A279" s="16" t="s">
        <v>731</v>
      </c>
      <c r="B279" s="16" t="s">
        <v>11</v>
      </c>
      <c r="C279" s="16" t="s">
        <v>66</v>
      </c>
      <c r="D279" s="16">
        <v>1</v>
      </c>
    </row>
    <row r="280" spans="1:4" x14ac:dyDescent="0.25">
      <c r="A280" s="16" t="s">
        <v>734</v>
      </c>
      <c r="B280" s="16" t="s">
        <v>11</v>
      </c>
      <c r="C280" s="16" t="s">
        <v>129</v>
      </c>
      <c r="D280" s="16">
        <v>2</v>
      </c>
    </row>
    <row r="281" spans="1:4" x14ac:dyDescent="0.25">
      <c r="A281" s="16" t="s">
        <v>737</v>
      </c>
      <c r="B281" s="16" t="s">
        <v>11</v>
      </c>
      <c r="C281" s="16" t="s">
        <v>78</v>
      </c>
      <c r="D281" s="16">
        <v>2</v>
      </c>
    </row>
    <row r="282" spans="1:4" x14ac:dyDescent="0.25">
      <c r="A282" s="16" t="s">
        <v>740</v>
      </c>
      <c r="B282" s="16" t="s">
        <v>11</v>
      </c>
      <c r="C282" s="16" t="s">
        <v>112</v>
      </c>
      <c r="D282" s="16">
        <v>1</v>
      </c>
    </row>
    <row r="283" spans="1:4" x14ac:dyDescent="0.25">
      <c r="A283" s="16" t="s">
        <v>740</v>
      </c>
      <c r="B283" s="16" t="s">
        <v>11</v>
      </c>
      <c r="C283" s="16" t="s">
        <v>158</v>
      </c>
      <c r="D283" s="16">
        <v>1</v>
      </c>
    </row>
    <row r="284" spans="1:4" x14ac:dyDescent="0.25">
      <c r="A284" s="16" t="s">
        <v>743</v>
      </c>
      <c r="B284" s="16" t="s">
        <v>11</v>
      </c>
      <c r="C284" s="16" t="s">
        <v>144</v>
      </c>
      <c r="D284" s="16">
        <v>1</v>
      </c>
    </row>
    <row r="285" spans="1:4" x14ac:dyDescent="0.25">
      <c r="A285" s="16" t="s">
        <v>743</v>
      </c>
      <c r="B285" s="16" t="s">
        <v>11</v>
      </c>
      <c r="C285" s="16" t="s">
        <v>121</v>
      </c>
      <c r="D285" s="16">
        <v>2</v>
      </c>
    </row>
    <row r="286" spans="1:4" x14ac:dyDescent="0.25">
      <c r="A286" s="16" t="s">
        <v>746</v>
      </c>
      <c r="B286" s="16" t="s">
        <v>11</v>
      </c>
      <c r="C286" s="16" t="s">
        <v>130</v>
      </c>
      <c r="D286" s="16">
        <v>1</v>
      </c>
    </row>
    <row r="287" spans="1:4" x14ac:dyDescent="0.25">
      <c r="A287" s="16" t="s">
        <v>746</v>
      </c>
      <c r="B287" s="16" t="s">
        <v>11</v>
      </c>
      <c r="C287" s="16" t="s">
        <v>174</v>
      </c>
      <c r="D287" s="16">
        <v>2</v>
      </c>
    </row>
    <row r="288" spans="1:4" x14ac:dyDescent="0.25">
      <c r="A288" s="16" t="s">
        <v>749</v>
      </c>
      <c r="B288" s="16" t="s">
        <v>11</v>
      </c>
      <c r="C288" s="16" t="s">
        <v>188</v>
      </c>
      <c r="D288" s="16">
        <v>2</v>
      </c>
    </row>
    <row r="289" spans="1:4" x14ac:dyDescent="0.25">
      <c r="A289" s="16" t="s">
        <v>752</v>
      </c>
      <c r="B289" s="16" t="s">
        <v>11</v>
      </c>
      <c r="C289" s="16" t="s">
        <v>102</v>
      </c>
      <c r="D289" s="16">
        <v>1</v>
      </c>
    </row>
    <row r="290" spans="1:4" x14ac:dyDescent="0.25">
      <c r="A290" s="16" t="s">
        <v>752</v>
      </c>
      <c r="B290" s="16" t="s">
        <v>11</v>
      </c>
      <c r="C290" s="16" t="s">
        <v>170</v>
      </c>
      <c r="D290" s="16">
        <v>1</v>
      </c>
    </row>
    <row r="291" spans="1:4" x14ac:dyDescent="0.25">
      <c r="A291" s="16" t="s">
        <v>755</v>
      </c>
      <c r="B291" s="16" t="s">
        <v>11</v>
      </c>
      <c r="C291" s="16" t="s">
        <v>192</v>
      </c>
      <c r="D291" s="16">
        <v>2</v>
      </c>
    </row>
    <row r="292" spans="1:4" x14ac:dyDescent="0.25">
      <c r="A292" s="16" t="s">
        <v>757</v>
      </c>
      <c r="B292" s="16" t="s">
        <v>11</v>
      </c>
      <c r="C292" s="16" t="s">
        <v>107</v>
      </c>
      <c r="D292" s="16">
        <v>2</v>
      </c>
    </row>
    <row r="293" spans="1:4" x14ac:dyDescent="0.25">
      <c r="A293" s="16" t="s">
        <v>760</v>
      </c>
      <c r="B293" s="16" t="s">
        <v>11</v>
      </c>
      <c r="C293" s="16" t="s">
        <v>148</v>
      </c>
      <c r="D293" s="16">
        <v>2</v>
      </c>
    </row>
    <row r="294" spans="1:4" x14ac:dyDescent="0.25">
      <c r="A294" s="16" t="s">
        <v>763</v>
      </c>
      <c r="B294" s="16" t="s">
        <v>11</v>
      </c>
      <c r="C294" s="16" t="s">
        <v>154</v>
      </c>
      <c r="D294" s="16">
        <v>2</v>
      </c>
    </row>
    <row r="295" spans="1:4" x14ac:dyDescent="0.25">
      <c r="A295" s="16" t="s">
        <v>766</v>
      </c>
      <c r="B295" s="16" t="s">
        <v>11</v>
      </c>
      <c r="C295" s="16" t="s">
        <v>99</v>
      </c>
      <c r="D295" s="16">
        <v>1</v>
      </c>
    </row>
    <row r="296" spans="1:4" x14ac:dyDescent="0.25">
      <c r="A296" s="16" t="s">
        <v>766</v>
      </c>
      <c r="B296" s="16" t="s">
        <v>11</v>
      </c>
      <c r="C296" s="16" t="s">
        <v>64</v>
      </c>
      <c r="D296" s="16">
        <v>1</v>
      </c>
    </row>
    <row r="297" spans="1:4" x14ac:dyDescent="0.25">
      <c r="A297" s="16" t="s">
        <v>769</v>
      </c>
      <c r="B297" s="16" t="s">
        <v>11</v>
      </c>
      <c r="C297" s="16" t="s">
        <v>190</v>
      </c>
      <c r="D297" s="16">
        <v>1</v>
      </c>
    </row>
    <row r="298" spans="1:4" x14ac:dyDescent="0.25">
      <c r="A298" s="16" t="s">
        <v>769</v>
      </c>
      <c r="B298" s="16" t="s">
        <v>11</v>
      </c>
      <c r="C298" s="16" t="s">
        <v>111</v>
      </c>
      <c r="D298" s="16">
        <v>2</v>
      </c>
    </row>
    <row r="299" spans="1:4" x14ac:dyDescent="0.25">
      <c r="A299" s="16" t="s">
        <v>772</v>
      </c>
      <c r="B299" s="16" t="s">
        <v>11</v>
      </c>
      <c r="C299" s="16" t="s">
        <v>190</v>
      </c>
      <c r="D299" s="16">
        <v>2</v>
      </c>
    </row>
    <row r="300" spans="1:4" x14ac:dyDescent="0.25">
      <c r="A300" s="16" t="s">
        <v>774</v>
      </c>
      <c r="B300" s="16" t="s">
        <v>11</v>
      </c>
      <c r="C300" s="16" t="s">
        <v>104</v>
      </c>
      <c r="D300" s="16">
        <v>2</v>
      </c>
    </row>
    <row r="301" spans="1:4" x14ac:dyDescent="0.25">
      <c r="A301" s="16" t="s">
        <v>774</v>
      </c>
      <c r="B301" s="16" t="s">
        <v>11</v>
      </c>
      <c r="C301" s="16" t="s">
        <v>69</v>
      </c>
      <c r="D301" s="16">
        <v>1</v>
      </c>
    </row>
    <row r="302" spans="1:4" x14ac:dyDescent="0.25">
      <c r="A302" s="16" t="s">
        <v>777</v>
      </c>
      <c r="B302" s="16" t="s">
        <v>11</v>
      </c>
      <c r="C302" s="16" t="s">
        <v>114</v>
      </c>
      <c r="D302" s="16">
        <v>1</v>
      </c>
    </row>
    <row r="303" spans="1:4" x14ac:dyDescent="0.25">
      <c r="A303" s="16" t="s">
        <v>777</v>
      </c>
      <c r="B303" s="16" t="s">
        <v>11</v>
      </c>
      <c r="C303" s="16" t="s">
        <v>71</v>
      </c>
      <c r="D303" s="16">
        <v>2</v>
      </c>
    </row>
    <row r="304" spans="1:4" x14ac:dyDescent="0.25">
      <c r="A304" s="16" t="s">
        <v>777</v>
      </c>
      <c r="B304" s="16" t="s">
        <v>11</v>
      </c>
      <c r="C304" s="16" t="s">
        <v>178</v>
      </c>
      <c r="D304" s="16">
        <v>1</v>
      </c>
    </row>
    <row r="305" spans="1:4" x14ac:dyDescent="0.25">
      <c r="A305" s="16" t="s">
        <v>780</v>
      </c>
      <c r="B305" s="16" t="s">
        <v>11</v>
      </c>
      <c r="C305" s="16" t="s">
        <v>113</v>
      </c>
      <c r="D305" s="16">
        <v>1</v>
      </c>
    </row>
    <row r="306" spans="1:4" x14ac:dyDescent="0.25">
      <c r="A306" s="16" t="s">
        <v>780</v>
      </c>
      <c r="B306" s="16" t="s">
        <v>11</v>
      </c>
      <c r="C306" s="16" t="s">
        <v>173</v>
      </c>
      <c r="D306" s="16">
        <v>2</v>
      </c>
    </row>
    <row r="307" spans="1:4" x14ac:dyDescent="0.25">
      <c r="A307" s="16" t="s">
        <v>783</v>
      </c>
      <c r="B307" s="16" t="s">
        <v>11</v>
      </c>
      <c r="C307" s="16" t="s">
        <v>192</v>
      </c>
      <c r="D307" s="16">
        <v>1</v>
      </c>
    </row>
    <row r="308" spans="1:4" x14ac:dyDescent="0.25">
      <c r="A308" s="16" t="s">
        <v>783</v>
      </c>
      <c r="B308" s="16" t="s">
        <v>11</v>
      </c>
      <c r="C308" s="16" t="s">
        <v>90</v>
      </c>
      <c r="D308" s="16">
        <v>1</v>
      </c>
    </row>
    <row r="309" spans="1:4" x14ac:dyDescent="0.25">
      <c r="A309" s="16" t="s">
        <v>783</v>
      </c>
      <c r="B309" s="16" t="s">
        <v>11</v>
      </c>
      <c r="C309" s="16" t="s">
        <v>125</v>
      </c>
      <c r="D309" s="16">
        <v>1</v>
      </c>
    </row>
    <row r="310" spans="1:4" x14ac:dyDescent="0.25">
      <c r="A310" s="16" t="s">
        <v>786</v>
      </c>
      <c r="B310" s="16" t="s">
        <v>11</v>
      </c>
      <c r="C310" s="16" t="s">
        <v>92</v>
      </c>
      <c r="D310" s="16">
        <v>1</v>
      </c>
    </row>
    <row r="311" spans="1:4" x14ac:dyDescent="0.25">
      <c r="A311" s="16" t="s">
        <v>786</v>
      </c>
      <c r="B311" s="16" t="s">
        <v>11</v>
      </c>
      <c r="C311" s="16" t="s">
        <v>127</v>
      </c>
      <c r="D311" s="16">
        <v>1</v>
      </c>
    </row>
    <row r="312" spans="1:4" x14ac:dyDescent="0.25">
      <c r="A312" s="16" t="s">
        <v>789</v>
      </c>
      <c r="B312" s="16" t="s">
        <v>11</v>
      </c>
      <c r="C312" s="16" t="s">
        <v>104</v>
      </c>
      <c r="D312" s="16">
        <v>1</v>
      </c>
    </row>
    <row r="313" spans="1:4" x14ac:dyDescent="0.25">
      <c r="A313" s="16" t="s">
        <v>789</v>
      </c>
      <c r="B313" s="16" t="s">
        <v>11</v>
      </c>
      <c r="C313" s="16" t="s">
        <v>112</v>
      </c>
      <c r="D313" s="16">
        <v>2</v>
      </c>
    </row>
    <row r="314" spans="1:4" x14ac:dyDescent="0.25">
      <c r="A314" s="16" t="s">
        <v>789</v>
      </c>
      <c r="B314" s="16" t="s">
        <v>11</v>
      </c>
      <c r="C314" s="16" t="s">
        <v>126</v>
      </c>
      <c r="D314" s="16">
        <v>1</v>
      </c>
    </row>
    <row r="315" spans="1:4" x14ac:dyDescent="0.25">
      <c r="A315" s="16" t="s">
        <v>792</v>
      </c>
      <c r="B315" s="16" t="s">
        <v>11</v>
      </c>
      <c r="C315" s="16" t="s">
        <v>158</v>
      </c>
      <c r="D315" s="16">
        <v>1</v>
      </c>
    </row>
    <row r="316" spans="1:4" x14ac:dyDescent="0.25">
      <c r="A316" s="16" t="s">
        <v>792</v>
      </c>
      <c r="B316" s="16" t="s">
        <v>11</v>
      </c>
      <c r="C316" s="16" t="s">
        <v>163</v>
      </c>
      <c r="D316" s="16">
        <v>1</v>
      </c>
    </row>
    <row r="317" spans="1:4" x14ac:dyDescent="0.25">
      <c r="A317" s="16" t="s">
        <v>795</v>
      </c>
      <c r="B317" s="16" t="s">
        <v>11</v>
      </c>
      <c r="C317" s="16" t="s">
        <v>97</v>
      </c>
      <c r="D317" s="16">
        <v>1</v>
      </c>
    </row>
    <row r="318" spans="1:4" x14ac:dyDescent="0.25">
      <c r="A318" s="16" t="s">
        <v>795</v>
      </c>
      <c r="B318" s="16" t="s">
        <v>11</v>
      </c>
      <c r="C318" s="16" t="s">
        <v>180</v>
      </c>
      <c r="D318" s="16">
        <v>1</v>
      </c>
    </row>
    <row r="319" spans="1:4" x14ac:dyDescent="0.25">
      <c r="A319" s="16" t="s">
        <v>798</v>
      </c>
      <c r="B319" s="16" t="s">
        <v>11</v>
      </c>
      <c r="C319" s="16" t="s">
        <v>157</v>
      </c>
      <c r="D319" s="16">
        <v>2</v>
      </c>
    </row>
    <row r="320" spans="1:4" x14ac:dyDescent="0.25">
      <c r="A320" s="16" t="s">
        <v>801</v>
      </c>
      <c r="B320" s="16" t="s">
        <v>11</v>
      </c>
      <c r="C320" s="16" t="s">
        <v>166</v>
      </c>
      <c r="D320" s="16">
        <v>2</v>
      </c>
    </row>
    <row r="321" spans="1:4" x14ac:dyDescent="0.25">
      <c r="A321" s="16" t="s">
        <v>804</v>
      </c>
      <c r="B321" s="16" t="s">
        <v>11</v>
      </c>
      <c r="C321" s="16" t="s">
        <v>89</v>
      </c>
      <c r="D321" s="16">
        <v>2</v>
      </c>
    </row>
    <row r="322" spans="1:4" x14ac:dyDescent="0.25">
      <c r="A322" s="16" t="s">
        <v>804</v>
      </c>
      <c r="B322" s="16" t="s">
        <v>11</v>
      </c>
      <c r="C322" s="16" t="s">
        <v>99</v>
      </c>
      <c r="D322" s="16">
        <v>1</v>
      </c>
    </row>
    <row r="323" spans="1:4" x14ac:dyDescent="0.25">
      <c r="A323" s="16" t="s">
        <v>807</v>
      </c>
      <c r="B323" s="16" t="s">
        <v>11</v>
      </c>
      <c r="C323" s="16" t="s">
        <v>81</v>
      </c>
      <c r="D323" s="16">
        <v>2</v>
      </c>
    </row>
    <row r="324" spans="1:4" x14ac:dyDescent="0.25">
      <c r="A324" s="16" t="s">
        <v>810</v>
      </c>
      <c r="B324" s="16" t="s">
        <v>11</v>
      </c>
      <c r="C324" s="16" t="s">
        <v>159</v>
      </c>
      <c r="D324" s="16">
        <v>1</v>
      </c>
    </row>
    <row r="325" spans="1:4" x14ac:dyDescent="0.25">
      <c r="A325" s="16" t="s">
        <v>810</v>
      </c>
      <c r="B325" s="16" t="s">
        <v>11</v>
      </c>
      <c r="C325" s="16" t="s">
        <v>131</v>
      </c>
      <c r="D325" s="16">
        <v>1</v>
      </c>
    </row>
    <row r="326" spans="1:4" x14ac:dyDescent="0.25">
      <c r="A326" s="16" t="s">
        <v>810</v>
      </c>
      <c r="B326" s="16" t="s">
        <v>11</v>
      </c>
      <c r="C326" s="16" t="s">
        <v>80</v>
      </c>
      <c r="D326" s="16">
        <v>1</v>
      </c>
    </row>
    <row r="327" spans="1:4" x14ac:dyDescent="0.25">
      <c r="A327" s="16" t="s">
        <v>813</v>
      </c>
      <c r="B327" s="16" t="s">
        <v>11</v>
      </c>
      <c r="C327" s="16" t="s">
        <v>183</v>
      </c>
      <c r="D327" s="16">
        <v>2</v>
      </c>
    </row>
    <row r="328" spans="1:4" x14ac:dyDescent="0.25">
      <c r="A328" s="16" t="s">
        <v>813</v>
      </c>
      <c r="B328" s="16" t="s">
        <v>11</v>
      </c>
      <c r="C328" s="16" t="s">
        <v>85</v>
      </c>
      <c r="D328" s="16">
        <v>1</v>
      </c>
    </row>
    <row r="329" spans="1:4" x14ac:dyDescent="0.25">
      <c r="A329" s="16" t="s">
        <v>816</v>
      </c>
      <c r="B329" s="16" t="s">
        <v>11</v>
      </c>
      <c r="C329" s="16" t="s">
        <v>82</v>
      </c>
      <c r="D329" s="16">
        <v>1</v>
      </c>
    </row>
    <row r="330" spans="1:4" x14ac:dyDescent="0.25">
      <c r="A330" s="16" t="s">
        <v>816</v>
      </c>
      <c r="B330" s="16" t="s">
        <v>11</v>
      </c>
      <c r="C330" s="16" t="s">
        <v>159</v>
      </c>
      <c r="D330" s="16">
        <v>1</v>
      </c>
    </row>
    <row r="331" spans="1:4" x14ac:dyDescent="0.25">
      <c r="A331" s="16" t="s">
        <v>819</v>
      </c>
      <c r="B331" s="16" t="s">
        <v>11</v>
      </c>
      <c r="C331" s="16" t="s">
        <v>83</v>
      </c>
      <c r="D331" s="16">
        <v>3</v>
      </c>
    </row>
    <row r="332" spans="1:4" x14ac:dyDescent="0.25">
      <c r="A332" s="16" t="s">
        <v>822</v>
      </c>
      <c r="B332" s="16" t="s">
        <v>11</v>
      </c>
      <c r="C332" s="16" t="s">
        <v>139</v>
      </c>
      <c r="D332" s="16">
        <v>1</v>
      </c>
    </row>
    <row r="333" spans="1:4" x14ac:dyDescent="0.25">
      <c r="A333" s="16" t="s">
        <v>822</v>
      </c>
      <c r="B333" s="16" t="s">
        <v>11</v>
      </c>
      <c r="C333" s="16" t="s">
        <v>114</v>
      </c>
      <c r="D333" s="16">
        <v>1</v>
      </c>
    </row>
    <row r="334" spans="1:4" x14ac:dyDescent="0.25">
      <c r="A334" s="16" t="s">
        <v>822</v>
      </c>
      <c r="B334" s="16" t="s">
        <v>11</v>
      </c>
      <c r="C334" s="16" t="s">
        <v>136</v>
      </c>
      <c r="D334" s="16">
        <v>1</v>
      </c>
    </row>
    <row r="335" spans="1:4" x14ac:dyDescent="0.25">
      <c r="A335" s="16" t="s">
        <v>825</v>
      </c>
      <c r="B335" s="16" t="s">
        <v>11</v>
      </c>
      <c r="C335" s="16" t="s">
        <v>79</v>
      </c>
      <c r="D335" s="16">
        <v>2</v>
      </c>
    </row>
    <row r="336" spans="1:4" x14ac:dyDescent="0.25">
      <c r="A336" s="16" t="s">
        <v>825</v>
      </c>
      <c r="B336" s="16" t="s">
        <v>11</v>
      </c>
      <c r="C336" s="16" t="s">
        <v>152</v>
      </c>
      <c r="D336" s="16">
        <v>1</v>
      </c>
    </row>
    <row r="337" spans="1:4" x14ac:dyDescent="0.25">
      <c r="A337" s="16" t="s">
        <v>828</v>
      </c>
      <c r="B337" s="16" t="s">
        <v>11</v>
      </c>
      <c r="C337" s="16" t="s">
        <v>161</v>
      </c>
      <c r="D337" s="16">
        <v>1</v>
      </c>
    </row>
    <row r="338" spans="1:4" x14ac:dyDescent="0.25">
      <c r="A338" s="16" t="s">
        <v>828</v>
      </c>
      <c r="B338" s="16" t="s">
        <v>11</v>
      </c>
      <c r="C338" s="16" t="s">
        <v>165</v>
      </c>
      <c r="D338" s="16">
        <v>1</v>
      </c>
    </row>
    <row r="339" spans="1:4" x14ac:dyDescent="0.25">
      <c r="A339" s="16" t="s">
        <v>831</v>
      </c>
      <c r="B339" s="16" t="s">
        <v>11</v>
      </c>
      <c r="C339" s="16" t="s">
        <v>149</v>
      </c>
      <c r="D339" s="16">
        <v>1</v>
      </c>
    </row>
    <row r="340" spans="1:4" x14ac:dyDescent="0.25">
      <c r="A340" s="16" t="s">
        <v>831</v>
      </c>
      <c r="B340" s="16" t="s">
        <v>11</v>
      </c>
      <c r="C340" s="16" t="s">
        <v>147</v>
      </c>
      <c r="D340" s="16">
        <v>2</v>
      </c>
    </row>
    <row r="341" spans="1:4" x14ac:dyDescent="0.25">
      <c r="A341" s="16" t="s">
        <v>834</v>
      </c>
      <c r="B341" s="16" t="s">
        <v>11</v>
      </c>
      <c r="C341" s="16" t="s">
        <v>155</v>
      </c>
      <c r="D341" s="16">
        <v>1</v>
      </c>
    </row>
    <row r="342" spans="1:4" x14ac:dyDescent="0.25">
      <c r="A342" s="16" t="s">
        <v>834</v>
      </c>
      <c r="B342" s="16" t="s">
        <v>11</v>
      </c>
      <c r="C342" s="16" t="s">
        <v>171</v>
      </c>
      <c r="D342" s="16">
        <v>1</v>
      </c>
    </row>
    <row r="343" spans="1:4" x14ac:dyDescent="0.25">
      <c r="A343" s="16" t="s">
        <v>837</v>
      </c>
      <c r="B343" s="16" t="s">
        <v>11</v>
      </c>
      <c r="C343" s="16" t="s">
        <v>92</v>
      </c>
      <c r="D343" s="16">
        <v>1</v>
      </c>
    </row>
    <row r="344" spans="1:4" x14ac:dyDescent="0.25">
      <c r="A344" s="16" t="s">
        <v>837</v>
      </c>
      <c r="B344" s="16" t="s">
        <v>11</v>
      </c>
      <c r="C344" s="16" t="s">
        <v>193</v>
      </c>
      <c r="D344" s="16">
        <v>2</v>
      </c>
    </row>
    <row r="345" spans="1:4" x14ac:dyDescent="0.25">
      <c r="A345" s="16" t="s">
        <v>840</v>
      </c>
      <c r="B345" s="16" t="s">
        <v>11</v>
      </c>
      <c r="C345" s="16" t="s">
        <v>90</v>
      </c>
      <c r="D345" s="16">
        <v>2</v>
      </c>
    </row>
    <row r="346" spans="1:4" x14ac:dyDescent="0.25">
      <c r="A346" s="16" t="s">
        <v>843</v>
      </c>
      <c r="B346" s="16" t="s">
        <v>11</v>
      </c>
      <c r="C346" s="16" t="s">
        <v>72</v>
      </c>
      <c r="D346" s="16">
        <v>2</v>
      </c>
    </row>
    <row r="347" spans="1:4" x14ac:dyDescent="0.25">
      <c r="A347" s="16" t="s">
        <v>843</v>
      </c>
      <c r="B347" s="16" t="s">
        <v>11</v>
      </c>
      <c r="C347" s="16" t="s">
        <v>110</v>
      </c>
      <c r="D347" s="16">
        <v>1</v>
      </c>
    </row>
    <row r="348" spans="1:4" x14ac:dyDescent="0.25">
      <c r="A348" s="16" t="s">
        <v>846</v>
      </c>
      <c r="B348" s="16" t="s">
        <v>11</v>
      </c>
      <c r="C348" s="16" t="s">
        <v>84</v>
      </c>
      <c r="D348" s="16">
        <v>2</v>
      </c>
    </row>
    <row r="349" spans="1:4" x14ac:dyDescent="0.25">
      <c r="A349" s="16" t="s">
        <v>846</v>
      </c>
      <c r="B349" s="16" t="s">
        <v>11</v>
      </c>
      <c r="C349" s="16" t="s">
        <v>130</v>
      </c>
      <c r="D349" s="16">
        <v>1</v>
      </c>
    </row>
    <row r="350" spans="1:4" x14ac:dyDescent="0.25">
      <c r="A350" s="16" t="s">
        <v>849</v>
      </c>
      <c r="B350" s="16" t="s">
        <v>11</v>
      </c>
      <c r="C350" s="16" t="s">
        <v>72</v>
      </c>
      <c r="D350" s="16">
        <v>2</v>
      </c>
    </row>
    <row r="351" spans="1:4" x14ac:dyDescent="0.25">
      <c r="A351" s="16" t="s">
        <v>849</v>
      </c>
      <c r="B351" s="16" t="s">
        <v>11</v>
      </c>
      <c r="C351" s="16" t="s">
        <v>73</v>
      </c>
      <c r="D351" s="16">
        <v>1</v>
      </c>
    </row>
    <row r="352" spans="1:4" x14ac:dyDescent="0.25">
      <c r="A352" s="16" t="s">
        <v>852</v>
      </c>
      <c r="B352" s="16" t="s">
        <v>11</v>
      </c>
      <c r="C352" s="16" t="s">
        <v>155</v>
      </c>
      <c r="D352" s="16">
        <v>1</v>
      </c>
    </row>
    <row r="353" spans="1:4" x14ac:dyDescent="0.25">
      <c r="A353" s="16" t="s">
        <v>852</v>
      </c>
      <c r="B353" s="16" t="s">
        <v>11</v>
      </c>
      <c r="C353" s="16" t="s">
        <v>157</v>
      </c>
      <c r="D353" s="16">
        <v>1</v>
      </c>
    </row>
    <row r="354" spans="1:4" x14ac:dyDescent="0.25">
      <c r="A354" s="16" t="s">
        <v>852</v>
      </c>
      <c r="B354" s="16" t="s">
        <v>11</v>
      </c>
      <c r="C354" s="16" t="s">
        <v>59</v>
      </c>
      <c r="D354" s="16">
        <v>1</v>
      </c>
    </row>
    <row r="355" spans="1:4" x14ac:dyDescent="0.25">
      <c r="A355" s="16" t="s">
        <v>855</v>
      </c>
      <c r="B355" s="16" t="s">
        <v>11</v>
      </c>
      <c r="C355" s="16" t="s">
        <v>130</v>
      </c>
      <c r="D355" s="16">
        <v>1</v>
      </c>
    </row>
    <row r="356" spans="1:4" x14ac:dyDescent="0.25">
      <c r="A356" s="16" t="s">
        <v>855</v>
      </c>
      <c r="B356" s="16" t="s">
        <v>11</v>
      </c>
      <c r="C356" s="16" t="s">
        <v>132</v>
      </c>
      <c r="D356" s="16">
        <v>1</v>
      </c>
    </row>
    <row r="357" spans="1:4" x14ac:dyDescent="0.25">
      <c r="A357" s="16" t="s">
        <v>855</v>
      </c>
      <c r="B357" s="16" t="s">
        <v>11</v>
      </c>
      <c r="C357" s="16" t="s">
        <v>184</v>
      </c>
      <c r="D357" s="16">
        <v>1</v>
      </c>
    </row>
    <row r="358" spans="1:4" x14ac:dyDescent="0.25">
      <c r="A358" s="16" t="s">
        <v>858</v>
      </c>
      <c r="B358" s="16" t="s">
        <v>11</v>
      </c>
      <c r="C358" s="16" t="s">
        <v>128</v>
      </c>
      <c r="D358" s="16">
        <v>2</v>
      </c>
    </row>
    <row r="359" spans="1:4" x14ac:dyDescent="0.25">
      <c r="A359" s="16" t="s">
        <v>860</v>
      </c>
      <c r="B359" s="16" t="s">
        <v>11</v>
      </c>
      <c r="C359" s="16" t="s">
        <v>75</v>
      </c>
      <c r="D359" s="16">
        <v>2</v>
      </c>
    </row>
    <row r="360" spans="1:4" x14ac:dyDescent="0.25">
      <c r="A360" s="16" t="s">
        <v>863</v>
      </c>
      <c r="B360" s="16" t="s">
        <v>11</v>
      </c>
      <c r="C360" s="16" t="s">
        <v>105</v>
      </c>
      <c r="D360" s="16">
        <v>2</v>
      </c>
    </row>
    <row r="361" spans="1:4" x14ac:dyDescent="0.25">
      <c r="A361" s="16" t="s">
        <v>866</v>
      </c>
      <c r="B361" s="16" t="s">
        <v>11</v>
      </c>
      <c r="C361" s="16" t="s">
        <v>130</v>
      </c>
      <c r="D361" s="16">
        <v>1</v>
      </c>
    </row>
    <row r="362" spans="1:4" x14ac:dyDescent="0.25">
      <c r="A362" s="16" t="s">
        <v>866</v>
      </c>
      <c r="B362" s="16" t="s">
        <v>11</v>
      </c>
      <c r="C362" s="16" t="s">
        <v>100</v>
      </c>
      <c r="D362" s="16">
        <v>1</v>
      </c>
    </row>
    <row r="363" spans="1:4" x14ac:dyDescent="0.25">
      <c r="A363" s="16" t="s">
        <v>866</v>
      </c>
      <c r="B363" s="16" t="s">
        <v>11</v>
      </c>
      <c r="C363" s="16" t="s">
        <v>62</v>
      </c>
      <c r="D363" s="16">
        <v>1</v>
      </c>
    </row>
    <row r="364" spans="1:4" x14ac:dyDescent="0.25">
      <c r="A364" s="16" t="s">
        <v>869</v>
      </c>
      <c r="B364" s="16" t="s">
        <v>11</v>
      </c>
      <c r="C364" s="16" t="s">
        <v>92</v>
      </c>
      <c r="D364" s="16">
        <v>1</v>
      </c>
    </row>
    <row r="365" spans="1:4" x14ac:dyDescent="0.25">
      <c r="A365" s="16" t="s">
        <v>869</v>
      </c>
      <c r="B365" s="16" t="s">
        <v>11</v>
      </c>
      <c r="C365" s="16" t="s">
        <v>192</v>
      </c>
      <c r="D365" s="16">
        <v>1</v>
      </c>
    </row>
    <row r="366" spans="1:4" x14ac:dyDescent="0.25">
      <c r="A366" s="16" t="s">
        <v>869</v>
      </c>
      <c r="B366" s="16" t="s">
        <v>11</v>
      </c>
      <c r="C366" s="16" t="s">
        <v>135</v>
      </c>
      <c r="D366" s="16">
        <v>1</v>
      </c>
    </row>
    <row r="367" spans="1:4" x14ac:dyDescent="0.25">
      <c r="A367" s="16" t="s">
        <v>872</v>
      </c>
      <c r="B367" s="16" t="s">
        <v>11</v>
      </c>
      <c r="C367" s="16" t="s">
        <v>102</v>
      </c>
      <c r="D367" s="16">
        <v>2</v>
      </c>
    </row>
    <row r="368" spans="1:4" x14ac:dyDescent="0.25">
      <c r="A368" s="16" t="s">
        <v>875</v>
      </c>
      <c r="B368" s="16" t="s">
        <v>11</v>
      </c>
      <c r="C368" s="16" t="s">
        <v>175</v>
      </c>
      <c r="D368" s="16">
        <v>2</v>
      </c>
    </row>
    <row r="369" spans="1:4" x14ac:dyDescent="0.25">
      <c r="A369" s="16" t="s">
        <v>878</v>
      </c>
      <c r="B369" s="16" t="s">
        <v>11</v>
      </c>
      <c r="C369" s="16" t="s">
        <v>145</v>
      </c>
      <c r="D369" s="16">
        <v>2</v>
      </c>
    </row>
    <row r="370" spans="1:4" x14ac:dyDescent="0.25">
      <c r="A370" s="16" t="s">
        <v>878</v>
      </c>
      <c r="B370" s="16" t="s">
        <v>11</v>
      </c>
      <c r="C370" s="16" t="s">
        <v>100</v>
      </c>
      <c r="D370" s="16">
        <v>1</v>
      </c>
    </row>
    <row r="371" spans="1:4" x14ac:dyDescent="0.25">
      <c r="A371" s="16" t="s">
        <v>881</v>
      </c>
      <c r="B371" s="16" t="s">
        <v>11</v>
      </c>
      <c r="C371" s="16" t="s">
        <v>140</v>
      </c>
      <c r="D371" s="16">
        <v>1</v>
      </c>
    </row>
    <row r="372" spans="1:4" x14ac:dyDescent="0.25">
      <c r="A372" s="16" t="s">
        <v>881</v>
      </c>
      <c r="B372" s="16" t="s">
        <v>11</v>
      </c>
      <c r="C372" s="16" t="s">
        <v>141</v>
      </c>
      <c r="D372" s="16">
        <v>1</v>
      </c>
    </row>
    <row r="373" spans="1:4" x14ac:dyDescent="0.25">
      <c r="A373" s="16" t="s">
        <v>881</v>
      </c>
      <c r="B373" s="16" t="s">
        <v>11</v>
      </c>
      <c r="C373" s="16" t="s">
        <v>61</v>
      </c>
      <c r="D373" s="16">
        <v>1</v>
      </c>
    </row>
    <row r="374" spans="1:4" x14ac:dyDescent="0.25">
      <c r="A374" s="16" t="s">
        <v>884</v>
      </c>
      <c r="B374" s="16" t="s">
        <v>11</v>
      </c>
      <c r="C374" s="16" t="s">
        <v>134</v>
      </c>
      <c r="D374" s="16">
        <v>2</v>
      </c>
    </row>
    <row r="375" spans="1:4" x14ac:dyDescent="0.25">
      <c r="A375" s="16" t="s">
        <v>887</v>
      </c>
      <c r="B375" s="16" t="s">
        <v>11</v>
      </c>
      <c r="C375" s="16" t="s">
        <v>92</v>
      </c>
      <c r="D375" s="16">
        <v>2</v>
      </c>
    </row>
    <row r="376" spans="1:4" x14ac:dyDescent="0.25">
      <c r="A376" s="16" t="s">
        <v>890</v>
      </c>
      <c r="B376" s="16" t="s">
        <v>11</v>
      </c>
      <c r="C376" s="16" t="s">
        <v>179</v>
      </c>
      <c r="D376" s="16">
        <v>2</v>
      </c>
    </row>
    <row r="377" spans="1:4" x14ac:dyDescent="0.25">
      <c r="A377" s="16" t="s">
        <v>892</v>
      </c>
      <c r="B377" s="16" t="s">
        <v>12</v>
      </c>
      <c r="C377" s="16" t="s">
        <v>92</v>
      </c>
      <c r="D377" s="16">
        <v>1</v>
      </c>
    </row>
    <row r="378" spans="1:4" x14ac:dyDescent="0.25">
      <c r="A378" s="16" t="s">
        <v>892</v>
      </c>
      <c r="B378" s="16" t="s">
        <v>12</v>
      </c>
      <c r="C378" s="16" t="s">
        <v>145</v>
      </c>
      <c r="D378" s="16">
        <v>1</v>
      </c>
    </row>
    <row r="379" spans="1:4" x14ac:dyDescent="0.25">
      <c r="A379" s="16" t="s">
        <v>895</v>
      </c>
      <c r="B379" s="16" t="s">
        <v>12</v>
      </c>
      <c r="C379" s="16" t="s">
        <v>97</v>
      </c>
      <c r="D379" s="16">
        <v>3</v>
      </c>
    </row>
    <row r="380" spans="1:4" x14ac:dyDescent="0.25">
      <c r="A380" s="16" t="s">
        <v>898</v>
      </c>
      <c r="B380" s="16" t="s">
        <v>12</v>
      </c>
      <c r="C380" s="16" t="s">
        <v>157</v>
      </c>
      <c r="D380" s="16">
        <v>1</v>
      </c>
    </row>
    <row r="381" spans="1:4" x14ac:dyDescent="0.25">
      <c r="A381" s="16" t="s">
        <v>898</v>
      </c>
      <c r="B381" s="16" t="s">
        <v>12</v>
      </c>
      <c r="C381" s="16" t="s">
        <v>171</v>
      </c>
      <c r="D381" s="16">
        <v>1</v>
      </c>
    </row>
    <row r="382" spans="1:4" x14ac:dyDescent="0.25">
      <c r="A382" s="16" t="s">
        <v>898</v>
      </c>
      <c r="B382" s="16" t="s">
        <v>12</v>
      </c>
      <c r="C382" s="16" t="s">
        <v>66</v>
      </c>
      <c r="D382" s="16">
        <v>1</v>
      </c>
    </row>
    <row r="383" spans="1:4" x14ac:dyDescent="0.25">
      <c r="A383" s="16" t="s">
        <v>901</v>
      </c>
      <c r="B383" s="16" t="s">
        <v>12</v>
      </c>
      <c r="C383" s="16" t="s">
        <v>110</v>
      </c>
      <c r="D383" s="16">
        <v>3</v>
      </c>
    </row>
    <row r="384" spans="1:4" x14ac:dyDescent="0.25">
      <c r="A384" s="16" t="s">
        <v>901</v>
      </c>
      <c r="B384" s="16" t="s">
        <v>12</v>
      </c>
      <c r="C384" s="16" t="s">
        <v>172</v>
      </c>
      <c r="D384" s="16">
        <v>1</v>
      </c>
    </row>
    <row r="385" spans="1:4" x14ac:dyDescent="0.25">
      <c r="A385" s="16" t="s">
        <v>904</v>
      </c>
      <c r="B385" s="16" t="s">
        <v>12</v>
      </c>
      <c r="C385" s="16" t="s">
        <v>134</v>
      </c>
      <c r="D385" s="16">
        <v>2</v>
      </c>
    </row>
    <row r="386" spans="1:4" x14ac:dyDescent="0.25">
      <c r="A386" s="16" t="s">
        <v>906</v>
      </c>
      <c r="B386" s="16" t="s">
        <v>12</v>
      </c>
      <c r="C386" s="16" t="s">
        <v>92</v>
      </c>
      <c r="D386" s="16">
        <v>1</v>
      </c>
    </row>
    <row r="387" spans="1:4" x14ac:dyDescent="0.25">
      <c r="A387" s="16" t="s">
        <v>906</v>
      </c>
      <c r="B387" s="16" t="s">
        <v>12</v>
      </c>
      <c r="C387" s="16" t="s">
        <v>91</v>
      </c>
      <c r="D387" s="16">
        <v>1</v>
      </c>
    </row>
    <row r="388" spans="1:4" x14ac:dyDescent="0.25">
      <c r="A388" s="16" t="s">
        <v>906</v>
      </c>
      <c r="B388" s="16" t="s">
        <v>12</v>
      </c>
      <c r="C388" s="16" t="s">
        <v>65</v>
      </c>
      <c r="D388" s="16">
        <v>1</v>
      </c>
    </row>
    <row r="389" spans="1:4" x14ac:dyDescent="0.25">
      <c r="A389" s="16" t="s">
        <v>909</v>
      </c>
      <c r="B389" s="16" t="s">
        <v>12</v>
      </c>
      <c r="C389" s="16" t="s">
        <v>166</v>
      </c>
      <c r="D389" s="16">
        <v>2</v>
      </c>
    </row>
    <row r="390" spans="1:4" x14ac:dyDescent="0.25">
      <c r="A390" s="16" t="s">
        <v>911</v>
      </c>
      <c r="B390" s="16" t="s">
        <v>12</v>
      </c>
      <c r="C390" s="16" t="s">
        <v>72</v>
      </c>
      <c r="D390" s="16">
        <v>2</v>
      </c>
    </row>
    <row r="391" spans="1:4" x14ac:dyDescent="0.25">
      <c r="A391" s="16" t="s">
        <v>911</v>
      </c>
      <c r="B391" s="16" t="s">
        <v>12</v>
      </c>
      <c r="C391" s="16" t="s">
        <v>111</v>
      </c>
      <c r="D391" s="16">
        <v>1</v>
      </c>
    </row>
    <row r="392" spans="1:4" x14ac:dyDescent="0.25">
      <c r="A392" s="16" t="s">
        <v>914</v>
      </c>
      <c r="B392" s="16" t="s">
        <v>12</v>
      </c>
      <c r="C392" s="16" t="s">
        <v>124</v>
      </c>
      <c r="D392" s="16">
        <v>1</v>
      </c>
    </row>
    <row r="393" spans="1:4" x14ac:dyDescent="0.25">
      <c r="A393" s="16" t="s">
        <v>914</v>
      </c>
      <c r="B393" s="16" t="s">
        <v>12</v>
      </c>
      <c r="C393" s="16" t="s">
        <v>165</v>
      </c>
      <c r="D393" s="16">
        <v>1</v>
      </c>
    </row>
    <row r="394" spans="1:4" x14ac:dyDescent="0.25">
      <c r="A394" s="16" t="s">
        <v>917</v>
      </c>
      <c r="B394" s="16" t="s">
        <v>12</v>
      </c>
      <c r="C394" s="16" t="s">
        <v>97</v>
      </c>
      <c r="D394" s="16">
        <v>2</v>
      </c>
    </row>
    <row r="395" spans="1:4" x14ac:dyDescent="0.25">
      <c r="A395" s="16" t="s">
        <v>917</v>
      </c>
      <c r="B395" s="16" t="s">
        <v>12</v>
      </c>
      <c r="C395" s="16" t="s">
        <v>114</v>
      </c>
      <c r="D395" s="16">
        <v>1</v>
      </c>
    </row>
    <row r="396" spans="1:4" x14ac:dyDescent="0.25">
      <c r="A396" s="16" t="s">
        <v>920</v>
      </c>
      <c r="B396" s="16" t="s">
        <v>12</v>
      </c>
      <c r="C396" s="16" t="s">
        <v>109</v>
      </c>
      <c r="D396" s="16">
        <v>2</v>
      </c>
    </row>
    <row r="397" spans="1:4" x14ac:dyDescent="0.25">
      <c r="A397" s="16" t="s">
        <v>922</v>
      </c>
      <c r="B397" s="16" t="s">
        <v>12</v>
      </c>
      <c r="C397" s="16" t="s">
        <v>71</v>
      </c>
      <c r="D397" s="16">
        <v>2</v>
      </c>
    </row>
    <row r="398" spans="1:4" x14ac:dyDescent="0.25">
      <c r="A398" s="16" t="s">
        <v>924</v>
      </c>
      <c r="B398" s="16" t="s">
        <v>12</v>
      </c>
      <c r="C398" s="16" t="s">
        <v>123</v>
      </c>
      <c r="D398" s="16">
        <v>1</v>
      </c>
    </row>
    <row r="399" spans="1:4" x14ac:dyDescent="0.25">
      <c r="A399" s="16" t="s">
        <v>924</v>
      </c>
      <c r="B399" s="16" t="s">
        <v>12</v>
      </c>
      <c r="C399" s="16" t="s">
        <v>98</v>
      </c>
      <c r="D399" s="16">
        <v>2</v>
      </c>
    </row>
    <row r="400" spans="1:4" x14ac:dyDescent="0.25">
      <c r="A400" s="16" t="s">
        <v>927</v>
      </c>
      <c r="B400" s="16" t="s">
        <v>12</v>
      </c>
      <c r="C400" s="16" t="s">
        <v>164</v>
      </c>
      <c r="D400" s="16">
        <v>2</v>
      </c>
    </row>
    <row r="401" spans="1:4" x14ac:dyDescent="0.25">
      <c r="A401" s="16" t="s">
        <v>927</v>
      </c>
      <c r="B401" s="16" t="s">
        <v>12</v>
      </c>
      <c r="C401" s="16" t="s">
        <v>141</v>
      </c>
      <c r="D401" s="16">
        <v>1</v>
      </c>
    </row>
    <row r="402" spans="1:4" x14ac:dyDescent="0.25">
      <c r="A402" s="16" t="s">
        <v>930</v>
      </c>
      <c r="B402" s="16" t="s">
        <v>12</v>
      </c>
      <c r="C402" s="16" t="s">
        <v>66</v>
      </c>
      <c r="D402" s="16">
        <v>1</v>
      </c>
    </row>
    <row r="403" spans="1:4" x14ac:dyDescent="0.25">
      <c r="A403" s="16" t="s">
        <v>930</v>
      </c>
      <c r="B403" s="16" t="s">
        <v>12</v>
      </c>
      <c r="C403" s="16" t="s">
        <v>177</v>
      </c>
      <c r="D403" s="16">
        <v>1</v>
      </c>
    </row>
    <row r="404" spans="1:4" x14ac:dyDescent="0.25">
      <c r="A404" s="16" t="s">
        <v>933</v>
      </c>
      <c r="B404" s="16" t="s">
        <v>12</v>
      </c>
      <c r="C404" s="16" t="s">
        <v>158</v>
      </c>
      <c r="D404" s="16">
        <v>2</v>
      </c>
    </row>
    <row r="405" spans="1:4" x14ac:dyDescent="0.25">
      <c r="A405" s="16" t="s">
        <v>933</v>
      </c>
      <c r="B405" s="16" t="s">
        <v>12</v>
      </c>
      <c r="C405" s="16" t="s">
        <v>129</v>
      </c>
      <c r="D405" s="16">
        <v>1</v>
      </c>
    </row>
    <row r="406" spans="1:4" x14ac:dyDescent="0.25">
      <c r="A406" s="16" t="s">
        <v>936</v>
      </c>
      <c r="B406" s="16" t="s">
        <v>12</v>
      </c>
      <c r="C406" s="16" t="s">
        <v>90</v>
      </c>
      <c r="D406" s="16">
        <v>2</v>
      </c>
    </row>
    <row r="407" spans="1:4" x14ac:dyDescent="0.25">
      <c r="A407" s="16" t="s">
        <v>936</v>
      </c>
      <c r="B407" s="16" t="s">
        <v>12</v>
      </c>
      <c r="C407" s="16" t="s">
        <v>106</v>
      </c>
      <c r="D407" s="16">
        <v>1</v>
      </c>
    </row>
    <row r="408" spans="1:4" x14ac:dyDescent="0.25">
      <c r="A408" s="16" t="s">
        <v>939</v>
      </c>
      <c r="B408" s="16" t="s">
        <v>12</v>
      </c>
      <c r="C408" s="16" t="s">
        <v>144</v>
      </c>
      <c r="D408" s="16">
        <v>1</v>
      </c>
    </row>
    <row r="409" spans="1:4" x14ac:dyDescent="0.25">
      <c r="A409" s="16" t="s">
        <v>939</v>
      </c>
      <c r="B409" s="16" t="s">
        <v>12</v>
      </c>
      <c r="C409" s="16" t="s">
        <v>139</v>
      </c>
      <c r="D409" s="16">
        <v>2</v>
      </c>
    </row>
    <row r="410" spans="1:4" x14ac:dyDescent="0.25">
      <c r="A410" s="16" t="s">
        <v>942</v>
      </c>
      <c r="B410" s="16" t="s">
        <v>12</v>
      </c>
      <c r="C410" s="16" t="s">
        <v>121</v>
      </c>
      <c r="D410" s="16">
        <v>1</v>
      </c>
    </row>
    <row r="411" spans="1:4" x14ac:dyDescent="0.25">
      <c r="A411" s="16" t="s">
        <v>942</v>
      </c>
      <c r="B411" s="16" t="s">
        <v>12</v>
      </c>
      <c r="C411" s="16" t="s">
        <v>130</v>
      </c>
      <c r="D411" s="16">
        <v>1</v>
      </c>
    </row>
    <row r="412" spans="1:4" x14ac:dyDescent="0.25">
      <c r="A412" s="16" t="s">
        <v>945</v>
      </c>
      <c r="B412" s="16" t="s">
        <v>12</v>
      </c>
      <c r="C412" s="16" t="s">
        <v>144</v>
      </c>
      <c r="D412" s="16">
        <v>1</v>
      </c>
    </row>
    <row r="413" spans="1:4" x14ac:dyDescent="0.25">
      <c r="A413" s="16" t="s">
        <v>945</v>
      </c>
      <c r="B413" s="16" t="s">
        <v>12</v>
      </c>
      <c r="C413" s="16" t="s">
        <v>151</v>
      </c>
      <c r="D413" s="16">
        <v>2</v>
      </c>
    </row>
    <row r="414" spans="1:4" x14ac:dyDescent="0.25">
      <c r="A414" s="16" t="s">
        <v>948</v>
      </c>
      <c r="B414" s="16" t="s">
        <v>12</v>
      </c>
      <c r="C414" s="16" t="s">
        <v>172</v>
      </c>
      <c r="D414" s="16">
        <v>2</v>
      </c>
    </row>
    <row r="415" spans="1:4" x14ac:dyDescent="0.25">
      <c r="A415" s="16" t="s">
        <v>948</v>
      </c>
      <c r="B415" s="16" t="s">
        <v>12</v>
      </c>
      <c r="C415" s="16" t="s">
        <v>130</v>
      </c>
      <c r="D415" s="16">
        <v>1</v>
      </c>
    </row>
    <row r="416" spans="1:4" x14ac:dyDescent="0.25">
      <c r="A416" s="16" t="s">
        <v>951</v>
      </c>
      <c r="B416" s="16" t="s">
        <v>12</v>
      </c>
      <c r="C416" s="16" t="s">
        <v>140</v>
      </c>
      <c r="D416" s="16">
        <v>1</v>
      </c>
    </row>
    <row r="417" spans="1:4" x14ac:dyDescent="0.25">
      <c r="A417" s="16" t="s">
        <v>951</v>
      </c>
      <c r="B417" s="16" t="s">
        <v>12</v>
      </c>
      <c r="C417" s="16" t="s">
        <v>102</v>
      </c>
      <c r="D417" s="16">
        <v>2</v>
      </c>
    </row>
    <row r="418" spans="1:4" x14ac:dyDescent="0.25">
      <c r="A418" s="16" t="s">
        <v>954</v>
      </c>
      <c r="B418" s="16" t="s">
        <v>12</v>
      </c>
      <c r="C418" s="16" t="s">
        <v>170</v>
      </c>
      <c r="D418" s="16">
        <v>1</v>
      </c>
    </row>
    <row r="419" spans="1:4" x14ac:dyDescent="0.25">
      <c r="A419" s="16" t="s">
        <v>954</v>
      </c>
      <c r="B419" s="16" t="s">
        <v>12</v>
      </c>
      <c r="C419" s="16" t="s">
        <v>152</v>
      </c>
      <c r="D419" s="16">
        <v>2</v>
      </c>
    </row>
    <row r="420" spans="1:4" x14ac:dyDescent="0.25">
      <c r="A420" s="16" t="s">
        <v>957</v>
      </c>
      <c r="B420" s="16" t="s">
        <v>12</v>
      </c>
      <c r="C420" s="16" t="s">
        <v>130</v>
      </c>
      <c r="D420" s="16">
        <v>1</v>
      </c>
    </row>
    <row r="421" spans="1:4" x14ac:dyDescent="0.25">
      <c r="A421" s="16" t="s">
        <v>957</v>
      </c>
      <c r="B421" s="16" t="s">
        <v>12</v>
      </c>
      <c r="C421" s="16" t="s">
        <v>159</v>
      </c>
      <c r="D421" s="16">
        <v>1</v>
      </c>
    </row>
    <row r="422" spans="1:4" x14ac:dyDescent="0.25">
      <c r="A422" s="16" t="s">
        <v>960</v>
      </c>
      <c r="B422" s="16" t="s">
        <v>12</v>
      </c>
      <c r="C422" s="16" t="s">
        <v>112</v>
      </c>
      <c r="D422" s="16">
        <v>3</v>
      </c>
    </row>
    <row r="423" spans="1:4" x14ac:dyDescent="0.25">
      <c r="A423" s="16" t="s">
        <v>963</v>
      </c>
      <c r="B423" s="16" t="s">
        <v>12</v>
      </c>
      <c r="C423" s="16" t="s">
        <v>157</v>
      </c>
      <c r="D423" s="16">
        <v>2</v>
      </c>
    </row>
    <row r="424" spans="1:4" x14ac:dyDescent="0.25">
      <c r="A424" s="16" t="s">
        <v>963</v>
      </c>
      <c r="B424" s="16" t="s">
        <v>12</v>
      </c>
      <c r="C424" s="16" t="s">
        <v>154</v>
      </c>
      <c r="D424" s="16">
        <v>1</v>
      </c>
    </row>
    <row r="425" spans="1:4" x14ac:dyDescent="0.25">
      <c r="A425" s="16" t="s">
        <v>966</v>
      </c>
      <c r="B425" s="16" t="s">
        <v>12</v>
      </c>
      <c r="C425" s="16" t="s">
        <v>64</v>
      </c>
      <c r="D425" s="16">
        <v>1</v>
      </c>
    </row>
    <row r="426" spans="1:4" x14ac:dyDescent="0.25">
      <c r="A426" s="16" t="s">
        <v>966</v>
      </c>
      <c r="B426" s="16" t="s">
        <v>12</v>
      </c>
      <c r="C426" s="16" t="s">
        <v>133</v>
      </c>
      <c r="D426" s="16">
        <v>2</v>
      </c>
    </row>
    <row r="427" spans="1:4" x14ac:dyDescent="0.25">
      <c r="A427" s="16" t="s">
        <v>969</v>
      </c>
      <c r="B427" s="16" t="s">
        <v>12</v>
      </c>
      <c r="C427" s="16" t="s">
        <v>161</v>
      </c>
      <c r="D427" s="16">
        <v>1</v>
      </c>
    </row>
    <row r="428" spans="1:4" x14ac:dyDescent="0.25">
      <c r="A428" s="16" t="s">
        <v>969</v>
      </c>
      <c r="B428" s="16" t="s">
        <v>12</v>
      </c>
      <c r="C428" s="16" t="s">
        <v>113</v>
      </c>
      <c r="D428" s="16">
        <v>2</v>
      </c>
    </row>
    <row r="429" spans="1:4" x14ac:dyDescent="0.25">
      <c r="A429" s="16" t="s">
        <v>972</v>
      </c>
      <c r="B429" s="16" t="s">
        <v>12</v>
      </c>
      <c r="C429" s="16" t="s">
        <v>191</v>
      </c>
      <c r="D429" s="16">
        <v>3</v>
      </c>
    </row>
    <row r="430" spans="1:4" x14ac:dyDescent="0.25">
      <c r="A430" s="16" t="s">
        <v>975</v>
      </c>
      <c r="B430" s="16" t="s">
        <v>12</v>
      </c>
      <c r="C430" s="16" t="s">
        <v>179</v>
      </c>
      <c r="D430" s="16">
        <v>2</v>
      </c>
    </row>
    <row r="431" spans="1:4" x14ac:dyDescent="0.25">
      <c r="A431" s="16" t="s">
        <v>977</v>
      </c>
      <c r="B431" s="16" t="s">
        <v>12</v>
      </c>
      <c r="C431" s="16" t="s">
        <v>84</v>
      </c>
      <c r="D431" s="16">
        <v>2</v>
      </c>
    </row>
    <row r="432" spans="1:4" x14ac:dyDescent="0.25">
      <c r="A432" s="16" t="s">
        <v>977</v>
      </c>
      <c r="B432" s="16" t="s">
        <v>12</v>
      </c>
      <c r="C432" s="16" t="s">
        <v>150</v>
      </c>
      <c r="D432" s="16">
        <v>1</v>
      </c>
    </row>
    <row r="433" spans="1:4" x14ac:dyDescent="0.25">
      <c r="A433" s="16" t="s">
        <v>977</v>
      </c>
      <c r="B433" s="16" t="s">
        <v>12</v>
      </c>
      <c r="C433" s="16" t="s">
        <v>178</v>
      </c>
      <c r="D433" s="16">
        <v>1</v>
      </c>
    </row>
    <row r="434" spans="1:4" x14ac:dyDescent="0.25">
      <c r="A434" s="16" t="s">
        <v>980</v>
      </c>
      <c r="B434" s="16" t="s">
        <v>12</v>
      </c>
      <c r="C434" s="16" t="s">
        <v>142</v>
      </c>
      <c r="D434" s="16">
        <v>2</v>
      </c>
    </row>
    <row r="435" spans="1:4" x14ac:dyDescent="0.25">
      <c r="A435" s="16" t="s">
        <v>983</v>
      </c>
      <c r="B435" s="16" t="s">
        <v>12</v>
      </c>
      <c r="C435" s="16" t="s">
        <v>90</v>
      </c>
      <c r="D435" s="16">
        <v>1</v>
      </c>
    </row>
    <row r="436" spans="1:4" x14ac:dyDescent="0.25">
      <c r="A436" s="16" t="s">
        <v>983</v>
      </c>
      <c r="B436" s="16" t="s">
        <v>12</v>
      </c>
      <c r="C436" s="16" t="s">
        <v>128</v>
      </c>
      <c r="D436" s="16">
        <v>1</v>
      </c>
    </row>
    <row r="437" spans="1:4" x14ac:dyDescent="0.25">
      <c r="A437" s="16" t="s">
        <v>983</v>
      </c>
      <c r="B437" s="16" t="s">
        <v>12</v>
      </c>
      <c r="C437" s="16" t="s">
        <v>125</v>
      </c>
      <c r="D437" s="16">
        <v>1</v>
      </c>
    </row>
    <row r="438" spans="1:4" x14ac:dyDescent="0.25">
      <c r="A438" s="16" t="s">
        <v>986</v>
      </c>
      <c r="B438" s="16" t="s">
        <v>12</v>
      </c>
      <c r="C438" s="16" t="s">
        <v>104</v>
      </c>
      <c r="D438" s="16">
        <v>1</v>
      </c>
    </row>
    <row r="439" spans="1:4" x14ac:dyDescent="0.25">
      <c r="A439" s="16" t="s">
        <v>986</v>
      </c>
      <c r="B439" s="16" t="s">
        <v>12</v>
      </c>
      <c r="C439" s="16" t="s">
        <v>127</v>
      </c>
      <c r="D439" s="16">
        <v>1</v>
      </c>
    </row>
    <row r="440" spans="1:4" x14ac:dyDescent="0.25">
      <c r="A440" s="16" t="s">
        <v>989</v>
      </c>
      <c r="B440" s="16" t="s">
        <v>12</v>
      </c>
      <c r="C440" s="16" t="s">
        <v>192</v>
      </c>
      <c r="D440" s="16">
        <v>2</v>
      </c>
    </row>
    <row r="441" spans="1:4" x14ac:dyDescent="0.25">
      <c r="A441" s="16" t="s">
        <v>989</v>
      </c>
      <c r="B441" s="16" t="s">
        <v>12</v>
      </c>
      <c r="C441" s="16" t="s">
        <v>193</v>
      </c>
      <c r="D441" s="16">
        <v>1</v>
      </c>
    </row>
    <row r="442" spans="1:4" x14ac:dyDescent="0.25">
      <c r="A442" s="16" t="s">
        <v>989</v>
      </c>
      <c r="B442" s="16" t="s">
        <v>12</v>
      </c>
      <c r="C442" s="16" t="s">
        <v>126</v>
      </c>
      <c r="D442" s="16">
        <v>1</v>
      </c>
    </row>
    <row r="443" spans="1:4" x14ac:dyDescent="0.25">
      <c r="A443" s="16" t="s">
        <v>992</v>
      </c>
      <c r="B443" s="16" t="s">
        <v>12</v>
      </c>
      <c r="C443" s="16" t="s">
        <v>163</v>
      </c>
      <c r="D443" s="16">
        <v>2</v>
      </c>
    </row>
    <row r="444" spans="1:4" x14ac:dyDescent="0.25">
      <c r="A444" s="16" t="s">
        <v>995</v>
      </c>
      <c r="B444" s="16" t="s">
        <v>12</v>
      </c>
      <c r="C444" s="16" t="s">
        <v>119</v>
      </c>
      <c r="D444" s="16">
        <v>1</v>
      </c>
    </row>
    <row r="445" spans="1:4" x14ac:dyDescent="0.25">
      <c r="A445" s="16" t="s">
        <v>995</v>
      </c>
      <c r="B445" s="16" t="s">
        <v>12</v>
      </c>
      <c r="C445" s="16" t="s">
        <v>191</v>
      </c>
      <c r="D445" s="16">
        <v>1</v>
      </c>
    </row>
    <row r="446" spans="1:4" x14ac:dyDescent="0.25">
      <c r="A446" s="16" t="s">
        <v>998</v>
      </c>
      <c r="B446" s="16" t="s">
        <v>12</v>
      </c>
      <c r="C446" s="16" t="s">
        <v>123</v>
      </c>
      <c r="D446" s="16">
        <v>2</v>
      </c>
    </row>
    <row r="447" spans="1:4" x14ac:dyDescent="0.25">
      <c r="A447" s="16" t="s">
        <v>998</v>
      </c>
      <c r="B447" s="16" t="s">
        <v>12</v>
      </c>
      <c r="C447" s="16" t="s">
        <v>193</v>
      </c>
      <c r="D447" s="16">
        <v>1</v>
      </c>
    </row>
    <row r="448" spans="1:4" x14ac:dyDescent="0.25">
      <c r="A448" s="16" t="s">
        <v>1001</v>
      </c>
      <c r="B448" s="16" t="s">
        <v>12</v>
      </c>
      <c r="C448" s="16" t="s">
        <v>99</v>
      </c>
      <c r="D448" s="16">
        <v>2</v>
      </c>
    </row>
    <row r="449" spans="1:4" x14ac:dyDescent="0.25">
      <c r="A449" s="16" t="s">
        <v>1004</v>
      </c>
      <c r="B449" s="16" t="s">
        <v>12</v>
      </c>
      <c r="C449" s="16" t="s">
        <v>104</v>
      </c>
      <c r="D449" s="16">
        <v>1</v>
      </c>
    </row>
    <row r="450" spans="1:4" x14ac:dyDescent="0.25">
      <c r="A450" s="16" t="s">
        <v>1004</v>
      </c>
      <c r="B450" s="16" t="s">
        <v>12</v>
      </c>
      <c r="C450" s="16" t="s">
        <v>170</v>
      </c>
      <c r="D450" s="16">
        <v>2</v>
      </c>
    </row>
    <row r="451" spans="1:4" x14ac:dyDescent="0.25">
      <c r="A451" s="16" t="s">
        <v>1007</v>
      </c>
      <c r="B451" s="16" t="s">
        <v>12</v>
      </c>
      <c r="C451" s="16" t="s">
        <v>119</v>
      </c>
      <c r="D451" s="16">
        <v>3</v>
      </c>
    </row>
    <row r="452" spans="1:4" x14ac:dyDescent="0.25">
      <c r="A452" s="16" t="s">
        <v>1009</v>
      </c>
      <c r="B452" s="16" t="s">
        <v>12</v>
      </c>
      <c r="C452" s="16" t="s">
        <v>107</v>
      </c>
      <c r="D452" s="16">
        <v>2</v>
      </c>
    </row>
    <row r="453" spans="1:4" x14ac:dyDescent="0.25">
      <c r="A453" s="16" t="s">
        <v>1009</v>
      </c>
      <c r="B453" s="16" t="s">
        <v>12</v>
      </c>
      <c r="C453" s="16" t="s">
        <v>131</v>
      </c>
      <c r="D453" s="16">
        <v>1</v>
      </c>
    </row>
    <row r="454" spans="1:4" x14ac:dyDescent="0.25">
      <c r="A454" s="16" t="s">
        <v>1012</v>
      </c>
      <c r="B454" s="16" t="s">
        <v>12</v>
      </c>
      <c r="C454" s="16" t="s">
        <v>148</v>
      </c>
      <c r="D454" s="16">
        <v>2</v>
      </c>
    </row>
    <row r="455" spans="1:4" x14ac:dyDescent="0.25">
      <c r="A455" s="16" t="s">
        <v>1012</v>
      </c>
      <c r="B455" s="16" t="s">
        <v>12</v>
      </c>
      <c r="C455" s="16" t="s">
        <v>85</v>
      </c>
      <c r="D455" s="16">
        <v>1</v>
      </c>
    </row>
    <row r="456" spans="1:4" x14ac:dyDescent="0.25">
      <c r="A456" s="16" t="s">
        <v>1015</v>
      </c>
      <c r="B456" s="16" t="s">
        <v>12</v>
      </c>
      <c r="C456" s="16" t="s">
        <v>106</v>
      </c>
      <c r="D456" s="16">
        <v>2</v>
      </c>
    </row>
    <row r="457" spans="1:4" x14ac:dyDescent="0.25">
      <c r="A457" s="16" t="s">
        <v>1018</v>
      </c>
      <c r="B457" s="16" t="s">
        <v>12</v>
      </c>
      <c r="C457" s="16" t="s">
        <v>145</v>
      </c>
      <c r="D457" s="16">
        <v>1</v>
      </c>
    </row>
    <row r="458" spans="1:4" x14ac:dyDescent="0.25">
      <c r="A458" s="16" t="s">
        <v>1018</v>
      </c>
      <c r="B458" s="16" t="s">
        <v>12</v>
      </c>
      <c r="C458" s="16" t="s">
        <v>105</v>
      </c>
      <c r="D458" s="16">
        <v>2</v>
      </c>
    </row>
    <row r="459" spans="1:4" x14ac:dyDescent="0.25">
      <c r="A459" s="16" t="s">
        <v>1021</v>
      </c>
      <c r="B459" s="16" t="s">
        <v>12</v>
      </c>
      <c r="C459" s="16" t="s">
        <v>72</v>
      </c>
      <c r="D459" s="16">
        <v>2</v>
      </c>
    </row>
    <row r="460" spans="1:4" x14ac:dyDescent="0.25">
      <c r="A460" s="16" t="s">
        <v>1021</v>
      </c>
      <c r="B460" s="16" t="s">
        <v>12</v>
      </c>
      <c r="C460" s="16" t="s">
        <v>144</v>
      </c>
      <c r="D460" s="16">
        <v>1</v>
      </c>
    </row>
    <row r="461" spans="1:4" x14ac:dyDescent="0.25">
      <c r="A461" s="16" t="s">
        <v>1021</v>
      </c>
      <c r="B461" s="16" t="s">
        <v>12</v>
      </c>
      <c r="C461" s="16" t="s">
        <v>136</v>
      </c>
      <c r="D461" s="16">
        <v>1</v>
      </c>
    </row>
    <row r="462" spans="1:4" x14ac:dyDescent="0.25">
      <c r="A462" s="16" t="s">
        <v>1024</v>
      </c>
      <c r="B462" s="16" t="s">
        <v>12</v>
      </c>
      <c r="C462" s="16" t="s">
        <v>92</v>
      </c>
      <c r="D462" s="16">
        <v>1</v>
      </c>
    </row>
    <row r="463" spans="1:4" x14ac:dyDescent="0.25">
      <c r="A463" s="16" t="s">
        <v>1024</v>
      </c>
      <c r="B463" s="16" t="s">
        <v>12</v>
      </c>
      <c r="C463" s="16" t="s">
        <v>106</v>
      </c>
      <c r="D463" s="16">
        <v>1</v>
      </c>
    </row>
    <row r="464" spans="1:4" x14ac:dyDescent="0.25">
      <c r="A464" s="16" t="s">
        <v>1027</v>
      </c>
      <c r="B464" s="16" t="s">
        <v>12</v>
      </c>
      <c r="C464" s="16" t="s">
        <v>147</v>
      </c>
      <c r="D464" s="16">
        <v>2</v>
      </c>
    </row>
    <row r="465" spans="1:4" x14ac:dyDescent="0.25">
      <c r="A465" s="16" t="s">
        <v>1029</v>
      </c>
      <c r="B465" s="16" t="s">
        <v>12</v>
      </c>
      <c r="C465" s="16" t="s">
        <v>155</v>
      </c>
      <c r="D465" s="16">
        <v>1</v>
      </c>
    </row>
    <row r="466" spans="1:4" x14ac:dyDescent="0.25">
      <c r="A466" s="16" t="s">
        <v>1029</v>
      </c>
      <c r="B466" s="16" t="s">
        <v>12</v>
      </c>
      <c r="C466" s="16" t="s">
        <v>157</v>
      </c>
      <c r="D466" s="16">
        <v>1</v>
      </c>
    </row>
    <row r="467" spans="1:4" x14ac:dyDescent="0.25">
      <c r="A467" s="16" t="s">
        <v>1032</v>
      </c>
      <c r="B467" s="16" t="s">
        <v>12</v>
      </c>
      <c r="C467" s="16" t="s">
        <v>89</v>
      </c>
      <c r="D467" s="16">
        <v>1</v>
      </c>
    </row>
    <row r="468" spans="1:4" x14ac:dyDescent="0.25">
      <c r="A468" s="16" t="s">
        <v>1032</v>
      </c>
      <c r="B468" s="16" t="s">
        <v>12</v>
      </c>
      <c r="C468" s="16" t="s">
        <v>96</v>
      </c>
      <c r="D468" s="16">
        <v>2</v>
      </c>
    </row>
    <row r="469" spans="1:4" x14ac:dyDescent="0.25">
      <c r="A469" s="16" t="s">
        <v>1035</v>
      </c>
      <c r="B469" s="16" t="s">
        <v>12</v>
      </c>
      <c r="C469" s="16" t="s">
        <v>92</v>
      </c>
      <c r="D469" s="16">
        <v>2</v>
      </c>
    </row>
    <row r="470" spans="1:4" x14ac:dyDescent="0.25">
      <c r="A470" s="16" t="s">
        <v>1037</v>
      </c>
      <c r="B470" s="16" t="s">
        <v>12</v>
      </c>
      <c r="C470" s="16" t="s">
        <v>90</v>
      </c>
      <c r="D470" s="16">
        <v>1</v>
      </c>
    </row>
    <row r="471" spans="1:4" x14ac:dyDescent="0.25">
      <c r="A471" s="16" t="s">
        <v>1037</v>
      </c>
      <c r="B471" s="16" t="s">
        <v>12</v>
      </c>
      <c r="C471" s="16" t="s">
        <v>172</v>
      </c>
      <c r="D471" s="16">
        <v>1</v>
      </c>
    </row>
    <row r="472" spans="1:4" x14ac:dyDescent="0.25">
      <c r="A472" s="16" t="s">
        <v>1040</v>
      </c>
      <c r="B472" s="16" t="s">
        <v>12</v>
      </c>
      <c r="C472" s="16" t="s">
        <v>109</v>
      </c>
      <c r="D472" s="16">
        <v>1</v>
      </c>
    </row>
    <row r="473" spans="1:4" x14ac:dyDescent="0.25">
      <c r="A473" s="16" t="s">
        <v>1040</v>
      </c>
      <c r="B473" s="16" t="s">
        <v>12</v>
      </c>
      <c r="C473" s="16" t="s">
        <v>112</v>
      </c>
      <c r="D473" s="16">
        <v>2</v>
      </c>
    </row>
    <row r="474" spans="1:4" x14ac:dyDescent="0.25">
      <c r="A474" s="16" t="s">
        <v>1043</v>
      </c>
      <c r="B474" s="16" t="s">
        <v>12</v>
      </c>
      <c r="C474" s="16" t="s">
        <v>149</v>
      </c>
      <c r="D474" s="16">
        <v>3</v>
      </c>
    </row>
    <row r="475" spans="1:4" x14ac:dyDescent="0.25">
      <c r="A475" s="16" t="s">
        <v>1043</v>
      </c>
      <c r="B475" s="16" t="s">
        <v>12</v>
      </c>
      <c r="C475" s="16" t="s">
        <v>84</v>
      </c>
      <c r="D475" s="16">
        <v>1</v>
      </c>
    </row>
    <row r="476" spans="1:4" x14ac:dyDescent="0.25">
      <c r="A476" s="16" t="s">
        <v>1046</v>
      </c>
      <c r="B476" s="16" t="s">
        <v>12</v>
      </c>
      <c r="C476" s="16" t="s">
        <v>137</v>
      </c>
      <c r="D476" s="16">
        <v>1</v>
      </c>
    </row>
    <row r="477" spans="1:4" x14ac:dyDescent="0.25">
      <c r="A477" s="16" t="s">
        <v>1046</v>
      </c>
      <c r="B477" s="16" t="s">
        <v>12</v>
      </c>
      <c r="C477" s="16" t="s">
        <v>74</v>
      </c>
      <c r="D477" s="16">
        <v>1</v>
      </c>
    </row>
    <row r="478" spans="1:4" x14ac:dyDescent="0.25">
      <c r="A478" s="16" t="s">
        <v>1046</v>
      </c>
      <c r="B478" s="16" t="s">
        <v>12</v>
      </c>
      <c r="C478" s="16" t="s">
        <v>73</v>
      </c>
      <c r="D478" s="16">
        <v>1</v>
      </c>
    </row>
    <row r="479" spans="1:4" x14ac:dyDescent="0.25">
      <c r="A479" s="16" t="s">
        <v>1049</v>
      </c>
      <c r="B479" s="16" t="s">
        <v>12</v>
      </c>
      <c r="C479" s="16" t="s">
        <v>72</v>
      </c>
      <c r="D479" s="16">
        <v>2</v>
      </c>
    </row>
    <row r="480" spans="1:4" x14ac:dyDescent="0.25">
      <c r="A480" s="16" t="s">
        <v>1049</v>
      </c>
      <c r="B480" s="16" t="s">
        <v>12</v>
      </c>
      <c r="C480" s="16" t="s">
        <v>59</v>
      </c>
      <c r="D480" s="16">
        <v>1</v>
      </c>
    </row>
    <row r="481" spans="1:4" x14ac:dyDescent="0.25">
      <c r="A481" s="16" t="s">
        <v>1052</v>
      </c>
      <c r="B481" s="16" t="s">
        <v>12</v>
      </c>
      <c r="C481" s="16" t="s">
        <v>187</v>
      </c>
      <c r="D481" s="16">
        <v>1</v>
      </c>
    </row>
    <row r="482" spans="1:4" x14ac:dyDescent="0.25">
      <c r="A482" s="16" t="s">
        <v>1052</v>
      </c>
      <c r="B482" s="16" t="s">
        <v>12</v>
      </c>
      <c r="C482" s="16" t="s">
        <v>132</v>
      </c>
      <c r="D482" s="16">
        <v>1</v>
      </c>
    </row>
    <row r="483" spans="1:4" x14ac:dyDescent="0.25">
      <c r="A483" s="16" t="s">
        <v>1052</v>
      </c>
      <c r="B483" s="16" t="s">
        <v>12</v>
      </c>
      <c r="C483" s="16" t="s">
        <v>184</v>
      </c>
      <c r="D483" s="16">
        <v>1</v>
      </c>
    </row>
    <row r="484" spans="1:4" x14ac:dyDescent="0.25">
      <c r="A484" s="16" t="s">
        <v>1055</v>
      </c>
      <c r="B484" s="16" t="s">
        <v>12</v>
      </c>
      <c r="C484" s="16" t="s">
        <v>193</v>
      </c>
      <c r="D484" s="16">
        <v>2</v>
      </c>
    </row>
    <row r="485" spans="1:4" x14ac:dyDescent="0.25">
      <c r="A485" s="16" t="s">
        <v>1058</v>
      </c>
      <c r="B485" s="16" t="s">
        <v>12</v>
      </c>
      <c r="C485" s="16" t="s">
        <v>76</v>
      </c>
      <c r="D485" s="16">
        <v>1</v>
      </c>
    </row>
    <row r="486" spans="1:4" x14ac:dyDescent="0.25">
      <c r="A486" s="16" t="s">
        <v>1058</v>
      </c>
      <c r="B486" s="16" t="s">
        <v>12</v>
      </c>
      <c r="C486" s="16" t="s">
        <v>120</v>
      </c>
      <c r="D486" s="16">
        <v>1</v>
      </c>
    </row>
    <row r="487" spans="1:4" x14ac:dyDescent="0.25">
      <c r="A487" s="16" t="s">
        <v>1061</v>
      </c>
      <c r="B487" s="16" t="s">
        <v>12</v>
      </c>
      <c r="C487" s="16" t="s">
        <v>166</v>
      </c>
      <c r="D487" s="16">
        <v>1</v>
      </c>
    </row>
    <row r="488" spans="1:4" x14ac:dyDescent="0.25">
      <c r="A488" s="16" t="s">
        <v>1061</v>
      </c>
      <c r="B488" s="16" t="s">
        <v>12</v>
      </c>
      <c r="C488" s="16" t="s">
        <v>162</v>
      </c>
      <c r="D488" s="16">
        <v>1</v>
      </c>
    </row>
    <row r="489" spans="1:4" x14ac:dyDescent="0.25">
      <c r="A489" s="16" t="s">
        <v>1064</v>
      </c>
      <c r="B489" s="16" t="s">
        <v>12</v>
      </c>
      <c r="C489" s="16" t="s">
        <v>107</v>
      </c>
      <c r="D489" s="16">
        <v>1</v>
      </c>
    </row>
    <row r="490" spans="1:4" x14ac:dyDescent="0.25">
      <c r="A490" s="16" t="s">
        <v>1064</v>
      </c>
      <c r="B490" s="16" t="s">
        <v>12</v>
      </c>
      <c r="C490" s="16" t="s">
        <v>185</v>
      </c>
      <c r="D490" s="16">
        <v>1</v>
      </c>
    </row>
    <row r="491" spans="1:4" x14ac:dyDescent="0.25">
      <c r="A491" s="16" t="s">
        <v>1067</v>
      </c>
      <c r="B491" s="16" t="s">
        <v>12</v>
      </c>
      <c r="C491" s="16" t="s">
        <v>190</v>
      </c>
      <c r="D491" s="16">
        <v>2</v>
      </c>
    </row>
    <row r="492" spans="1:4" x14ac:dyDescent="0.25">
      <c r="A492" s="16" t="s">
        <v>1067</v>
      </c>
      <c r="B492" s="16" t="s">
        <v>12</v>
      </c>
      <c r="C492" s="16" t="s">
        <v>135</v>
      </c>
      <c r="D492" s="16">
        <v>1</v>
      </c>
    </row>
    <row r="493" spans="1:4" x14ac:dyDescent="0.25">
      <c r="A493" s="16" t="s">
        <v>1070</v>
      </c>
      <c r="B493" s="16" t="s">
        <v>12</v>
      </c>
      <c r="C493" s="16" t="s">
        <v>93</v>
      </c>
      <c r="D493" s="16">
        <v>2</v>
      </c>
    </row>
    <row r="494" spans="1:4" x14ac:dyDescent="0.25">
      <c r="A494" s="16" t="s">
        <v>1072</v>
      </c>
      <c r="B494" s="16" t="s">
        <v>12</v>
      </c>
      <c r="C494" s="16" t="s">
        <v>104</v>
      </c>
      <c r="D494" s="16">
        <v>1</v>
      </c>
    </row>
    <row r="495" spans="1:4" x14ac:dyDescent="0.25">
      <c r="A495" s="16" t="s">
        <v>1072</v>
      </c>
      <c r="B495" s="16" t="s">
        <v>12</v>
      </c>
      <c r="C495" s="16" t="s">
        <v>175</v>
      </c>
      <c r="D495" s="16">
        <v>1</v>
      </c>
    </row>
    <row r="496" spans="1:4" x14ac:dyDescent="0.25">
      <c r="A496" s="16" t="s">
        <v>1075</v>
      </c>
      <c r="B496" s="16" t="s">
        <v>12</v>
      </c>
      <c r="C496" s="16" t="s">
        <v>100</v>
      </c>
      <c r="D496" s="16">
        <v>2</v>
      </c>
    </row>
    <row r="497" spans="1:4" x14ac:dyDescent="0.25">
      <c r="A497" s="16" t="s">
        <v>1075</v>
      </c>
      <c r="B497" s="16" t="s">
        <v>12</v>
      </c>
      <c r="C497" s="16" t="s">
        <v>182</v>
      </c>
      <c r="D497" s="16">
        <v>1</v>
      </c>
    </row>
    <row r="498" spans="1:4" x14ac:dyDescent="0.25">
      <c r="A498" s="16" t="s">
        <v>1078</v>
      </c>
      <c r="B498" s="16" t="s">
        <v>12</v>
      </c>
      <c r="C498" s="16" t="s">
        <v>84</v>
      </c>
      <c r="D498" s="16">
        <v>2</v>
      </c>
    </row>
    <row r="499" spans="1:4" x14ac:dyDescent="0.25">
      <c r="A499" s="16" t="s">
        <v>1078</v>
      </c>
      <c r="B499" s="16" t="s">
        <v>12</v>
      </c>
      <c r="C499" s="16" t="s">
        <v>61</v>
      </c>
      <c r="D499" s="16">
        <v>1</v>
      </c>
    </row>
    <row r="500" spans="1:4" x14ac:dyDescent="0.25">
      <c r="A500" s="16" t="s">
        <v>1081</v>
      </c>
      <c r="B500" s="16" t="s">
        <v>12</v>
      </c>
      <c r="C500" s="16" t="s">
        <v>173</v>
      </c>
      <c r="D500" s="16">
        <v>2</v>
      </c>
    </row>
    <row r="501" spans="1:4" x14ac:dyDescent="0.25">
      <c r="A501" s="16" t="s">
        <v>1081</v>
      </c>
      <c r="B501" s="16" t="s">
        <v>12</v>
      </c>
      <c r="C501" s="16" t="s">
        <v>107</v>
      </c>
      <c r="D501" s="16">
        <v>1</v>
      </c>
    </row>
    <row r="502" spans="1:4" x14ac:dyDescent="0.25">
      <c r="A502" s="16" t="s">
        <v>1084</v>
      </c>
      <c r="B502" s="16" t="s">
        <v>12</v>
      </c>
      <c r="C502" s="16" t="s">
        <v>114</v>
      </c>
      <c r="D502" s="16">
        <v>2</v>
      </c>
    </row>
    <row r="503" spans="1:4" x14ac:dyDescent="0.25">
      <c r="A503" s="16" t="s">
        <v>1086</v>
      </c>
      <c r="B503" s="16" t="s">
        <v>12</v>
      </c>
      <c r="C503" s="16" t="s">
        <v>157</v>
      </c>
      <c r="D503" s="16">
        <v>1</v>
      </c>
    </row>
    <row r="504" spans="1:4" x14ac:dyDescent="0.25">
      <c r="A504" s="16" t="s">
        <v>1086</v>
      </c>
      <c r="B504" s="16" t="s">
        <v>12</v>
      </c>
      <c r="C504" s="16" t="s">
        <v>69</v>
      </c>
      <c r="D504" s="16">
        <v>1</v>
      </c>
    </row>
    <row r="505" spans="1:4" x14ac:dyDescent="0.25">
      <c r="A505" s="16" t="s">
        <v>1089</v>
      </c>
      <c r="B505" s="16" t="s">
        <v>13</v>
      </c>
      <c r="C505" s="16" t="s">
        <v>109</v>
      </c>
      <c r="D505" s="16">
        <v>2</v>
      </c>
    </row>
    <row r="506" spans="1:4" x14ac:dyDescent="0.25">
      <c r="A506" s="16" t="s">
        <v>1091</v>
      </c>
      <c r="B506" s="16" t="s">
        <v>13</v>
      </c>
      <c r="C506" s="16" t="s">
        <v>193</v>
      </c>
      <c r="D506" s="16">
        <v>1</v>
      </c>
    </row>
    <row r="507" spans="1:4" x14ac:dyDescent="0.25">
      <c r="A507" s="16" t="s">
        <v>1091</v>
      </c>
      <c r="B507" s="16" t="s">
        <v>13</v>
      </c>
      <c r="C507" s="16" t="s">
        <v>130</v>
      </c>
      <c r="D507" s="16">
        <v>1</v>
      </c>
    </row>
    <row r="508" spans="1:4" x14ac:dyDescent="0.25">
      <c r="A508" s="16" t="s">
        <v>1094</v>
      </c>
      <c r="B508" s="16" t="s">
        <v>13</v>
      </c>
      <c r="C508" s="16" t="s">
        <v>130</v>
      </c>
      <c r="D508" s="16">
        <v>1</v>
      </c>
    </row>
    <row r="509" spans="1:4" x14ac:dyDescent="0.25">
      <c r="A509" s="16" t="s">
        <v>1094</v>
      </c>
      <c r="B509" s="16" t="s">
        <v>13</v>
      </c>
      <c r="C509" s="16" t="s">
        <v>152</v>
      </c>
      <c r="D509" s="16">
        <v>2</v>
      </c>
    </row>
    <row r="510" spans="1:4" x14ac:dyDescent="0.25">
      <c r="A510" s="16" t="s">
        <v>1097</v>
      </c>
      <c r="B510" s="16" t="s">
        <v>13</v>
      </c>
      <c r="C510" s="16" t="s">
        <v>145</v>
      </c>
      <c r="D510" s="16">
        <v>2</v>
      </c>
    </row>
    <row r="511" spans="1:4" x14ac:dyDescent="0.25">
      <c r="A511" s="16" t="s">
        <v>1100</v>
      </c>
      <c r="B511" s="16" t="s">
        <v>13</v>
      </c>
      <c r="C511" s="16" t="s">
        <v>172</v>
      </c>
      <c r="D511" s="16">
        <v>1</v>
      </c>
    </row>
    <row r="512" spans="1:4" x14ac:dyDescent="0.25">
      <c r="A512" s="16" t="s">
        <v>1100</v>
      </c>
      <c r="B512" s="16" t="s">
        <v>13</v>
      </c>
      <c r="C512" s="16" t="s">
        <v>93</v>
      </c>
      <c r="D512" s="16">
        <v>1</v>
      </c>
    </row>
    <row r="513" spans="1:4" x14ac:dyDescent="0.25">
      <c r="A513" s="16" t="s">
        <v>1103</v>
      </c>
      <c r="B513" s="16" t="s">
        <v>13</v>
      </c>
      <c r="C513" s="16" t="s">
        <v>179</v>
      </c>
      <c r="D513" s="16">
        <v>2</v>
      </c>
    </row>
    <row r="514" spans="1:4" x14ac:dyDescent="0.25">
      <c r="A514" s="16" t="s">
        <v>1103</v>
      </c>
      <c r="B514" s="16" t="s">
        <v>13</v>
      </c>
      <c r="C514" s="16" t="s">
        <v>65</v>
      </c>
      <c r="D514" s="16">
        <v>1</v>
      </c>
    </row>
    <row r="515" spans="1:4" x14ac:dyDescent="0.25">
      <c r="A515" s="16" t="s">
        <v>1106</v>
      </c>
      <c r="B515" s="16" t="s">
        <v>13</v>
      </c>
      <c r="C515" s="16" t="s">
        <v>114</v>
      </c>
      <c r="D515" s="16">
        <v>1</v>
      </c>
    </row>
    <row r="516" spans="1:4" x14ac:dyDescent="0.25">
      <c r="A516" s="16" t="s">
        <v>1106</v>
      </c>
      <c r="B516" s="16" t="s">
        <v>13</v>
      </c>
      <c r="C516" s="16" t="s">
        <v>167</v>
      </c>
      <c r="D516" s="16">
        <v>1</v>
      </c>
    </row>
    <row r="517" spans="1:4" x14ac:dyDescent="0.25">
      <c r="A517" s="16" t="s">
        <v>1109</v>
      </c>
      <c r="B517" s="16" t="s">
        <v>13</v>
      </c>
      <c r="C517" s="16" t="s">
        <v>89</v>
      </c>
      <c r="D517" s="16">
        <v>1</v>
      </c>
    </row>
    <row r="518" spans="1:4" x14ac:dyDescent="0.25">
      <c r="A518" s="16" t="s">
        <v>1109</v>
      </c>
      <c r="B518" s="16" t="s">
        <v>13</v>
      </c>
      <c r="C518" s="16" t="s">
        <v>99</v>
      </c>
      <c r="D518" s="16">
        <v>1</v>
      </c>
    </row>
    <row r="519" spans="1:4" x14ac:dyDescent="0.25">
      <c r="A519" s="16" t="s">
        <v>1112</v>
      </c>
      <c r="B519" s="16" t="s">
        <v>13</v>
      </c>
      <c r="C519" s="16" t="s">
        <v>104</v>
      </c>
      <c r="D519" s="16">
        <v>1</v>
      </c>
    </row>
    <row r="520" spans="1:4" x14ac:dyDescent="0.25">
      <c r="A520" s="16" t="s">
        <v>1112</v>
      </c>
      <c r="B520" s="16" t="s">
        <v>13</v>
      </c>
      <c r="C520" s="16" t="s">
        <v>170</v>
      </c>
      <c r="D520" s="16">
        <v>1</v>
      </c>
    </row>
    <row r="521" spans="1:4" x14ac:dyDescent="0.25">
      <c r="A521" s="16" t="s">
        <v>1115</v>
      </c>
      <c r="B521" s="16" t="s">
        <v>13</v>
      </c>
      <c r="C521" s="16" t="s">
        <v>97</v>
      </c>
      <c r="D521" s="16">
        <v>2</v>
      </c>
    </row>
    <row r="522" spans="1:4" x14ac:dyDescent="0.25">
      <c r="A522" s="16" t="s">
        <v>1115</v>
      </c>
      <c r="B522" s="16" t="s">
        <v>13</v>
      </c>
      <c r="C522" s="16" t="s">
        <v>155</v>
      </c>
      <c r="D522" s="16">
        <v>1</v>
      </c>
    </row>
    <row r="523" spans="1:4" x14ac:dyDescent="0.25">
      <c r="A523" s="16" t="s">
        <v>1118</v>
      </c>
      <c r="B523" s="16" t="s">
        <v>13</v>
      </c>
      <c r="C523" s="16" t="s">
        <v>114</v>
      </c>
      <c r="D523" s="16">
        <v>1</v>
      </c>
    </row>
    <row r="524" spans="1:4" x14ac:dyDescent="0.25">
      <c r="A524" s="16" t="s">
        <v>1118</v>
      </c>
      <c r="B524" s="16" t="s">
        <v>13</v>
      </c>
      <c r="C524" s="16" t="s">
        <v>71</v>
      </c>
      <c r="D524" s="16">
        <v>1</v>
      </c>
    </row>
    <row r="525" spans="1:4" x14ac:dyDescent="0.25">
      <c r="A525" s="16" t="s">
        <v>1121</v>
      </c>
      <c r="B525" s="16" t="s">
        <v>13</v>
      </c>
      <c r="C525" s="16" t="s">
        <v>75</v>
      </c>
      <c r="D525" s="16">
        <v>1</v>
      </c>
    </row>
    <row r="526" spans="1:4" x14ac:dyDescent="0.25">
      <c r="A526" s="16" t="s">
        <v>1121</v>
      </c>
      <c r="B526" s="16" t="s">
        <v>13</v>
      </c>
      <c r="C526" s="16" t="s">
        <v>183</v>
      </c>
      <c r="D526" s="16">
        <v>2</v>
      </c>
    </row>
    <row r="527" spans="1:4" x14ac:dyDescent="0.25">
      <c r="A527" s="16" t="s">
        <v>1124</v>
      </c>
      <c r="B527" s="16" t="s">
        <v>13</v>
      </c>
      <c r="C527" s="16" t="s">
        <v>81</v>
      </c>
      <c r="D527" s="16">
        <v>2</v>
      </c>
    </row>
    <row r="528" spans="1:4" x14ac:dyDescent="0.25">
      <c r="A528" s="16" t="s">
        <v>1126</v>
      </c>
      <c r="B528" s="16" t="s">
        <v>13</v>
      </c>
      <c r="C528" s="16" t="s">
        <v>112</v>
      </c>
      <c r="D528" s="16">
        <v>2</v>
      </c>
    </row>
    <row r="529" spans="1:4" x14ac:dyDescent="0.25">
      <c r="A529" s="16" t="s">
        <v>1126</v>
      </c>
      <c r="B529" s="16" t="s">
        <v>13</v>
      </c>
      <c r="C529" s="16" t="s">
        <v>152</v>
      </c>
      <c r="D529" s="16">
        <v>1</v>
      </c>
    </row>
    <row r="530" spans="1:4" x14ac:dyDescent="0.25">
      <c r="A530" s="16" t="s">
        <v>1129</v>
      </c>
      <c r="B530" s="16" t="s">
        <v>13</v>
      </c>
      <c r="C530" s="16" t="s">
        <v>66</v>
      </c>
      <c r="D530" s="16">
        <v>1</v>
      </c>
    </row>
    <row r="531" spans="1:4" x14ac:dyDescent="0.25">
      <c r="A531" s="16" t="s">
        <v>1129</v>
      </c>
      <c r="B531" s="16" t="s">
        <v>13</v>
      </c>
      <c r="C531" s="16" t="s">
        <v>168</v>
      </c>
      <c r="D531" s="16">
        <v>2</v>
      </c>
    </row>
    <row r="532" spans="1:4" x14ac:dyDescent="0.25">
      <c r="A532" s="16" t="s">
        <v>1132</v>
      </c>
      <c r="B532" s="16" t="s">
        <v>13</v>
      </c>
      <c r="C532" s="16" t="s">
        <v>105</v>
      </c>
      <c r="D532" s="16">
        <v>2</v>
      </c>
    </row>
    <row r="533" spans="1:4" x14ac:dyDescent="0.25">
      <c r="A533" s="16" t="s">
        <v>1132</v>
      </c>
      <c r="B533" s="16" t="s">
        <v>13</v>
      </c>
      <c r="C533" s="16" t="s">
        <v>129</v>
      </c>
      <c r="D533" s="16">
        <v>1</v>
      </c>
    </row>
    <row r="534" spans="1:4" x14ac:dyDescent="0.25">
      <c r="A534" s="16" t="s">
        <v>1135</v>
      </c>
      <c r="B534" s="16" t="s">
        <v>13</v>
      </c>
      <c r="C534" s="16" t="s">
        <v>104</v>
      </c>
      <c r="D534" s="16">
        <v>1</v>
      </c>
    </row>
    <row r="535" spans="1:4" x14ac:dyDescent="0.25">
      <c r="A535" s="16" t="s">
        <v>1135</v>
      </c>
      <c r="B535" s="16" t="s">
        <v>13</v>
      </c>
      <c r="C535" s="16" t="s">
        <v>100</v>
      </c>
      <c r="D535" s="16">
        <v>2</v>
      </c>
    </row>
    <row r="536" spans="1:4" x14ac:dyDescent="0.25">
      <c r="A536" s="16" t="s">
        <v>1138</v>
      </c>
      <c r="B536" s="16" t="s">
        <v>13</v>
      </c>
      <c r="C536" s="16" t="s">
        <v>144</v>
      </c>
      <c r="D536" s="16">
        <v>1</v>
      </c>
    </row>
    <row r="537" spans="1:4" x14ac:dyDescent="0.25">
      <c r="A537" s="16" t="s">
        <v>1138</v>
      </c>
      <c r="B537" s="16" t="s">
        <v>13</v>
      </c>
      <c r="C537" s="16" t="s">
        <v>169</v>
      </c>
      <c r="D537" s="16">
        <v>2</v>
      </c>
    </row>
    <row r="538" spans="1:4" x14ac:dyDescent="0.25">
      <c r="A538" s="16" t="s">
        <v>1141</v>
      </c>
      <c r="B538" s="16" t="s">
        <v>13</v>
      </c>
      <c r="C538" s="16" t="s">
        <v>139</v>
      </c>
      <c r="D538" s="16">
        <v>1</v>
      </c>
    </row>
    <row r="539" spans="1:4" x14ac:dyDescent="0.25">
      <c r="A539" s="16" t="s">
        <v>1141</v>
      </c>
      <c r="B539" s="16" t="s">
        <v>13</v>
      </c>
      <c r="C539" s="16" t="s">
        <v>121</v>
      </c>
      <c r="D539" s="16">
        <v>1</v>
      </c>
    </row>
    <row r="540" spans="1:4" x14ac:dyDescent="0.25">
      <c r="A540" s="16" t="s">
        <v>1144</v>
      </c>
      <c r="B540" s="16" t="s">
        <v>13</v>
      </c>
      <c r="C540" s="16" t="s">
        <v>186</v>
      </c>
      <c r="D540" s="16">
        <v>2</v>
      </c>
    </row>
    <row r="541" spans="1:4" x14ac:dyDescent="0.25">
      <c r="A541" s="16" t="s">
        <v>1147</v>
      </c>
      <c r="B541" s="16" t="s">
        <v>13</v>
      </c>
      <c r="C541" s="16" t="s">
        <v>89</v>
      </c>
      <c r="D541" s="16">
        <v>2</v>
      </c>
    </row>
    <row r="542" spans="1:4" x14ac:dyDescent="0.25">
      <c r="A542" s="16" t="s">
        <v>1147</v>
      </c>
      <c r="B542" s="16" t="s">
        <v>13</v>
      </c>
      <c r="C542" s="16" t="s">
        <v>153</v>
      </c>
      <c r="D542" s="16">
        <v>1</v>
      </c>
    </row>
    <row r="543" spans="1:4" x14ac:dyDescent="0.25">
      <c r="A543" s="16" t="s">
        <v>1150</v>
      </c>
      <c r="B543" s="16" t="s">
        <v>13</v>
      </c>
      <c r="C543" s="16" t="s">
        <v>140</v>
      </c>
      <c r="D543" s="16">
        <v>2</v>
      </c>
    </row>
    <row r="544" spans="1:4" x14ac:dyDescent="0.25">
      <c r="A544" s="16" t="s">
        <v>1152</v>
      </c>
      <c r="B544" s="16" t="s">
        <v>13</v>
      </c>
      <c r="C544" s="16" t="s">
        <v>84</v>
      </c>
      <c r="D544" s="16">
        <v>2</v>
      </c>
    </row>
    <row r="545" spans="1:4" x14ac:dyDescent="0.25">
      <c r="A545" s="16" t="s">
        <v>1152</v>
      </c>
      <c r="B545" s="16" t="s">
        <v>13</v>
      </c>
      <c r="C545" s="16" t="s">
        <v>69</v>
      </c>
      <c r="D545" s="16">
        <v>1</v>
      </c>
    </row>
    <row r="546" spans="1:4" x14ac:dyDescent="0.25">
      <c r="A546" s="16" t="s">
        <v>1155</v>
      </c>
      <c r="B546" s="16" t="s">
        <v>13</v>
      </c>
      <c r="C546" s="16" t="s">
        <v>158</v>
      </c>
      <c r="D546" s="16">
        <v>2</v>
      </c>
    </row>
    <row r="547" spans="1:4" x14ac:dyDescent="0.25">
      <c r="A547" s="16" t="s">
        <v>1155</v>
      </c>
      <c r="B547" s="16" t="s">
        <v>13</v>
      </c>
      <c r="C547" s="16" t="s">
        <v>182</v>
      </c>
      <c r="D547" s="16">
        <v>1</v>
      </c>
    </row>
    <row r="548" spans="1:4" x14ac:dyDescent="0.25">
      <c r="A548" s="16" t="s">
        <v>1158</v>
      </c>
      <c r="B548" s="16" t="s">
        <v>13</v>
      </c>
      <c r="C548" s="16" t="s">
        <v>147</v>
      </c>
      <c r="D548" s="16">
        <v>1</v>
      </c>
    </row>
    <row r="549" spans="1:4" x14ac:dyDescent="0.25">
      <c r="A549" s="16" t="s">
        <v>1158</v>
      </c>
      <c r="B549" s="16" t="s">
        <v>13</v>
      </c>
      <c r="C549" s="16" t="s">
        <v>148</v>
      </c>
      <c r="D549" s="16">
        <v>1</v>
      </c>
    </row>
    <row r="550" spans="1:4" x14ac:dyDescent="0.25">
      <c r="A550" s="16" t="s">
        <v>1161</v>
      </c>
      <c r="B550" s="16" t="s">
        <v>13</v>
      </c>
      <c r="C550" s="16" t="s">
        <v>130</v>
      </c>
      <c r="D550" s="16">
        <v>1</v>
      </c>
    </row>
    <row r="551" spans="1:4" x14ac:dyDescent="0.25">
      <c r="A551" s="16" t="s">
        <v>1161</v>
      </c>
      <c r="B551" s="16" t="s">
        <v>13</v>
      </c>
      <c r="C551" s="16" t="s">
        <v>154</v>
      </c>
      <c r="D551" s="16">
        <v>1</v>
      </c>
    </row>
    <row r="552" spans="1:4" x14ac:dyDescent="0.25">
      <c r="A552" s="16" t="s">
        <v>1164</v>
      </c>
      <c r="B552" s="16" t="s">
        <v>13</v>
      </c>
      <c r="C552" s="16" t="s">
        <v>130</v>
      </c>
      <c r="D552" s="16">
        <v>1</v>
      </c>
    </row>
    <row r="553" spans="1:4" x14ac:dyDescent="0.25">
      <c r="A553" s="16" t="s">
        <v>1164</v>
      </c>
      <c r="B553" s="16" t="s">
        <v>13</v>
      </c>
      <c r="C553" s="16" t="s">
        <v>134</v>
      </c>
      <c r="D553" s="16">
        <v>2</v>
      </c>
    </row>
    <row r="554" spans="1:4" x14ac:dyDescent="0.25">
      <c r="A554" s="16" t="s">
        <v>1167</v>
      </c>
      <c r="B554" s="16" t="s">
        <v>13</v>
      </c>
      <c r="C554" s="16" t="s">
        <v>190</v>
      </c>
      <c r="D554" s="16">
        <v>2</v>
      </c>
    </row>
    <row r="555" spans="1:4" x14ac:dyDescent="0.25">
      <c r="A555" s="16" t="s">
        <v>1169</v>
      </c>
      <c r="B555" s="16" t="s">
        <v>13</v>
      </c>
      <c r="C555" s="16" t="s">
        <v>112</v>
      </c>
      <c r="D555" s="16">
        <v>2</v>
      </c>
    </row>
    <row r="556" spans="1:4" x14ac:dyDescent="0.25">
      <c r="A556" s="16" t="s">
        <v>1169</v>
      </c>
      <c r="B556" s="16" t="s">
        <v>13</v>
      </c>
      <c r="C556" s="16" t="s">
        <v>127</v>
      </c>
      <c r="D556" s="16">
        <v>1</v>
      </c>
    </row>
    <row r="557" spans="1:4" x14ac:dyDescent="0.25">
      <c r="A557" s="16" t="s">
        <v>1172</v>
      </c>
      <c r="B557" s="16" t="s">
        <v>13</v>
      </c>
      <c r="C557" s="16" t="s">
        <v>180</v>
      </c>
      <c r="D557" s="16">
        <v>3</v>
      </c>
    </row>
    <row r="558" spans="1:4" x14ac:dyDescent="0.25">
      <c r="A558" s="16" t="s">
        <v>1172</v>
      </c>
      <c r="B558" s="16" t="s">
        <v>13</v>
      </c>
      <c r="C558" s="16" t="s">
        <v>69</v>
      </c>
      <c r="D558" s="16">
        <v>1</v>
      </c>
    </row>
    <row r="559" spans="1:4" x14ac:dyDescent="0.25">
      <c r="A559" s="16" t="s">
        <v>1175</v>
      </c>
      <c r="B559" s="16" t="s">
        <v>13</v>
      </c>
      <c r="C559" s="16" t="s">
        <v>104</v>
      </c>
      <c r="D559" s="16">
        <v>1</v>
      </c>
    </row>
    <row r="560" spans="1:4" x14ac:dyDescent="0.25">
      <c r="A560" s="16" t="s">
        <v>1175</v>
      </c>
      <c r="B560" s="16" t="s">
        <v>13</v>
      </c>
      <c r="C560" s="16" t="s">
        <v>90</v>
      </c>
      <c r="D560" s="16">
        <v>2</v>
      </c>
    </row>
    <row r="561" spans="1:4" x14ac:dyDescent="0.25">
      <c r="A561" s="16" t="s">
        <v>1175</v>
      </c>
      <c r="B561" s="16" t="s">
        <v>13</v>
      </c>
      <c r="C561" s="16" t="s">
        <v>178</v>
      </c>
      <c r="D561" s="16">
        <v>1</v>
      </c>
    </row>
    <row r="562" spans="1:4" x14ac:dyDescent="0.25">
      <c r="A562" s="16" t="s">
        <v>1178</v>
      </c>
      <c r="B562" s="16" t="s">
        <v>13</v>
      </c>
      <c r="C562" s="16" t="s">
        <v>112</v>
      </c>
      <c r="D562" s="16">
        <v>1</v>
      </c>
    </row>
    <row r="563" spans="1:4" x14ac:dyDescent="0.25">
      <c r="A563" s="16" t="s">
        <v>1178</v>
      </c>
      <c r="B563" s="16" t="s">
        <v>13</v>
      </c>
      <c r="C563" s="16" t="s">
        <v>169</v>
      </c>
      <c r="D563" s="16">
        <v>1</v>
      </c>
    </row>
    <row r="564" spans="1:4" x14ac:dyDescent="0.25">
      <c r="A564" s="16" t="s">
        <v>1181</v>
      </c>
      <c r="B564" s="16" t="s">
        <v>13</v>
      </c>
      <c r="C564" s="16" t="s">
        <v>155</v>
      </c>
      <c r="D564" s="16">
        <v>2</v>
      </c>
    </row>
    <row r="565" spans="1:4" x14ac:dyDescent="0.25">
      <c r="A565" s="16" t="s">
        <v>1181</v>
      </c>
      <c r="B565" s="16" t="s">
        <v>13</v>
      </c>
      <c r="C565" s="16" t="s">
        <v>125</v>
      </c>
      <c r="D565" s="16">
        <v>1</v>
      </c>
    </row>
    <row r="566" spans="1:4" x14ac:dyDescent="0.25">
      <c r="A566" s="16" t="s">
        <v>1184</v>
      </c>
      <c r="B566" s="16" t="s">
        <v>13</v>
      </c>
      <c r="C566" s="16" t="s">
        <v>92</v>
      </c>
      <c r="D566" s="16">
        <v>2</v>
      </c>
    </row>
    <row r="567" spans="1:4" x14ac:dyDescent="0.25">
      <c r="A567" s="16" t="s">
        <v>1186</v>
      </c>
      <c r="B567" s="16" t="s">
        <v>13</v>
      </c>
      <c r="C567" s="16" t="s">
        <v>69</v>
      </c>
      <c r="D567" s="16">
        <v>1</v>
      </c>
    </row>
    <row r="568" spans="1:4" x14ac:dyDescent="0.25">
      <c r="A568" s="16" t="s">
        <v>1186</v>
      </c>
      <c r="B568" s="16" t="s">
        <v>13</v>
      </c>
      <c r="C568" s="16" t="s">
        <v>165</v>
      </c>
      <c r="D568" s="16">
        <v>2</v>
      </c>
    </row>
    <row r="569" spans="1:4" x14ac:dyDescent="0.25">
      <c r="A569" s="16" t="s">
        <v>1186</v>
      </c>
      <c r="B569" s="16" t="s">
        <v>13</v>
      </c>
      <c r="C569" s="16" t="s">
        <v>126</v>
      </c>
      <c r="D569" s="16">
        <v>1</v>
      </c>
    </row>
    <row r="570" spans="1:4" x14ac:dyDescent="0.25">
      <c r="A570" s="16" t="s">
        <v>1189</v>
      </c>
      <c r="B570" s="16" t="s">
        <v>13</v>
      </c>
      <c r="C570" s="16" t="s">
        <v>123</v>
      </c>
      <c r="D570" s="16">
        <v>2</v>
      </c>
    </row>
    <row r="571" spans="1:4" x14ac:dyDescent="0.25">
      <c r="A571" s="16" t="s">
        <v>1191</v>
      </c>
      <c r="B571" s="16" t="s">
        <v>13</v>
      </c>
      <c r="C571" s="16" t="s">
        <v>149</v>
      </c>
      <c r="D571" s="16">
        <v>1</v>
      </c>
    </row>
    <row r="572" spans="1:4" x14ac:dyDescent="0.25">
      <c r="A572" s="16" t="s">
        <v>1191</v>
      </c>
      <c r="B572" s="16" t="s">
        <v>13</v>
      </c>
      <c r="C572" s="16" t="s">
        <v>142</v>
      </c>
      <c r="D572" s="16">
        <v>1</v>
      </c>
    </row>
    <row r="573" spans="1:4" x14ac:dyDescent="0.25">
      <c r="A573" s="16" t="s">
        <v>1194</v>
      </c>
      <c r="B573" s="16" t="s">
        <v>13</v>
      </c>
      <c r="C573" s="16" t="s">
        <v>124</v>
      </c>
      <c r="D573" s="16">
        <v>1</v>
      </c>
    </row>
    <row r="574" spans="1:4" x14ac:dyDescent="0.25">
      <c r="A574" s="16" t="s">
        <v>1194</v>
      </c>
      <c r="B574" s="16" t="s">
        <v>13</v>
      </c>
      <c r="C574" s="16" t="s">
        <v>157</v>
      </c>
      <c r="D574" s="16">
        <v>2</v>
      </c>
    </row>
    <row r="575" spans="1:4" x14ac:dyDescent="0.25">
      <c r="A575" s="16" t="s">
        <v>1197</v>
      </c>
      <c r="B575" s="16" t="s">
        <v>13</v>
      </c>
      <c r="C575" s="16" t="s">
        <v>193</v>
      </c>
      <c r="D575" s="16">
        <v>3</v>
      </c>
    </row>
    <row r="576" spans="1:4" x14ac:dyDescent="0.25">
      <c r="A576" s="16" t="s">
        <v>1200</v>
      </c>
      <c r="B576" s="16" t="s">
        <v>13</v>
      </c>
      <c r="C576" s="16" t="s">
        <v>175</v>
      </c>
      <c r="D576" s="16">
        <v>1</v>
      </c>
    </row>
    <row r="577" spans="1:4" x14ac:dyDescent="0.25">
      <c r="A577" s="16" t="s">
        <v>1200</v>
      </c>
      <c r="B577" s="16" t="s">
        <v>13</v>
      </c>
      <c r="C577" s="16" t="s">
        <v>162</v>
      </c>
      <c r="D577" s="16">
        <v>1</v>
      </c>
    </row>
    <row r="578" spans="1:4" x14ac:dyDescent="0.25">
      <c r="A578" s="16" t="s">
        <v>1203</v>
      </c>
      <c r="B578" s="16" t="s">
        <v>13</v>
      </c>
      <c r="C578" s="16" t="s">
        <v>84</v>
      </c>
      <c r="D578" s="16">
        <v>1</v>
      </c>
    </row>
    <row r="579" spans="1:4" x14ac:dyDescent="0.25">
      <c r="A579" s="16" t="s">
        <v>1203</v>
      </c>
      <c r="B579" s="16" t="s">
        <v>13</v>
      </c>
      <c r="C579" s="16" t="s">
        <v>74</v>
      </c>
      <c r="D579" s="16">
        <v>2</v>
      </c>
    </row>
    <row r="580" spans="1:4" x14ac:dyDescent="0.25">
      <c r="A580" s="16" t="s">
        <v>1206</v>
      </c>
      <c r="B580" s="16" t="s">
        <v>13</v>
      </c>
      <c r="C580" s="16" t="s">
        <v>151</v>
      </c>
      <c r="D580" s="16">
        <v>2</v>
      </c>
    </row>
    <row r="581" spans="1:4" x14ac:dyDescent="0.25">
      <c r="A581" s="16" t="s">
        <v>1206</v>
      </c>
      <c r="B581" s="16" t="s">
        <v>13</v>
      </c>
      <c r="C581" s="16" t="s">
        <v>131</v>
      </c>
      <c r="D581" s="16">
        <v>1</v>
      </c>
    </row>
    <row r="582" spans="1:4" x14ac:dyDescent="0.25">
      <c r="A582" s="16" t="s">
        <v>1209</v>
      </c>
      <c r="B582" s="16" t="s">
        <v>13</v>
      </c>
      <c r="C582" s="16" t="s">
        <v>139</v>
      </c>
      <c r="D582" s="16">
        <v>1</v>
      </c>
    </row>
    <row r="583" spans="1:4" x14ac:dyDescent="0.25">
      <c r="A583" s="16" t="s">
        <v>1209</v>
      </c>
      <c r="B583" s="16" t="s">
        <v>13</v>
      </c>
      <c r="C583" s="16" t="s">
        <v>114</v>
      </c>
      <c r="D583" s="16">
        <v>1</v>
      </c>
    </row>
    <row r="584" spans="1:4" x14ac:dyDescent="0.25">
      <c r="A584" s="16" t="s">
        <v>1209</v>
      </c>
      <c r="B584" s="16" t="s">
        <v>13</v>
      </c>
      <c r="C584" s="16" t="s">
        <v>85</v>
      </c>
      <c r="D584" s="16">
        <v>1</v>
      </c>
    </row>
    <row r="585" spans="1:4" x14ac:dyDescent="0.25">
      <c r="A585" s="16" t="s">
        <v>1212</v>
      </c>
      <c r="B585" s="16" t="s">
        <v>13</v>
      </c>
      <c r="C585" s="16" t="s">
        <v>159</v>
      </c>
      <c r="D585" s="16">
        <v>2</v>
      </c>
    </row>
    <row r="586" spans="1:4" x14ac:dyDescent="0.25">
      <c r="A586" s="16" t="s">
        <v>1215</v>
      </c>
      <c r="B586" s="16" t="s">
        <v>13</v>
      </c>
      <c r="C586" s="16" t="s">
        <v>69</v>
      </c>
      <c r="D586" s="16">
        <v>1</v>
      </c>
    </row>
    <row r="587" spans="1:4" x14ac:dyDescent="0.25">
      <c r="A587" s="16" t="s">
        <v>1215</v>
      </c>
      <c r="B587" s="16" t="s">
        <v>13</v>
      </c>
      <c r="C587" s="16" t="s">
        <v>83</v>
      </c>
      <c r="D587" s="16">
        <v>2</v>
      </c>
    </row>
    <row r="588" spans="1:4" x14ac:dyDescent="0.25">
      <c r="A588" s="16" t="s">
        <v>1218</v>
      </c>
      <c r="B588" s="16" t="s">
        <v>13</v>
      </c>
      <c r="C588" s="16" t="s">
        <v>155</v>
      </c>
      <c r="D588" s="16">
        <v>1</v>
      </c>
    </row>
    <row r="589" spans="1:4" x14ac:dyDescent="0.25">
      <c r="A589" s="16" t="s">
        <v>1218</v>
      </c>
      <c r="B589" s="16" t="s">
        <v>13</v>
      </c>
      <c r="C589" s="16" t="s">
        <v>157</v>
      </c>
      <c r="D589" s="16">
        <v>1</v>
      </c>
    </row>
    <row r="590" spans="1:4" x14ac:dyDescent="0.25">
      <c r="A590" s="16" t="s">
        <v>1218</v>
      </c>
      <c r="B590" s="16" t="s">
        <v>13</v>
      </c>
      <c r="C590" s="16" t="s">
        <v>136</v>
      </c>
      <c r="D590" s="16">
        <v>1</v>
      </c>
    </row>
    <row r="591" spans="1:4" x14ac:dyDescent="0.25">
      <c r="A591" s="16" t="s">
        <v>1221</v>
      </c>
      <c r="B591" s="16" t="s">
        <v>13</v>
      </c>
      <c r="C591" s="16" t="s">
        <v>106</v>
      </c>
      <c r="D591" s="16">
        <v>2</v>
      </c>
    </row>
    <row r="592" spans="1:4" x14ac:dyDescent="0.25">
      <c r="A592" s="16" t="s">
        <v>1223</v>
      </c>
      <c r="B592" s="16" t="s">
        <v>13</v>
      </c>
      <c r="C592" s="16" t="s">
        <v>119</v>
      </c>
      <c r="D592" s="16">
        <v>1</v>
      </c>
    </row>
    <row r="593" spans="1:4" x14ac:dyDescent="0.25">
      <c r="A593" s="16" t="s">
        <v>1223</v>
      </c>
      <c r="B593" s="16" t="s">
        <v>13</v>
      </c>
      <c r="C593" s="16" t="s">
        <v>149</v>
      </c>
      <c r="D593" s="16">
        <v>2</v>
      </c>
    </row>
    <row r="594" spans="1:4" x14ac:dyDescent="0.25">
      <c r="A594" s="16" t="s">
        <v>1226</v>
      </c>
      <c r="B594" s="16" t="s">
        <v>13</v>
      </c>
      <c r="C594" s="16" t="s">
        <v>192</v>
      </c>
      <c r="D594" s="16">
        <v>1</v>
      </c>
    </row>
    <row r="595" spans="1:4" x14ac:dyDescent="0.25">
      <c r="A595" s="16" t="s">
        <v>1226</v>
      </c>
      <c r="B595" s="16" t="s">
        <v>13</v>
      </c>
      <c r="C595" s="16" t="s">
        <v>150</v>
      </c>
      <c r="D595" s="16">
        <v>1</v>
      </c>
    </row>
    <row r="596" spans="1:4" x14ac:dyDescent="0.25">
      <c r="A596" s="16" t="s">
        <v>1229</v>
      </c>
      <c r="B596" s="16" t="s">
        <v>13</v>
      </c>
      <c r="C596" s="16" t="s">
        <v>72</v>
      </c>
      <c r="D596" s="16">
        <v>3</v>
      </c>
    </row>
    <row r="597" spans="1:4" x14ac:dyDescent="0.25">
      <c r="A597" s="16" t="s">
        <v>1231</v>
      </c>
      <c r="B597" s="16" t="s">
        <v>13</v>
      </c>
      <c r="C597" s="16" t="s">
        <v>172</v>
      </c>
      <c r="D597" s="16">
        <v>2</v>
      </c>
    </row>
    <row r="598" spans="1:4" x14ac:dyDescent="0.25">
      <c r="A598" s="16" t="s">
        <v>1231</v>
      </c>
      <c r="B598" s="16" t="s">
        <v>13</v>
      </c>
      <c r="C598" s="16" t="s">
        <v>100</v>
      </c>
      <c r="D598" s="16">
        <v>1</v>
      </c>
    </row>
    <row r="599" spans="1:4" x14ac:dyDescent="0.25">
      <c r="A599" s="16" t="s">
        <v>1234</v>
      </c>
      <c r="B599" s="16" t="s">
        <v>13</v>
      </c>
      <c r="C599" s="16" t="s">
        <v>109</v>
      </c>
      <c r="D599" s="16">
        <v>1</v>
      </c>
    </row>
    <row r="600" spans="1:4" x14ac:dyDescent="0.25">
      <c r="A600" s="16" t="s">
        <v>1234</v>
      </c>
      <c r="B600" s="16" t="s">
        <v>13</v>
      </c>
      <c r="C600" s="16" t="s">
        <v>157</v>
      </c>
      <c r="D600" s="16">
        <v>2</v>
      </c>
    </row>
    <row r="601" spans="1:4" x14ac:dyDescent="0.25">
      <c r="A601" s="16" t="s">
        <v>1237</v>
      </c>
      <c r="B601" s="16" t="s">
        <v>13</v>
      </c>
      <c r="C601" s="16" t="s">
        <v>110</v>
      </c>
      <c r="D601" s="16">
        <v>3</v>
      </c>
    </row>
    <row r="602" spans="1:4" x14ac:dyDescent="0.25">
      <c r="A602" s="16" t="s">
        <v>1237</v>
      </c>
      <c r="B602" s="16" t="s">
        <v>13</v>
      </c>
      <c r="C602" s="16" t="s">
        <v>192</v>
      </c>
      <c r="D602" s="16">
        <v>1</v>
      </c>
    </row>
    <row r="603" spans="1:4" x14ac:dyDescent="0.25">
      <c r="A603" s="16" t="s">
        <v>1240</v>
      </c>
      <c r="B603" s="16" t="s">
        <v>13</v>
      </c>
      <c r="C603" s="16" t="s">
        <v>119</v>
      </c>
      <c r="D603" s="16">
        <v>2</v>
      </c>
    </row>
    <row r="604" spans="1:4" x14ac:dyDescent="0.25">
      <c r="A604" s="16" t="s">
        <v>1243</v>
      </c>
      <c r="B604" s="16" t="s">
        <v>13</v>
      </c>
      <c r="C604" s="16" t="s">
        <v>139</v>
      </c>
      <c r="D604" s="16">
        <v>1</v>
      </c>
    </row>
    <row r="605" spans="1:4" x14ac:dyDescent="0.25">
      <c r="A605" s="16" t="s">
        <v>1243</v>
      </c>
      <c r="B605" s="16" t="s">
        <v>13</v>
      </c>
      <c r="C605" s="16" t="s">
        <v>130</v>
      </c>
      <c r="D605" s="16">
        <v>1</v>
      </c>
    </row>
    <row r="606" spans="1:4" x14ac:dyDescent="0.25">
      <c r="A606" s="16" t="s">
        <v>1243</v>
      </c>
      <c r="B606" s="16" t="s">
        <v>13</v>
      </c>
      <c r="C606" s="16" t="s">
        <v>73</v>
      </c>
      <c r="D606" s="16">
        <v>1</v>
      </c>
    </row>
    <row r="607" spans="1:4" x14ac:dyDescent="0.25">
      <c r="A607" s="16" t="s">
        <v>1246</v>
      </c>
      <c r="B607" s="16" t="s">
        <v>13</v>
      </c>
      <c r="C607" s="16" t="s">
        <v>138</v>
      </c>
      <c r="D607" s="16">
        <v>2</v>
      </c>
    </row>
    <row r="608" spans="1:4" x14ac:dyDescent="0.25">
      <c r="A608" s="16" t="s">
        <v>1246</v>
      </c>
      <c r="B608" s="16" t="s">
        <v>13</v>
      </c>
      <c r="C608" s="16" t="s">
        <v>59</v>
      </c>
      <c r="D608" s="16">
        <v>1</v>
      </c>
    </row>
    <row r="609" spans="1:4" x14ac:dyDescent="0.25">
      <c r="A609" s="16" t="s">
        <v>1249</v>
      </c>
      <c r="B609" s="16" t="s">
        <v>13</v>
      </c>
      <c r="C609" s="16" t="s">
        <v>155</v>
      </c>
      <c r="D609" s="16">
        <v>1</v>
      </c>
    </row>
    <row r="610" spans="1:4" x14ac:dyDescent="0.25">
      <c r="A610" s="16" t="s">
        <v>1249</v>
      </c>
      <c r="B610" s="16" t="s">
        <v>13</v>
      </c>
      <c r="C610" s="16" t="s">
        <v>157</v>
      </c>
      <c r="D610" s="16">
        <v>1</v>
      </c>
    </row>
    <row r="611" spans="1:4" x14ac:dyDescent="0.25">
      <c r="A611" s="16" t="s">
        <v>1249</v>
      </c>
      <c r="B611" s="16" t="s">
        <v>13</v>
      </c>
      <c r="C611" s="16" t="s">
        <v>184</v>
      </c>
      <c r="D611" s="16">
        <v>1</v>
      </c>
    </row>
    <row r="612" spans="1:4" x14ac:dyDescent="0.25">
      <c r="A612" s="16" t="s">
        <v>1252</v>
      </c>
      <c r="B612" s="16" t="s">
        <v>13</v>
      </c>
      <c r="C612" s="16" t="s">
        <v>192</v>
      </c>
      <c r="D612" s="16">
        <v>1</v>
      </c>
    </row>
    <row r="613" spans="1:4" x14ac:dyDescent="0.25">
      <c r="A613" s="16" t="s">
        <v>1252</v>
      </c>
      <c r="B613" s="16" t="s">
        <v>13</v>
      </c>
      <c r="C613" s="16" t="s">
        <v>91</v>
      </c>
      <c r="D613" s="16">
        <v>1</v>
      </c>
    </row>
    <row r="614" spans="1:4" x14ac:dyDescent="0.25">
      <c r="A614" s="16" t="s">
        <v>1255</v>
      </c>
      <c r="B614" s="16" t="s">
        <v>13</v>
      </c>
      <c r="C614" s="16" t="s">
        <v>170</v>
      </c>
      <c r="D614" s="16">
        <v>1</v>
      </c>
    </row>
    <row r="615" spans="1:4" x14ac:dyDescent="0.25">
      <c r="A615" s="16" t="s">
        <v>1255</v>
      </c>
      <c r="B615" s="16" t="s">
        <v>13</v>
      </c>
      <c r="C615" s="16" t="s">
        <v>75</v>
      </c>
      <c r="D615" s="16">
        <v>1</v>
      </c>
    </row>
    <row r="616" spans="1:4" x14ac:dyDescent="0.25">
      <c r="A616" s="16" t="s">
        <v>1258</v>
      </c>
      <c r="B616" s="16" t="s">
        <v>13</v>
      </c>
      <c r="C616" s="16" t="s">
        <v>175</v>
      </c>
      <c r="D616" s="16">
        <v>2</v>
      </c>
    </row>
    <row r="617" spans="1:4" x14ac:dyDescent="0.25">
      <c r="A617" s="16" t="s">
        <v>1260</v>
      </c>
      <c r="B617" s="16" t="s">
        <v>13</v>
      </c>
      <c r="C617" s="16" t="s">
        <v>103</v>
      </c>
      <c r="D617" s="16">
        <v>3</v>
      </c>
    </row>
    <row r="618" spans="1:4" x14ac:dyDescent="0.25">
      <c r="A618" s="16" t="s">
        <v>1263</v>
      </c>
      <c r="B618" s="16" t="s">
        <v>13</v>
      </c>
      <c r="C618" s="16" t="s">
        <v>67</v>
      </c>
      <c r="D618" s="16">
        <v>2</v>
      </c>
    </row>
    <row r="619" spans="1:4" x14ac:dyDescent="0.25">
      <c r="A619" s="16" t="s">
        <v>1263</v>
      </c>
      <c r="B619" s="16" t="s">
        <v>13</v>
      </c>
      <c r="C619" s="16" t="s">
        <v>135</v>
      </c>
      <c r="D619" s="16">
        <v>1</v>
      </c>
    </row>
    <row r="620" spans="1:4" x14ac:dyDescent="0.25">
      <c r="A620" s="16" t="s">
        <v>1266</v>
      </c>
      <c r="B620" s="16" t="s">
        <v>13</v>
      </c>
      <c r="C620" s="16" t="s">
        <v>144</v>
      </c>
      <c r="D620" s="16">
        <v>2</v>
      </c>
    </row>
    <row r="621" spans="1:4" x14ac:dyDescent="0.25">
      <c r="A621" s="16" t="s">
        <v>1266</v>
      </c>
      <c r="B621" s="16" t="s">
        <v>13</v>
      </c>
      <c r="C621" s="16" t="s">
        <v>130</v>
      </c>
      <c r="D621" s="16">
        <v>1</v>
      </c>
    </row>
    <row r="622" spans="1:4" x14ac:dyDescent="0.25">
      <c r="A622" s="16" t="s">
        <v>1269</v>
      </c>
      <c r="B622" s="16" t="s">
        <v>13</v>
      </c>
      <c r="C622" s="16" t="s">
        <v>113</v>
      </c>
      <c r="D622" s="16">
        <v>2</v>
      </c>
    </row>
    <row r="623" spans="1:4" x14ac:dyDescent="0.25">
      <c r="A623" s="16" t="s">
        <v>1272</v>
      </c>
      <c r="B623" s="16" t="s">
        <v>13</v>
      </c>
      <c r="C623" s="16" t="s">
        <v>117</v>
      </c>
      <c r="D623" s="16">
        <v>2</v>
      </c>
    </row>
    <row r="624" spans="1:4" x14ac:dyDescent="0.25">
      <c r="A624" s="16" t="s">
        <v>1272</v>
      </c>
      <c r="B624" s="16" t="s">
        <v>13</v>
      </c>
      <c r="C624" s="16" t="s">
        <v>128</v>
      </c>
      <c r="D624" s="16">
        <v>1</v>
      </c>
    </row>
    <row r="625" spans="1:4" x14ac:dyDescent="0.25">
      <c r="A625" s="16" t="s">
        <v>1275</v>
      </c>
      <c r="B625" s="16" t="s">
        <v>13</v>
      </c>
      <c r="C625" s="16" t="s">
        <v>148</v>
      </c>
      <c r="D625" s="16">
        <v>2</v>
      </c>
    </row>
    <row r="626" spans="1:4" x14ac:dyDescent="0.25">
      <c r="A626" s="16" t="s">
        <v>1275</v>
      </c>
      <c r="B626" s="16" t="s">
        <v>13</v>
      </c>
      <c r="C626" s="16" t="s">
        <v>61</v>
      </c>
      <c r="D626" s="16">
        <v>1</v>
      </c>
    </row>
    <row r="627" spans="1:4" x14ac:dyDescent="0.25">
      <c r="A627" s="16" t="s">
        <v>1278</v>
      </c>
      <c r="B627" s="16" t="s">
        <v>13</v>
      </c>
      <c r="C627" s="16" t="s">
        <v>142</v>
      </c>
      <c r="D627" s="16">
        <v>3</v>
      </c>
    </row>
    <row r="628" spans="1:4" x14ac:dyDescent="0.25">
      <c r="A628" s="16" t="s">
        <v>1280</v>
      </c>
      <c r="B628" s="16" t="s">
        <v>13</v>
      </c>
      <c r="C628" s="16" t="s">
        <v>108</v>
      </c>
      <c r="D628" s="16">
        <v>2</v>
      </c>
    </row>
    <row r="629" spans="1:4" x14ac:dyDescent="0.25">
      <c r="A629" s="16" t="s">
        <v>1283</v>
      </c>
      <c r="B629" s="16" t="s">
        <v>13</v>
      </c>
      <c r="C629" s="16" t="s">
        <v>179</v>
      </c>
      <c r="D629" s="16">
        <v>1</v>
      </c>
    </row>
    <row r="630" spans="1:4" x14ac:dyDescent="0.25">
      <c r="A630" s="16" t="s">
        <v>1283</v>
      </c>
      <c r="B630" s="16" t="s">
        <v>13</v>
      </c>
      <c r="C630" s="16" t="s">
        <v>84</v>
      </c>
      <c r="D630" s="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6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1288</v>
      </c>
    </row>
    <row r="2" spans="1:6" x14ac:dyDescent="0.25">
      <c r="A2" s="16" t="s">
        <v>208</v>
      </c>
      <c r="B2" s="16" t="s">
        <v>484</v>
      </c>
      <c r="C2" s="16" t="s">
        <v>691</v>
      </c>
      <c r="D2" s="16" t="s">
        <v>892</v>
      </c>
      <c r="E2" s="16" t="s">
        <v>1089</v>
      </c>
      <c r="F2" s="16" t="s">
        <v>1289</v>
      </c>
    </row>
    <row r="3" spans="1:6" x14ac:dyDescent="0.25">
      <c r="A3" s="16" t="s">
        <v>212</v>
      </c>
      <c r="B3" s="16" t="s">
        <v>487</v>
      </c>
      <c r="C3" s="16" t="s">
        <v>694</v>
      </c>
      <c r="D3" s="16" t="s">
        <v>895</v>
      </c>
      <c r="E3" s="16" t="s">
        <v>1091</v>
      </c>
      <c r="F3" s="16" t="s">
        <v>59</v>
      </c>
    </row>
    <row r="4" spans="1:6" x14ac:dyDescent="0.25">
      <c r="A4" s="16" t="s">
        <v>216</v>
      </c>
      <c r="B4" s="16" t="s">
        <v>490</v>
      </c>
      <c r="C4" s="16" t="s">
        <v>697</v>
      </c>
      <c r="D4" s="16" t="s">
        <v>898</v>
      </c>
      <c r="E4" s="16" t="s">
        <v>1094</v>
      </c>
      <c r="F4" s="16" t="s">
        <v>61</v>
      </c>
    </row>
    <row r="5" spans="1:6" x14ac:dyDescent="0.25">
      <c r="A5" s="16" t="s">
        <v>220</v>
      </c>
      <c r="B5" s="16" t="s">
        <v>493</v>
      </c>
      <c r="C5" s="16" t="s">
        <v>700</v>
      </c>
      <c r="D5" s="16" t="s">
        <v>901</v>
      </c>
      <c r="E5" s="16" t="s">
        <v>1097</v>
      </c>
      <c r="F5" s="16" t="s">
        <v>62</v>
      </c>
    </row>
    <row r="6" spans="1:6" x14ac:dyDescent="0.25">
      <c r="A6" s="16" t="s">
        <v>224</v>
      </c>
      <c r="B6" s="16" t="s">
        <v>496</v>
      </c>
      <c r="C6" s="16" t="s">
        <v>703</v>
      </c>
      <c r="D6" s="16" t="s">
        <v>904</v>
      </c>
      <c r="E6" s="16" t="s">
        <v>1100</v>
      </c>
      <c r="F6" s="16" t="s">
        <v>64</v>
      </c>
    </row>
    <row r="7" spans="1:6" x14ac:dyDescent="0.25">
      <c r="A7" s="16" t="s">
        <v>228</v>
      </c>
      <c r="B7" s="16" t="s">
        <v>499</v>
      </c>
      <c r="C7" s="16" t="s">
        <v>706</v>
      </c>
      <c r="D7" s="16" t="s">
        <v>906</v>
      </c>
      <c r="E7" s="16" t="s">
        <v>1103</v>
      </c>
      <c r="F7" s="16" t="s">
        <v>65</v>
      </c>
    </row>
    <row r="8" spans="1:6" x14ac:dyDescent="0.25">
      <c r="A8" s="16" t="s">
        <v>232</v>
      </c>
      <c r="B8" s="16" t="s">
        <v>502</v>
      </c>
      <c r="C8" s="16" t="s">
        <v>709</v>
      </c>
      <c r="D8" s="16" t="s">
        <v>909</v>
      </c>
      <c r="E8" s="16" t="s">
        <v>1106</v>
      </c>
      <c r="F8" s="16" t="s">
        <v>66</v>
      </c>
    </row>
    <row r="9" spans="1:6" x14ac:dyDescent="0.25">
      <c r="A9" s="16" t="s">
        <v>236</v>
      </c>
      <c r="B9" s="16" t="s">
        <v>505</v>
      </c>
      <c r="C9" s="16" t="s">
        <v>712</v>
      </c>
      <c r="D9" s="16" t="s">
        <v>911</v>
      </c>
      <c r="E9" s="16" t="s">
        <v>1109</v>
      </c>
      <c r="F9" s="16" t="s">
        <v>67</v>
      </c>
    </row>
    <row r="10" spans="1:6" x14ac:dyDescent="0.25">
      <c r="A10" s="16" t="s">
        <v>240</v>
      </c>
      <c r="B10" s="16" t="s">
        <v>508</v>
      </c>
      <c r="C10" s="16" t="s">
        <v>715</v>
      </c>
      <c r="D10" s="16" t="s">
        <v>914</v>
      </c>
      <c r="E10" s="16" t="s">
        <v>1112</v>
      </c>
      <c r="F10" s="16" t="s">
        <v>68</v>
      </c>
    </row>
    <row r="11" spans="1:6" x14ac:dyDescent="0.25">
      <c r="A11" s="16" t="s">
        <v>244</v>
      </c>
      <c r="B11" s="16" t="s">
        <v>511</v>
      </c>
      <c r="C11" s="16" t="s">
        <v>718</v>
      </c>
      <c r="D11" s="16" t="s">
        <v>917</v>
      </c>
      <c r="E11" s="16" t="s">
        <v>1115</v>
      </c>
      <c r="F11" s="16" t="s">
        <v>69</v>
      </c>
    </row>
    <row r="12" spans="1:6" x14ac:dyDescent="0.25">
      <c r="A12" s="16" t="s">
        <v>248</v>
      </c>
      <c r="B12" s="16" t="s">
        <v>514</v>
      </c>
      <c r="C12" s="16" t="s">
        <v>720</v>
      </c>
      <c r="D12" s="16" t="s">
        <v>920</v>
      </c>
      <c r="E12" s="16" t="s">
        <v>1118</v>
      </c>
      <c r="F12" s="16" t="s">
        <v>71</v>
      </c>
    </row>
    <row r="13" spans="1:6" x14ac:dyDescent="0.25">
      <c r="A13" s="16" t="s">
        <v>252</v>
      </c>
      <c r="B13" s="16" t="s">
        <v>517</v>
      </c>
      <c r="C13" s="16" t="s">
        <v>723</v>
      </c>
      <c r="D13" s="16" t="s">
        <v>922</v>
      </c>
      <c r="E13" s="16" t="s">
        <v>1121</v>
      </c>
      <c r="F13" s="16" t="s">
        <v>72</v>
      </c>
    </row>
    <row r="14" spans="1:6" x14ac:dyDescent="0.25">
      <c r="A14" s="16" t="s">
        <v>256</v>
      </c>
      <c r="B14" s="16" t="s">
        <v>520</v>
      </c>
      <c r="C14" s="16" t="s">
        <v>725</v>
      </c>
      <c r="D14" s="16" t="s">
        <v>924</v>
      </c>
      <c r="E14" s="16" t="s">
        <v>1124</v>
      </c>
      <c r="F14" s="16" t="s">
        <v>73</v>
      </c>
    </row>
    <row r="15" spans="1:6" x14ac:dyDescent="0.25">
      <c r="A15" s="16" t="s">
        <v>260</v>
      </c>
      <c r="B15" s="16" t="s">
        <v>523</v>
      </c>
      <c r="C15" s="16" t="s">
        <v>728</v>
      </c>
      <c r="D15" s="16" t="s">
        <v>927</v>
      </c>
      <c r="E15" s="16" t="s">
        <v>1126</v>
      </c>
      <c r="F15" s="16" t="s">
        <v>74</v>
      </c>
    </row>
    <row r="16" spans="1:6" x14ac:dyDescent="0.25">
      <c r="A16" s="16" t="s">
        <v>264</v>
      </c>
      <c r="B16" s="16" t="s">
        <v>526</v>
      </c>
      <c r="C16" s="16" t="s">
        <v>731</v>
      </c>
      <c r="D16" s="16" t="s">
        <v>930</v>
      </c>
      <c r="E16" s="16" t="s">
        <v>1129</v>
      </c>
      <c r="F16" s="16" t="s">
        <v>75</v>
      </c>
    </row>
    <row r="17" spans="1:6" x14ac:dyDescent="0.25">
      <c r="A17" s="16" t="s">
        <v>268</v>
      </c>
      <c r="B17" s="16" t="s">
        <v>529</v>
      </c>
      <c r="C17" s="16" t="s">
        <v>734</v>
      </c>
      <c r="D17" s="16" t="s">
        <v>933</v>
      </c>
      <c r="E17" s="16" t="s">
        <v>1132</v>
      </c>
      <c r="F17" s="16" t="s">
        <v>76</v>
      </c>
    </row>
    <row r="18" spans="1:6" x14ac:dyDescent="0.25">
      <c r="A18" s="16" t="s">
        <v>272</v>
      </c>
      <c r="B18" s="16" t="s">
        <v>532</v>
      </c>
      <c r="C18" s="16" t="s">
        <v>737</v>
      </c>
      <c r="D18" s="16" t="s">
        <v>936</v>
      </c>
      <c r="E18" s="16" t="s">
        <v>1135</v>
      </c>
      <c r="F18" s="16" t="s">
        <v>78</v>
      </c>
    </row>
    <row r="19" spans="1:6" x14ac:dyDescent="0.25">
      <c r="A19" s="16" t="s">
        <v>276</v>
      </c>
      <c r="B19" s="16" t="s">
        <v>535</v>
      </c>
      <c r="C19" s="16" t="s">
        <v>740</v>
      </c>
      <c r="D19" s="16" t="s">
        <v>939</v>
      </c>
      <c r="E19" s="16" t="s">
        <v>1138</v>
      </c>
      <c r="F19" s="16" t="s">
        <v>79</v>
      </c>
    </row>
    <row r="20" spans="1:6" x14ac:dyDescent="0.25">
      <c r="A20" s="16" t="s">
        <v>280</v>
      </c>
      <c r="B20" s="16" t="s">
        <v>538</v>
      </c>
      <c r="C20" s="16" t="s">
        <v>743</v>
      </c>
      <c r="D20" s="16" t="s">
        <v>942</v>
      </c>
      <c r="E20" s="16" t="s">
        <v>1141</v>
      </c>
      <c r="F20" s="16" t="s">
        <v>80</v>
      </c>
    </row>
    <row r="21" spans="1:6" x14ac:dyDescent="0.25">
      <c r="A21" s="16" t="s">
        <v>284</v>
      </c>
      <c r="B21" s="16" t="s">
        <v>541</v>
      </c>
      <c r="C21" s="16" t="s">
        <v>746</v>
      </c>
      <c r="D21" s="16" t="s">
        <v>945</v>
      </c>
      <c r="E21" s="16" t="s">
        <v>1144</v>
      </c>
      <c r="F21" s="16" t="s">
        <v>81</v>
      </c>
    </row>
    <row r="22" spans="1:6" x14ac:dyDescent="0.25">
      <c r="A22" s="16" t="s">
        <v>288</v>
      </c>
      <c r="B22" s="16" t="s">
        <v>544</v>
      </c>
      <c r="C22" s="16" t="s">
        <v>749</v>
      </c>
      <c r="D22" s="16" t="s">
        <v>948</v>
      </c>
      <c r="E22" s="16" t="s">
        <v>1147</v>
      </c>
      <c r="F22" s="16" t="s">
        <v>82</v>
      </c>
    </row>
    <row r="23" spans="1:6" x14ac:dyDescent="0.25">
      <c r="A23" s="16" t="s">
        <v>292</v>
      </c>
      <c r="B23" s="16" t="s">
        <v>547</v>
      </c>
      <c r="C23" s="16" t="s">
        <v>752</v>
      </c>
      <c r="D23" s="16" t="s">
        <v>951</v>
      </c>
      <c r="E23" s="16" t="s">
        <v>1150</v>
      </c>
      <c r="F23" s="16" t="s">
        <v>83</v>
      </c>
    </row>
    <row r="24" spans="1:6" x14ac:dyDescent="0.25">
      <c r="A24" s="16" t="s">
        <v>296</v>
      </c>
      <c r="B24" s="16" t="s">
        <v>550</v>
      </c>
      <c r="C24" s="16" t="s">
        <v>755</v>
      </c>
      <c r="D24" s="16" t="s">
        <v>954</v>
      </c>
      <c r="E24" s="16" t="s">
        <v>1152</v>
      </c>
      <c r="F24" s="16" t="s">
        <v>84</v>
      </c>
    </row>
    <row r="25" spans="1:6" x14ac:dyDescent="0.25">
      <c r="A25" s="16" t="s">
        <v>300</v>
      </c>
      <c r="B25" s="16" t="s">
        <v>553</v>
      </c>
      <c r="C25" s="16" t="s">
        <v>757</v>
      </c>
      <c r="D25" s="16" t="s">
        <v>957</v>
      </c>
      <c r="E25" s="16" t="s">
        <v>1155</v>
      </c>
      <c r="F25" s="16" t="s">
        <v>85</v>
      </c>
    </row>
    <row r="26" spans="1:6" x14ac:dyDescent="0.25">
      <c r="A26" s="16" t="s">
        <v>304</v>
      </c>
      <c r="B26" s="16" t="s">
        <v>556</v>
      </c>
      <c r="C26" s="16" t="s">
        <v>760</v>
      </c>
      <c r="D26" s="16" t="s">
        <v>960</v>
      </c>
      <c r="E26" s="16" t="s">
        <v>1158</v>
      </c>
      <c r="F26" s="16" t="s">
        <v>86</v>
      </c>
    </row>
    <row r="27" spans="1:6" x14ac:dyDescent="0.25">
      <c r="A27" s="16" t="s">
        <v>308</v>
      </c>
      <c r="B27" s="16" t="s">
        <v>559</v>
      </c>
      <c r="C27" s="16" t="s">
        <v>763</v>
      </c>
      <c r="D27" s="16" t="s">
        <v>963</v>
      </c>
      <c r="E27" s="16" t="s">
        <v>1161</v>
      </c>
      <c r="F27" s="16" t="s">
        <v>87</v>
      </c>
    </row>
    <row r="28" spans="1:6" x14ac:dyDescent="0.25">
      <c r="A28" s="16" t="s">
        <v>312</v>
      </c>
      <c r="B28" s="16" t="s">
        <v>562</v>
      </c>
      <c r="C28" s="16" t="s">
        <v>766</v>
      </c>
      <c r="D28" s="16" t="s">
        <v>966</v>
      </c>
      <c r="E28" s="16" t="s">
        <v>1164</v>
      </c>
      <c r="F28" s="16" t="s">
        <v>88</v>
      </c>
    </row>
    <row r="29" spans="1:6" x14ac:dyDescent="0.25">
      <c r="A29" s="16" t="s">
        <v>316</v>
      </c>
      <c r="B29" s="16" t="s">
        <v>565</v>
      </c>
      <c r="C29" s="16" t="s">
        <v>769</v>
      </c>
      <c r="D29" s="16" t="s">
        <v>969</v>
      </c>
      <c r="E29" s="16" t="s">
        <v>1167</v>
      </c>
      <c r="F29" s="16" t="s">
        <v>89</v>
      </c>
    </row>
    <row r="30" spans="1:6" x14ac:dyDescent="0.25">
      <c r="A30" s="16" t="s">
        <v>320</v>
      </c>
      <c r="B30" s="16" t="s">
        <v>568</v>
      </c>
      <c r="C30" s="16" t="s">
        <v>772</v>
      </c>
      <c r="D30" s="16" t="s">
        <v>972</v>
      </c>
      <c r="E30" s="16" t="s">
        <v>1169</v>
      </c>
      <c r="F30" s="16" t="s">
        <v>90</v>
      </c>
    </row>
    <row r="31" spans="1:6" x14ac:dyDescent="0.25">
      <c r="A31" s="16" t="s">
        <v>324</v>
      </c>
      <c r="B31" s="16" t="s">
        <v>571</v>
      </c>
      <c r="C31" s="16" t="s">
        <v>774</v>
      </c>
      <c r="D31" s="16" t="s">
        <v>975</v>
      </c>
      <c r="E31" s="16" t="s">
        <v>1172</v>
      </c>
      <c r="F31" s="16" t="s">
        <v>91</v>
      </c>
    </row>
    <row r="32" spans="1:6" x14ac:dyDescent="0.25">
      <c r="A32" s="16" t="s">
        <v>328</v>
      </c>
      <c r="B32" s="16" t="s">
        <v>574</v>
      </c>
      <c r="C32" s="16" t="s">
        <v>777</v>
      </c>
      <c r="D32" s="16" t="s">
        <v>977</v>
      </c>
      <c r="E32" s="16" t="s">
        <v>1175</v>
      </c>
      <c r="F32" s="16" t="s">
        <v>92</v>
      </c>
    </row>
    <row r="33" spans="1:6" x14ac:dyDescent="0.25">
      <c r="A33" s="16" t="s">
        <v>332</v>
      </c>
      <c r="B33" s="16" t="s">
        <v>577</v>
      </c>
      <c r="C33" s="16" t="s">
        <v>780</v>
      </c>
      <c r="D33" s="16" t="s">
        <v>980</v>
      </c>
      <c r="E33" s="16" t="s">
        <v>1178</v>
      </c>
      <c r="F33" s="16" t="s">
        <v>93</v>
      </c>
    </row>
    <row r="34" spans="1:6" x14ac:dyDescent="0.25">
      <c r="A34" s="16" t="s">
        <v>336</v>
      </c>
      <c r="B34" s="16" t="s">
        <v>580</v>
      </c>
      <c r="C34" s="16" t="s">
        <v>783</v>
      </c>
      <c r="D34" s="16" t="s">
        <v>983</v>
      </c>
      <c r="E34" s="16" t="s">
        <v>1181</v>
      </c>
      <c r="F34" s="16" t="s">
        <v>94</v>
      </c>
    </row>
    <row r="35" spans="1:6" x14ac:dyDescent="0.25">
      <c r="A35" s="16" t="s">
        <v>340</v>
      </c>
      <c r="B35" s="16" t="s">
        <v>583</v>
      </c>
      <c r="C35" s="16" t="s">
        <v>786</v>
      </c>
      <c r="D35" s="16" t="s">
        <v>986</v>
      </c>
      <c r="E35" s="16" t="s">
        <v>1184</v>
      </c>
      <c r="F35" s="16" t="s">
        <v>95</v>
      </c>
    </row>
    <row r="36" spans="1:6" x14ac:dyDescent="0.25">
      <c r="A36" s="16" t="s">
        <v>344</v>
      </c>
      <c r="B36" s="16" t="s">
        <v>586</v>
      </c>
      <c r="C36" s="16" t="s">
        <v>789</v>
      </c>
      <c r="D36" s="16" t="s">
        <v>989</v>
      </c>
      <c r="E36" s="16" t="s">
        <v>1186</v>
      </c>
      <c r="F36" s="16" t="s">
        <v>96</v>
      </c>
    </row>
    <row r="37" spans="1:6" x14ac:dyDescent="0.25">
      <c r="A37" s="16" t="s">
        <v>348</v>
      </c>
      <c r="B37" s="16" t="s">
        <v>589</v>
      </c>
      <c r="C37" s="16" t="s">
        <v>792</v>
      </c>
      <c r="D37" s="16" t="s">
        <v>992</v>
      </c>
      <c r="E37" s="16" t="s">
        <v>1189</v>
      </c>
      <c r="F37" s="16" t="s">
        <v>97</v>
      </c>
    </row>
    <row r="38" spans="1:6" x14ac:dyDescent="0.25">
      <c r="A38" s="16" t="s">
        <v>352</v>
      </c>
      <c r="B38" s="16" t="s">
        <v>592</v>
      </c>
      <c r="C38" s="16" t="s">
        <v>795</v>
      </c>
      <c r="D38" s="16" t="s">
        <v>995</v>
      </c>
      <c r="E38" s="16" t="s">
        <v>1191</v>
      </c>
      <c r="F38" s="16" t="s">
        <v>98</v>
      </c>
    </row>
    <row r="39" spans="1:6" x14ac:dyDescent="0.25">
      <c r="A39" s="16" t="s">
        <v>356</v>
      </c>
      <c r="B39" s="16" t="s">
        <v>595</v>
      </c>
      <c r="C39" s="16" t="s">
        <v>798</v>
      </c>
      <c r="D39" s="16" t="s">
        <v>998</v>
      </c>
      <c r="E39" s="16" t="s">
        <v>1194</v>
      </c>
      <c r="F39" s="16" t="s">
        <v>99</v>
      </c>
    </row>
    <row r="40" spans="1:6" x14ac:dyDescent="0.25">
      <c r="A40" s="16" t="s">
        <v>360</v>
      </c>
      <c r="B40" s="16" t="s">
        <v>598</v>
      </c>
      <c r="C40" s="16" t="s">
        <v>801</v>
      </c>
      <c r="D40" s="16" t="s">
        <v>1001</v>
      </c>
      <c r="E40" s="16" t="s">
        <v>1197</v>
      </c>
      <c r="F40" s="16" t="s">
        <v>100</v>
      </c>
    </row>
    <row r="41" spans="1:6" x14ac:dyDescent="0.25">
      <c r="A41" s="16" t="s">
        <v>364</v>
      </c>
      <c r="B41" s="16" t="s">
        <v>601</v>
      </c>
      <c r="C41" s="16" t="s">
        <v>804</v>
      </c>
      <c r="D41" s="16" t="s">
        <v>1004</v>
      </c>
      <c r="E41" s="16" t="s">
        <v>1200</v>
      </c>
      <c r="F41" s="16" t="s">
        <v>101</v>
      </c>
    </row>
    <row r="42" spans="1:6" x14ac:dyDescent="0.25">
      <c r="A42" s="16" t="s">
        <v>368</v>
      </c>
      <c r="B42" s="16" t="s">
        <v>604</v>
      </c>
      <c r="C42" s="16" t="s">
        <v>807</v>
      </c>
      <c r="D42" s="16" t="s">
        <v>1007</v>
      </c>
      <c r="E42" s="16" t="s">
        <v>1203</v>
      </c>
      <c r="F42" s="16" t="s">
        <v>102</v>
      </c>
    </row>
    <row r="43" spans="1:6" x14ac:dyDescent="0.25">
      <c r="A43" s="16" t="s">
        <v>372</v>
      </c>
      <c r="B43" s="16" t="s">
        <v>607</v>
      </c>
      <c r="C43" s="16" t="s">
        <v>810</v>
      </c>
      <c r="D43" s="16" t="s">
        <v>1009</v>
      </c>
      <c r="E43" s="16" t="s">
        <v>1206</v>
      </c>
      <c r="F43" s="16" t="s">
        <v>103</v>
      </c>
    </row>
    <row r="44" spans="1:6" x14ac:dyDescent="0.25">
      <c r="A44" s="16" t="s">
        <v>376</v>
      </c>
      <c r="B44" s="16" t="s">
        <v>610</v>
      </c>
      <c r="C44" s="16" t="s">
        <v>813</v>
      </c>
      <c r="D44" s="16" t="s">
        <v>1012</v>
      </c>
      <c r="E44" s="16" t="s">
        <v>1209</v>
      </c>
      <c r="F44" s="16" t="s">
        <v>104</v>
      </c>
    </row>
    <row r="45" spans="1:6" x14ac:dyDescent="0.25">
      <c r="A45" s="16" t="s">
        <v>380</v>
      </c>
      <c r="B45" s="16" t="s">
        <v>613</v>
      </c>
      <c r="C45" s="16" t="s">
        <v>816</v>
      </c>
      <c r="D45" s="16" t="s">
        <v>1015</v>
      </c>
      <c r="E45" s="16" t="s">
        <v>1212</v>
      </c>
      <c r="F45" s="16" t="s">
        <v>105</v>
      </c>
    </row>
    <row r="46" spans="1:6" x14ac:dyDescent="0.25">
      <c r="A46" s="16" t="s">
        <v>384</v>
      </c>
      <c r="B46" s="16" t="s">
        <v>616</v>
      </c>
      <c r="C46" s="16" t="s">
        <v>819</v>
      </c>
      <c r="D46" s="16" t="s">
        <v>1018</v>
      </c>
      <c r="E46" s="16" t="s">
        <v>1215</v>
      </c>
      <c r="F46" s="16" t="s">
        <v>106</v>
      </c>
    </row>
    <row r="47" spans="1:6" x14ac:dyDescent="0.25">
      <c r="A47" s="16" t="s">
        <v>388</v>
      </c>
      <c r="B47" s="16" t="s">
        <v>619</v>
      </c>
      <c r="C47" s="16" t="s">
        <v>822</v>
      </c>
      <c r="D47" s="16" t="s">
        <v>1021</v>
      </c>
      <c r="E47" s="16" t="s">
        <v>1218</v>
      </c>
      <c r="F47" s="16" t="s">
        <v>107</v>
      </c>
    </row>
    <row r="48" spans="1:6" x14ac:dyDescent="0.25">
      <c r="A48" s="16" t="s">
        <v>392</v>
      </c>
      <c r="B48" s="16" t="s">
        <v>622</v>
      </c>
      <c r="C48" s="16" t="s">
        <v>825</v>
      </c>
      <c r="D48" s="16" t="s">
        <v>1024</v>
      </c>
      <c r="E48" s="16" t="s">
        <v>1221</v>
      </c>
      <c r="F48" s="16" t="s">
        <v>108</v>
      </c>
    </row>
    <row r="49" spans="1:6" x14ac:dyDescent="0.25">
      <c r="A49" s="16" t="s">
        <v>396</v>
      </c>
      <c r="B49" s="16" t="s">
        <v>625</v>
      </c>
      <c r="C49" s="16" t="s">
        <v>828</v>
      </c>
      <c r="D49" s="16" t="s">
        <v>1027</v>
      </c>
      <c r="E49" s="16" t="s">
        <v>1223</v>
      </c>
      <c r="F49" s="16" t="s">
        <v>109</v>
      </c>
    </row>
    <row r="50" spans="1:6" x14ac:dyDescent="0.25">
      <c r="A50" s="16" t="s">
        <v>400</v>
      </c>
      <c r="B50" s="16" t="s">
        <v>628</v>
      </c>
      <c r="C50" s="16" t="s">
        <v>831</v>
      </c>
      <c r="D50" s="16" t="s">
        <v>1029</v>
      </c>
      <c r="E50" s="16" t="s">
        <v>1226</v>
      </c>
      <c r="F50" s="16" t="s">
        <v>110</v>
      </c>
    </row>
    <row r="51" spans="1:6" x14ac:dyDescent="0.25">
      <c r="A51" s="16" t="s">
        <v>404</v>
      </c>
      <c r="B51" s="16" t="s">
        <v>631</v>
      </c>
      <c r="C51" s="16" t="s">
        <v>834</v>
      </c>
      <c r="D51" s="16" t="s">
        <v>1032</v>
      </c>
      <c r="E51" s="16" t="s">
        <v>1229</v>
      </c>
      <c r="F51" s="16" t="s">
        <v>111</v>
      </c>
    </row>
    <row r="52" spans="1:6" x14ac:dyDescent="0.25">
      <c r="A52" s="16" t="s">
        <v>408</v>
      </c>
      <c r="B52" s="16" t="s">
        <v>634</v>
      </c>
      <c r="C52" s="16" t="s">
        <v>837</v>
      </c>
      <c r="D52" s="16" t="s">
        <v>1035</v>
      </c>
      <c r="E52" s="16" t="s">
        <v>1231</v>
      </c>
      <c r="F52" s="16" t="s">
        <v>112</v>
      </c>
    </row>
    <row r="53" spans="1:6" x14ac:dyDescent="0.25">
      <c r="A53" s="16" t="s">
        <v>412</v>
      </c>
      <c r="B53" s="16" t="s">
        <v>637</v>
      </c>
      <c r="C53" s="16" t="s">
        <v>840</v>
      </c>
      <c r="D53" s="16" t="s">
        <v>1037</v>
      </c>
      <c r="E53" s="16" t="s">
        <v>1234</v>
      </c>
      <c r="F53" s="16" t="s">
        <v>113</v>
      </c>
    </row>
    <row r="54" spans="1:6" x14ac:dyDescent="0.25">
      <c r="A54" s="16" t="s">
        <v>416</v>
      </c>
      <c r="B54" s="16" t="s">
        <v>640</v>
      </c>
      <c r="C54" s="16" t="s">
        <v>843</v>
      </c>
      <c r="D54" s="16" t="s">
        <v>1040</v>
      </c>
      <c r="E54" s="16" t="s">
        <v>1237</v>
      </c>
      <c r="F54" s="16" t="s">
        <v>114</v>
      </c>
    </row>
    <row r="55" spans="1:6" x14ac:dyDescent="0.25">
      <c r="A55" s="16" t="s">
        <v>420</v>
      </c>
      <c r="B55" s="16" t="s">
        <v>643</v>
      </c>
      <c r="C55" s="16" t="s">
        <v>846</v>
      </c>
      <c r="D55" s="16" t="s">
        <v>1043</v>
      </c>
      <c r="E55" s="16" t="s">
        <v>1240</v>
      </c>
      <c r="F55" s="16" t="s">
        <v>115</v>
      </c>
    </row>
    <row r="56" spans="1:6" x14ac:dyDescent="0.25">
      <c r="A56" s="16" t="s">
        <v>424</v>
      </c>
      <c r="B56" s="16" t="s">
        <v>646</v>
      </c>
      <c r="C56" s="16" t="s">
        <v>849</v>
      </c>
      <c r="D56" s="16" t="s">
        <v>1046</v>
      </c>
      <c r="E56" s="16" t="s">
        <v>1243</v>
      </c>
      <c r="F56" s="16" t="s">
        <v>116</v>
      </c>
    </row>
    <row r="57" spans="1:6" x14ac:dyDescent="0.25">
      <c r="A57" s="16" t="s">
        <v>428</v>
      </c>
      <c r="B57" s="16" t="s">
        <v>649</v>
      </c>
      <c r="C57" s="16" t="s">
        <v>852</v>
      </c>
      <c r="D57" s="16" t="s">
        <v>1049</v>
      </c>
      <c r="E57" s="16" t="s">
        <v>1246</v>
      </c>
      <c r="F57" s="16" t="s">
        <v>117</v>
      </c>
    </row>
    <row r="58" spans="1:6" x14ac:dyDescent="0.25">
      <c r="A58" s="16" t="s">
        <v>432</v>
      </c>
      <c r="B58" s="16" t="s">
        <v>652</v>
      </c>
      <c r="C58" s="16" t="s">
        <v>855</v>
      </c>
      <c r="D58" s="16" t="s">
        <v>1052</v>
      </c>
      <c r="E58" s="16" t="s">
        <v>1249</v>
      </c>
      <c r="F58" s="16" t="s">
        <v>118</v>
      </c>
    </row>
    <row r="59" spans="1:6" x14ac:dyDescent="0.25">
      <c r="A59" s="16" t="s">
        <v>436</v>
      </c>
      <c r="B59" s="16" t="s">
        <v>655</v>
      </c>
      <c r="C59" s="16" t="s">
        <v>858</v>
      </c>
      <c r="D59" s="16" t="s">
        <v>1055</v>
      </c>
      <c r="E59" s="16" t="s">
        <v>1252</v>
      </c>
      <c r="F59" s="16" t="s">
        <v>119</v>
      </c>
    </row>
    <row r="60" spans="1:6" x14ac:dyDescent="0.25">
      <c r="A60" s="16" t="s">
        <v>440</v>
      </c>
      <c r="B60" s="16" t="s">
        <v>658</v>
      </c>
      <c r="C60" s="16" t="s">
        <v>860</v>
      </c>
      <c r="D60" s="16" t="s">
        <v>1058</v>
      </c>
      <c r="E60" s="16" t="s">
        <v>1255</v>
      </c>
      <c r="F60" s="16" t="s">
        <v>120</v>
      </c>
    </row>
    <row r="61" spans="1:6" x14ac:dyDescent="0.25">
      <c r="A61" s="16" t="s">
        <v>444</v>
      </c>
      <c r="B61" s="16" t="s">
        <v>661</v>
      </c>
      <c r="C61" s="16" t="s">
        <v>863</v>
      </c>
      <c r="D61" s="16" t="s">
        <v>1061</v>
      </c>
      <c r="E61" s="16" t="s">
        <v>1258</v>
      </c>
      <c r="F61" s="16" t="s">
        <v>121</v>
      </c>
    </row>
    <row r="62" spans="1:6" x14ac:dyDescent="0.25">
      <c r="A62" s="16" t="s">
        <v>448</v>
      </c>
      <c r="B62" s="16" t="s">
        <v>664</v>
      </c>
      <c r="C62" s="16" t="s">
        <v>866</v>
      </c>
      <c r="D62" s="16" t="s">
        <v>1064</v>
      </c>
      <c r="E62" s="16" t="s">
        <v>1260</v>
      </c>
      <c r="F62" s="16" t="s">
        <v>122</v>
      </c>
    </row>
    <row r="63" spans="1:6" x14ac:dyDescent="0.25">
      <c r="A63" s="16" t="s">
        <v>452</v>
      </c>
      <c r="B63" s="16" t="s">
        <v>667</v>
      </c>
      <c r="C63" s="16" t="s">
        <v>869</v>
      </c>
      <c r="D63" s="16" t="s">
        <v>1067</v>
      </c>
      <c r="E63" s="16" t="s">
        <v>1263</v>
      </c>
      <c r="F63" s="16" t="s">
        <v>123</v>
      </c>
    </row>
    <row r="64" spans="1:6" x14ac:dyDescent="0.25">
      <c r="A64" s="16" t="s">
        <v>456</v>
      </c>
      <c r="B64" s="16" t="s">
        <v>670</v>
      </c>
      <c r="C64" s="16" t="s">
        <v>872</v>
      </c>
      <c r="D64" s="16" t="s">
        <v>1070</v>
      </c>
      <c r="E64" s="16" t="s">
        <v>1266</v>
      </c>
      <c r="F64" s="16" t="s">
        <v>124</v>
      </c>
    </row>
    <row r="65" spans="1:6" x14ac:dyDescent="0.25">
      <c r="A65" s="16" t="s">
        <v>460</v>
      </c>
      <c r="B65" s="16" t="s">
        <v>673</v>
      </c>
      <c r="C65" s="16" t="s">
        <v>875</v>
      </c>
      <c r="D65" s="16" t="s">
        <v>1072</v>
      </c>
      <c r="E65" s="16" t="s">
        <v>1269</v>
      </c>
      <c r="F65" s="16" t="s">
        <v>125</v>
      </c>
    </row>
    <row r="66" spans="1:6" x14ac:dyDescent="0.25">
      <c r="A66" s="16" t="s">
        <v>464</v>
      </c>
      <c r="B66" s="16" t="s">
        <v>676</v>
      </c>
      <c r="C66" s="16" t="s">
        <v>878</v>
      </c>
      <c r="D66" s="16" t="s">
        <v>1075</v>
      </c>
      <c r="E66" s="16" t="s">
        <v>1272</v>
      </c>
      <c r="F66" s="16" t="s">
        <v>126</v>
      </c>
    </row>
    <row r="67" spans="1:6" x14ac:dyDescent="0.25">
      <c r="A67" s="16" t="s">
        <v>468</v>
      </c>
      <c r="B67" s="16" t="s">
        <v>679</v>
      </c>
      <c r="C67" s="16" t="s">
        <v>881</v>
      </c>
      <c r="D67" s="16" t="s">
        <v>1078</v>
      </c>
      <c r="E67" s="16" t="s">
        <v>1275</v>
      </c>
      <c r="F67" s="16" t="s">
        <v>127</v>
      </c>
    </row>
    <row r="68" spans="1:6" x14ac:dyDescent="0.25">
      <c r="A68" s="16" t="s">
        <v>472</v>
      </c>
      <c r="B68" s="16" t="s">
        <v>682</v>
      </c>
      <c r="C68" s="16" t="s">
        <v>884</v>
      </c>
      <c r="D68" s="16" t="s">
        <v>1081</v>
      </c>
      <c r="E68" s="16" t="s">
        <v>1278</v>
      </c>
      <c r="F68" s="16" t="s">
        <v>128</v>
      </c>
    </row>
    <row r="69" spans="1:6" x14ac:dyDescent="0.25">
      <c r="A69" s="16" t="s">
        <v>476</v>
      </c>
      <c r="B69" s="16" t="s">
        <v>685</v>
      </c>
      <c r="C69" s="16" t="s">
        <v>887</v>
      </c>
      <c r="D69" s="16" t="s">
        <v>1084</v>
      </c>
      <c r="E69" s="16" t="s">
        <v>1280</v>
      </c>
      <c r="F69" s="16" t="s">
        <v>129</v>
      </c>
    </row>
    <row r="70" spans="1:6" x14ac:dyDescent="0.25">
      <c r="A70" s="16" t="s">
        <v>480</v>
      </c>
      <c r="B70" s="16" t="s">
        <v>688</v>
      </c>
      <c r="C70" s="16" t="s">
        <v>890</v>
      </c>
      <c r="D70" s="16" t="s">
        <v>1086</v>
      </c>
      <c r="E70" s="16" t="s">
        <v>1283</v>
      </c>
      <c r="F70" s="16" t="s">
        <v>130</v>
      </c>
    </row>
    <row r="71" spans="1:6" x14ac:dyDescent="0.25">
      <c r="F71" s="16" t="s">
        <v>131</v>
      </c>
    </row>
    <row r="72" spans="1:6" x14ac:dyDescent="0.25">
      <c r="F72" s="16" t="s">
        <v>132</v>
      </c>
    </row>
    <row r="73" spans="1:6" x14ac:dyDescent="0.25">
      <c r="F73" s="16" t="s">
        <v>133</v>
      </c>
    </row>
    <row r="74" spans="1:6" x14ac:dyDescent="0.25">
      <c r="F74" s="16" t="s">
        <v>134</v>
      </c>
    </row>
    <row r="75" spans="1:6" x14ac:dyDescent="0.25">
      <c r="F75" s="16" t="s">
        <v>135</v>
      </c>
    </row>
    <row r="76" spans="1:6" x14ac:dyDescent="0.25">
      <c r="F76" s="16" t="s">
        <v>136</v>
      </c>
    </row>
    <row r="77" spans="1:6" x14ac:dyDescent="0.25">
      <c r="F77" s="16" t="s">
        <v>137</v>
      </c>
    </row>
    <row r="78" spans="1:6" x14ac:dyDescent="0.25">
      <c r="F78" s="16" t="s">
        <v>138</v>
      </c>
    </row>
    <row r="79" spans="1:6" x14ac:dyDescent="0.25">
      <c r="F79" s="16" t="s">
        <v>139</v>
      </c>
    </row>
    <row r="80" spans="1:6" x14ac:dyDescent="0.25">
      <c r="F80" s="16" t="s">
        <v>140</v>
      </c>
    </row>
    <row r="81" spans="1:6" x14ac:dyDescent="0.25">
      <c r="F81" s="16" t="s">
        <v>141</v>
      </c>
    </row>
    <row r="82" spans="1:6" x14ac:dyDescent="0.25">
      <c r="F82" s="16" t="s">
        <v>142</v>
      </c>
    </row>
    <row r="83" spans="1:6" x14ac:dyDescent="0.25">
      <c r="F83" s="16" t="s">
        <v>143</v>
      </c>
    </row>
    <row r="84" spans="1:6" x14ac:dyDescent="0.25">
      <c r="F84" s="16" t="s">
        <v>144</v>
      </c>
    </row>
    <row r="85" spans="1:6" x14ac:dyDescent="0.25">
      <c r="F85" s="16" t="s">
        <v>145</v>
      </c>
    </row>
    <row r="86" spans="1:6" x14ac:dyDescent="0.25">
      <c r="F86" s="16" t="s">
        <v>146</v>
      </c>
    </row>
    <row r="87" spans="1:6" x14ac:dyDescent="0.25">
      <c r="F87" s="16" t="s">
        <v>147</v>
      </c>
    </row>
    <row r="88" spans="1:6" x14ac:dyDescent="0.25">
      <c r="F88" s="16" t="s">
        <v>148</v>
      </c>
    </row>
    <row r="89" spans="1:6" x14ac:dyDescent="0.25">
      <c r="F89" s="16" t="s">
        <v>149</v>
      </c>
    </row>
    <row r="90" spans="1:6" x14ac:dyDescent="0.25">
      <c r="F90" s="16" t="s">
        <v>150</v>
      </c>
    </row>
    <row r="91" spans="1:6" x14ac:dyDescent="0.25">
      <c r="F91" s="16" t="s">
        <v>151</v>
      </c>
    </row>
    <row r="92" spans="1:6" x14ac:dyDescent="0.25">
      <c r="F92" s="16" t="s">
        <v>152</v>
      </c>
    </row>
    <row r="93" spans="1:6" x14ac:dyDescent="0.25">
      <c r="F93" s="16" t="s">
        <v>153</v>
      </c>
    </row>
    <row r="94" spans="1:6" x14ac:dyDescent="0.25">
      <c r="F94" s="16" t="s">
        <v>154</v>
      </c>
    </row>
    <row r="95" spans="1:6" x14ac:dyDescent="0.25">
      <c r="F95" s="16" t="s">
        <v>155</v>
      </c>
    </row>
    <row r="96" spans="1:6" x14ac:dyDescent="0.25">
      <c r="F96" s="16" t="s">
        <v>156</v>
      </c>
    </row>
    <row r="97" spans="1:6" x14ac:dyDescent="0.25">
      <c r="F97" s="16" t="s">
        <v>157</v>
      </c>
    </row>
    <row r="98" spans="1:6" x14ac:dyDescent="0.25">
      <c r="F98" s="16" t="s">
        <v>158</v>
      </c>
    </row>
    <row r="99" spans="1:6" x14ac:dyDescent="0.25">
      <c r="F99" s="16" t="s">
        <v>159</v>
      </c>
    </row>
    <row r="100" spans="1:6" x14ac:dyDescent="0.25">
      <c r="F100" s="16" t="s">
        <v>160</v>
      </c>
    </row>
    <row r="101" spans="1:6" x14ac:dyDescent="0.25">
      <c r="F101" s="16" t="s">
        <v>161</v>
      </c>
    </row>
    <row r="102" spans="1:6" x14ac:dyDescent="0.25">
      <c r="F102" s="16" t="s">
        <v>162</v>
      </c>
    </row>
    <row r="103" spans="1:6" x14ac:dyDescent="0.25">
      <c r="F103" s="16" t="s">
        <v>163</v>
      </c>
    </row>
    <row r="104" spans="1:6" x14ac:dyDescent="0.25">
      <c r="F104" s="16" t="s">
        <v>164</v>
      </c>
    </row>
    <row r="105" spans="1:6" x14ac:dyDescent="0.25">
      <c r="F105" s="16" t="s">
        <v>165</v>
      </c>
    </row>
    <row r="106" spans="1:6" x14ac:dyDescent="0.25">
      <c r="F106" s="16" t="s">
        <v>166</v>
      </c>
    </row>
    <row r="107" spans="1:6" x14ac:dyDescent="0.25">
      <c r="F107" s="16" t="s">
        <v>167</v>
      </c>
    </row>
    <row r="108" spans="1:6" x14ac:dyDescent="0.25">
      <c r="F108" s="16" t="s">
        <v>168</v>
      </c>
    </row>
    <row r="109" spans="1:6" x14ac:dyDescent="0.25">
      <c r="F109" s="16" t="s">
        <v>169</v>
      </c>
    </row>
    <row r="110" spans="1:6" x14ac:dyDescent="0.25">
      <c r="F110" s="16" t="s">
        <v>170</v>
      </c>
    </row>
    <row r="111" spans="1:6" x14ac:dyDescent="0.25">
      <c r="F111" s="16" t="s">
        <v>171</v>
      </c>
    </row>
    <row r="112" spans="1:6" x14ac:dyDescent="0.25">
      <c r="F112" s="16" t="s">
        <v>172</v>
      </c>
    </row>
    <row r="113" spans="1:6" x14ac:dyDescent="0.25">
      <c r="F113" s="16" t="s">
        <v>173</v>
      </c>
    </row>
    <row r="114" spans="1:6" x14ac:dyDescent="0.25">
      <c r="F114" s="16" t="s">
        <v>174</v>
      </c>
    </row>
    <row r="115" spans="1:6" x14ac:dyDescent="0.25">
      <c r="F115" s="16" t="s">
        <v>175</v>
      </c>
    </row>
    <row r="116" spans="1:6" x14ac:dyDescent="0.25">
      <c r="F116" s="16" t="s">
        <v>176</v>
      </c>
    </row>
    <row r="117" spans="1:6" x14ac:dyDescent="0.25">
      <c r="F117" s="16" t="s">
        <v>177</v>
      </c>
    </row>
    <row r="118" spans="1:6" x14ac:dyDescent="0.25">
      <c r="F118" s="16" t="s">
        <v>178</v>
      </c>
    </row>
    <row r="119" spans="1:6" x14ac:dyDescent="0.25">
      <c r="F119" s="16" t="s">
        <v>179</v>
      </c>
    </row>
    <row r="120" spans="1:6" x14ac:dyDescent="0.25">
      <c r="F120" s="16" t="s">
        <v>180</v>
      </c>
    </row>
    <row r="121" spans="1:6" x14ac:dyDescent="0.25">
      <c r="F121" s="16" t="s">
        <v>181</v>
      </c>
    </row>
    <row r="122" spans="1:6" x14ac:dyDescent="0.25">
      <c r="F122" s="16" t="s">
        <v>182</v>
      </c>
    </row>
    <row r="123" spans="1:6" x14ac:dyDescent="0.25">
      <c r="F123" s="16" t="s">
        <v>183</v>
      </c>
    </row>
    <row r="124" spans="1:6" x14ac:dyDescent="0.25">
      <c r="F124" s="16" t="s">
        <v>184</v>
      </c>
    </row>
    <row r="125" spans="1:6" x14ac:dyDescent="0.25">
      <c r="F125" s="16" t="s">
        <v>185</v>
      </c>
    </row>
    <row r="126" spans="1:6" x14ac:dyDescent="0.25">
      <c r="F126" s="16" t="s">
        <v>186</v>
      </c>
    </row>
    <row r="127" spans="1:6" x14ac:dyDescent="0.25">
      <c r="F127" s="16" t="s">
        <v>187</v>
      </c>
    </row>
    <row r="128" spans="1:6" x14ac:dyDescent="0.25">
      <c r="F128" s="16" t="s">
        <v>188</v>
      </c>
    </row>
    <row r="129" spans="1:6" x14ac:dyDescent="0.25">
      <c r="F129" s="16" t="s">
        <v>189</v>
      </c>
    </row>
    <row r="130" spans="1:6" x14ac:dyDescent="0.25">
      <c r="F130" s="16" t="s">
        <v>190</v>
      </c>
    </row>
    <row r="131" spans="1:6" x14ac:dyDescent="0.25">
      <c r="F131" s="16" t="s">
        <v>191</v>
      </c>
    </row>
    <row r="132" spans="1:6" x14ac:dyDescent="0.25">
      <c r="F132" s="16" t="s">
        <v>192</v>
      </c>
    </row>
    <row r="133" spans="1:6" x14ac:dyDescent="0.25">
      <c r="F133" s="16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3" customWidth="1"/>
    <col min="3" max="3" width="7" customWidth="1"/>
  </cols>
  <sheetData>
    <row r="1" spans="1:3" x14ac:dyDescent="0.25">
      <c r="A1" s="4" t="s">
        <v>21</v>
      </c>
      <c r="B1" s="4" t="s">
        <v>1290</v>
      </c>
      <c r="C1" s="4" t="s">
        <v>200</v>
      </c>
    </row>
    <row r="2" spans="1:3" x14ac:dyDescent="0.25">
      <c r="A2" s="16" t="s">
        <v>59</v>
      </c>
      <c r="B2" s="16">
        <f>SUMIFS(ArmourSkills!$D$2:$D$630,ArmourSkills!$A$2:$A$630,Picker!$B$38,ArmourSkills!$C$2:$C$630,$A2)+SUMIFS(ArmourSkills!$D$2:$D$630,ArmourSkills!$A$2:$A$630,Picker!$B$39,ArmourSkills!$C$2:$C$630,$A2)+SUMIFS(ArmourSkills!$D$2:$D$630,ArmourSkills!$A$2:$A$630,Picker!$B$40,ArmourSkills!$C$2:$C$630,$A2)+SUMIFS(ArmourSkills!$D$2:$D$630,ArmourSkills!$A$2:$A$630,Picker!$B$41,ArmourSkills!$C$2:$C$630,$A2)+SUMIFS(ArmourSkills!$D$2:$D$630,ArmourSkills!$A$2:$A$630,Picker!$B$42,ArmourSkills!$C$2:$C$630,$A2)</f>
      </c>
      <c r="C2" s="16">
        <f>IF($B2=0,"",COUNTIF($B$2:$B$132,"&gt;"&amp;$B2)+COUNTIF($B$2:$B2,$B2))</f>
      </c>
    </row>
    <row r="3" spans="1:3" x14ac:dyDescent="0.25">
      <c r="A3" s="16" t="s">
        <v>61</v>
      </c>
      <c r="B3" s="16">
        <f>SUMIFS(ArmourSkills!$D$2:$D$630,ArmourSkills!$A$2:$A$630,Picker!$B$38,ArmourSkills!$C$2:$C$630,$A3)+SUMIFS(ArmourSkills!$D$2:$D$630,ArmourSkills!$A$2:$A$630,Picker!$B$39,ArmourSkills!$C$2:$C$630,$A3)+SUMIFS(ArmourSkills!$D$2:$D$630,ArmourSkills!$A$2:$A$630,Picker!$B$40,ArmourSkills!$C$2:$C$630,$A3)+SUMIFS(ArmourSkills!$D$2:$D$630,ArmourSkills!$A$2:$A$630,Picker!$B$41,ArmourSkills!$C$2:$C$630,$A3)+SUMIFS(ArmourSkills!$D$2:$D$630,ArmourSkills!$A$2:$A$630,Picker!$B$42,ArmourSkills!$C$2:$C$630,$A3)</f>
      </c>
      <c r="C3" s="16">
        <f>IF($B3=0,"",COUNTIF($B$2:$B$132,"&gt;"&amp;$B3)+COUNTIF($B$2:$B3,$B3))</f>
      </c>
    </row>
    <row r="4" spans="1:3" x14ac:dyDescent="0.25">
      <c r="A4" s="16" t="s">
        <v>62</v>
      </c>
      <c r="B4" s="16">
        <f>SUMIFS(ArmourSkills!$D$2:$D$630,ArmourSkills!$A$2:$A$630,Picker!$B$38,ArmourSkills!$C$2:$C$630,$A4)+SUMIFS(ArmourSkills!$D$2:$D$630,ArmourSkills!$A$2:$A$630,Picker!$B$39,ArmourSkills!$C$2:$C$630,$A4)+SUMIFS(ArmourSkills!$D$2:$D$630,ArmourSkills!$A$2:$A$630,Picker!$B$40,ArmourSkills!$C$2:$C$630,$A4)+SUMIFS(ArmourSkills!$D$2:$D$630,ArmourSkills!$A$2:$A$630,Picker!$B$41,ArmourSkills!$C$2:$C$630,$A4)+SUMIFS(ArmourSkills!$D$2:$D$630,ArmourSkills!$A$2:$A$630,Picker!$B$42,ArmourSkills!$C$2:$C$630,$A4)</f>
      </c>
      <c r="C4" s="16">
        <f>IF($B4=0,"",COUNTIF($B$2:$B$132,"&gt;"&amp;$B4)+COUNTIF($B$2:$B4,$B4))</f>
      </c>
    </row>
    <row r="5" spans="1:3" x14ac:dyDescent="0.25">
      <c r="A5" s="16" t="s">
        <v>64</v>
      </c>
      <c r="B5" s="16">
        <f>SUMIFS(ArmourSkills!$D$2:$D$630,ArmourSkills!$A$2:$A$630,Picker!$B$38,ArmourSkills!$C$2:$C$630,$A5)+SUMIFS(ArmourSkills!$D$2:$D$630,ArmourSkills!$A$2:$A$630,Picker!$B$39,ArmourSkills!$C$2:$C$630,$A5)+SUMIFS(ArmourSkills!$D$2:$D$630,ArmourSkills!$A$2:$A$630,Picker!$B$40,ArmourSkills!$C$2:$C$630,$A5)+SUMIFS(ArmourSkills!$D$2:$D$630,ArmourSkills!$A$2:$A$630,Picker!$B$41,ArmourSkills!$C$2:$C$630,$A5)+SUMIFS(ArmourSkills!$D$2:$D$630,ArmourSkills!$A$2:$A$630,Picker!$B$42,ArmourSkills!$C$2:$C$630,$A5)</f>
      </c>
      <c r="C5" s="16">
        <f>IF($B5=0,"",COUNTIF($B$2:$B$132,"&gt;"&amp;$B5)+COUNTIF($B$2:$B5,$B5))</f>
      </c>
    </row>
    <row r="6" spans="1:3" x14ac:dyDescent="0.25">
      <c r="A6" s="16" t="s">
        <v>65</v>
      </c>
      <c r="B6" s="16">
        <f>SUMIFS(ArmourSkills!$D$2:$D$630,ArmourSkills!$A$2:$A$630,Picker!$B$38,ArmourSkills!$C$2:$C$630,$A6)+SUMIFS(ArmourSkills!$D$2:$D$630,ArmourSkills!$A$2:$A$630,Picker!$B$39,ArmourSkills!$C$2:$C$630,$A6)+SUMIFS(ArmourSkills!$D$2:$D$630,ArmourSkills!$A$2:$A$630,Picker!$B$40,ArmourSkills!$C$2:$C$630,$A6)+SUMIFS(ArmourSkills!$D$2:$D$630,ArmourSkills!$A$2:$A$630,Picker!$B$41,ArmourSkills!$C$2:$C$630,$A6)+SUMIFS(ArmourSkills!$D$2:$D$630,ArmourSkills!$A$2:$A$630,Picker!$B$42,ArmourSkills!$C$2:$C$630,$A6)</f>
      </c>
      <c r="C6" s="16">
        <f>IF($B6=0,"",COUNTIF($B$2:$B$132,"&gt;"&amp;$B6)+COUNTIF($B$2:$B6,$B6))</f>
      </c>
    </row>
    <row r="7" spans="1:3" x14ac:dyDescent="0.25">
      <c r="A7" s="16" t="s">
        <v>66</v>
      </c>
      <c r="B7" s="16">
        <f>SUMIFS(ArmourSkills!$D$2:$D$630,ArmourSkills!$A$2:$A$630,Picker!$B$38,ArmourSkills!$C$2:$C$630,$A7)+SUMIFS(ArmourSkills!$D$2:$D$630,ArmourSkills!$A$2:$A$630,Picker!$B$39,ArmourSkills!$C$2:$C$630,$A7)+SUMIFS(ArmourSkills!$D$2:$D$630,ArmourSkills!$A$2:$A$630,Picker!$B$40,ArmourSkills!$C$2:$C$630,$A7)+SUMIFS(ArmourSkills!$D$2:$D$630,ArmourSkills!$A$2:$A$630,Picker!$B$41,ArmourSkills!$C$2:$C$630,$A7)+SUMIFS(ArmourSkills!$D$2:$D$630,ArmourSkills!$A$2:$A$630,Picker!$B$42,ArmourSkills!$C$2:$C$630,$A7)</f>
      </c>
      <c r="C7" s="16">
        <f>IF($B7=0,"",COUNTIF($B$2:$B$132,"&gt;"&amp;$B7)+COUNTIF($B$2:$B7,$B7))</f>
      </c>
    </row>
    <row r="8" spans="1:3" x14ac:dyDescent="0.25">
      <c r="A8" s="16" t="s">
        <v>67</v>
      </c>
      <c r="B8" s="16">
        <f>SUMIFS(ArmourSkills!$D$2:$D$630,ArmourSkills!$A$2:$A$630,Picker!$B$38,ArmourSkills!$C$2:$C$630,$A8)+SUMIFS(ArmourSkills!$D$2:$D$630,ArmourSkills!$A$2:$A$630,Picker!$B$39,ArmourSkills!$C$2:$C$630,$A8)+SUMIFS(ArmourSkills!$D$2:$D$630,ArmourSkills!$A$2:$A$630,Picker!$B$40,ArmourSkills!$C$2:$C$630,$A8)+SUMIFS(ArmourSkills!$D$2:$D$630,ArmourSkills!$A$2:$A$630,Picker!$B$41,ArmourSkills!$C$2:$C$630,$A8)+SUMIFS(ArmourSkills!$D$2:$D$630,ArmourSkills!$A$2:$A$630,Picker!$B$42,ArmourSkills!$C$2:$C$630,$A8)</f>
      </c>
      <c r="C8" s="16">
        <f>IF($B8=0,"",COUNTIF($B$2:$B$132,"&gt;"&amp;$B8)+COUNTIF($B$2:$B8,$B8))</f>
      </c>
    </row>
    <row r="9" spans="1:3" x14ac:dyDescent="0.25">
      <c r="A9" s="16" t="s">
        <v>68</v>
      </c>
      <c r="B9" s="16">
        <f>SUMIFS(ArmourSkills!$D$2:$D$630,ArmourSkills!$A$2:$A$630,Picker!$B$38,ArmourSkills!$C$2:$C$630,$A9)+SUMIFS(ArmourSkills!$D$2:$D$630,ArmourSkills!$A$2:$A$630,Picker!$B$39,ArmourSkills!$C$2:$C$630,$A9)+SUMIFS(ArmourSkills!$D$2:$D$630,ArmourSkills!$A$2:$A$630,Picker!$B$40,ArmourSkills!$C$2:$C$630,$A9)+SUMIFS(ArmourSkills!$D$2:$D$630,ArmourSkills!$A$2:$A$630,Picker!$B$41,ArmourSkills!$C$2:$C$630,$A9)+SUMIFS(ArmourSkills!$D$2:$D$630,ArmourSkills!$A$2:$A$630,Picker!$B$42,ArmourSkills!$C$2:$C$630,$A9)</f>
      </c>
      <c r="C9" s="16">
        <f>IF($B9=0,"",COUNTIF($B$2:$B$132,"&gt;"&amp;$B9)+COUNTIF($B$2:$B9,$B9))</f>
      </c>
    </row>
    <row r="10" spans="1:3" x14ac:dyDescent="0.25">
      <c r="A10" s="16" t="s">
        <v>69</v>
      </c>
      <c r="B10" s="16">
        <f>SUMIFS(ArmourSkills!$D$2:$D$630,ArmourSkills!$A$2:$A$630,Picker!$B$38,ArmourSkills!$C$2:$C$630,$A10)+SUMIFS(ArmourSkills!$D$2:$D$630,ArmourSkills!$A$2:$A$630,Picker!$B$39,ArmourSkills!$C$2:$C$630,$A10)+SUMIFS(ArmourSkills!$D$2:$D$630,ArmourSkills!$A$2:$A$630,Picker!$B$40,ArmourSkills!$C$2:$C$630,$A10)+SUMIFS(ArmourSkills!$D$2:$D$630,ArmourSkills!$A$2:$A$630,Picker!$B$41,ArmourSkills!$C$2:$C$630,$A10)+SUMIFS(ArmourSkills!$D$2:$D$630,ArmourSkills!$A$2:$A$630,Picker!$B$42,ArmourSkills!$C$2:$C$630,$A10)</f>
      </c>
      <c r="C10" s="16">
        <f>IF($B10=0,"",COUNTIF($B$2:$B$132,"&gt;"&amp;$B10)+COUNTIF($B$2:$B10,$B10))</f>
      </c>
    </row>
    <row r="11" spans="1:3" x14ac:dyDescent="0.25">
      <c r="A11" s="16" t="s">
        <v>71</v>
      </c>
      <c r="B11" s="16">
        <f>SUMIFS(ArmourSkills!$D$2:$D$630,ArmourSkills!$A$2:$A$630,Picker!$B$38,ArmourSkills!$C$2:$C$630,$A11)+SUMIFS(ArmourSkills!$D$2:$D$630,ArmourSkills!$A$2:$A$630,Picker!$B$39,ArmourSkills!$C$2:$C$630,$A11)+SUMIFS(ArmourSkills!$D$2:$D$630,ArmourSkills!$A$2:$A$630,Picker!$B$40,ArmourSkills!$C$2:$C$630,$A11)+SUMIFS(ArmourSkills!$D$2:$D$630,ArmourSkills!$A$2:$A$630,Picker!$B$41,ArmourSkills!$C$2:$C$630,$A11)+SUMIFS(ArmourSkills!$D$2:$D$630,ArmourSkills!$A$2:$A$630,Picker!$B$42,ArmourSkills!$C$2:$C$630,$A11)</f>
      </c>
      <c r="C11" s="16">
        <f>IF($B11=0,"",COUNTIF($B$2:$B$132,"&gt;"&amp;$B11)+COUNTIF($B$2:$B11,$B11))</f>
      </c>
    </row>
    <row r="12" spans="1:3" x14ac:dyDescent="0.25">
      <c r="A12" s="16" t="s">
        <v>72</v>
      </c>
      <c r="B12" s="16">
        <f>SUMIFS(ArmourSkills!$D$2:$D$630,ArmourSkills!$A$2:$A$630,Picker!$B$38,ArmourSkills!$C$2:$C$630,$A12)+SUMIFS(ArmourSkills!$D$2:$D$630,ArmourSkills!$A$2:$A$630,Picker!$B$39,ArmourSkills!$C$2:$C$630,$A12)+SUMIFS(ArmourSkills!$D$2:$D$630,ArmourSkills!$A$2:$A$630,Picker!$B$40,ArmourSkills!$C$2:$C$630,$A12)+SUMIFS(ArmourSkills!$D$2:$D$630,ArmourSkills!$A$2:$A$630,Picker!$B$41,ArmourSkills!$C$2:$C$630,$A12)+SUMIFS(ArmourSkills!$D$2:$D$630,ArmourSkills!$A$2:$A$630,Picker!$B$42,ArmourSkills!$C$2:$C$630,$A12)</f>
      </c>
      <c r="C12" s="16">
        <f>IF($B12=0,"",COUNTIF($B$2:$B$132,"&gt;"&amp;$B12)+COUNTIF($B$2:$B12,$B12))</f>
      </c>
    </row>
    <row r="13" spans="1:3" x14ac:dyDescent="0.25">
      <c r="A13" s="16" t="s">
        <v>73</v>
      </c>
      <c r="B13" s="16">
        <f>SUMIFS(ArmourSkills!$D$2:$D$630,ArmourSkills!$A$2:$A$630,Picker!$B$38,ArmourSkills!$C$2:$C$630,$A13)+SUMIFS(ArmourSkills!$D$2:$D$630,ArmourSkills!$A$2:$A$630,Picker!$B$39,ArmourSkills!$C$2:$C$630,$A13)+SUMIFS(ArmourSkills!$D$2:$D$630,ArmourSkills!$A$2:$A$630,Picker!$B$40,ArmourSkills!$C$2:$C$630,$A13)+SUMIFS(ArmourSkills!$D$2:$D$630,ArmourSkills!$A$2:$A$630,Picker!$B$41,ArmourSkills!$C$2:$C$630,$A13)+SUMIFS(ArmourSkills!$D$2:$D$630,ArmourSkills!$A$2:$A$630,Picker!$B$42,ArmourSkills!$C$2:$C$630,$A13)</f>
      </c>
      <c r="C13" s="16">
        <f>IF($B13=0,"",COUNTIF($B$2:$B$132,"&gt;"&amp;$B13)+COUNTIF($B$2:$B13,$B13))</f>
      </c>
    </row>
    <row r="14" spans="1:3" x14ac:dyDescent="0.25">
      <c r="A14" s="16" t="s">
        <v>74</v>
      </c>
      <c r="B14" s="16">
        <f>SUMIFS(ArmourSkills!$D$2:$D$630,ArmourSkills!$A$2:$A$630,Picker!$B$38,ArmourSkills!$C$2:$C$630,$A14)+SUMIFS(ArmourSkills!$D$2:$D$630,ArmourSkills!$A$2:$A$630,Picker!$B$39,ArmourSkills!$C$2:$C$630,$A14)+SUMIFS(ArmourSkills!$D$2:$D$630,ArmourSkills!$A$2:$A$630,Picker!$B$40,ArmourSkills!$C$2:$C$630,$A14)+SUMIFS(ArmourSkills!$D$2:$D$630,ArmourSkills!$A$2:$A$630,Picker!$B$41,ArmourSkills!$C$2:$C$630,$A14)+SUMIFS(ArmourSkills!$D$2:$D$630,ArmourSkills!$A$2:$A$630,Picker!$B$42,ArmourSkills!$C$2:$C$630,$A14)</f>
      </c>
      <c r="C14" s="16">
        <f>IF($B14=0,"",COUNTIF($B$2:$B$132,"&gt;"&amp;$B14)+COUNTIF($B$2:$B14,$B14))</f>
      </c>
    </row>
    <row r="15" spans="1:3" x14ac:dyDescent="0.25">
      <c r="A15" s="16" t="s">
        <v>75</v>
      </c>
      <c r="B15" s="16">
        <f>SUMIFS(ArmourSkills!$D$2:$D$630,ArmourSkills!$A$2:$A$630,Picker!$B$38,ArmourSkills!$C$2:$C$630,$A15)+SUMIFS(ArmourSkills!$D$2:$D$630,ArmourSkills!$A$2:$A$630,Picker!$B$39,ArmourSkills!$C$2:$C$630,$A15)+SUMIFS(ArmourSkills!$D$2:$D$630,ArmourSkills!$A$2:$A$630,Picker!$B$40,ArmourSkills!$C$2:$C$630,$A15)+SUMIFS(ArmourSkills!$D$2:$D$630,ArmourSkills!$A$2:$A$630,Picker!$B$41,ArmourSkills!$C$2:$C$630,$A15)+SUMIFS(ArmourSkills!$D$2:$D$630,ArmourSkills!$A$2:$A$630,Picker!$B$42,ArmourSkills!$C$2:$C$630,$A15)</f>
      </c>
      <c r="C15" s="16">
        <f>IF($B15=0,"",COUNTIF($B$2:$B$132,"&gt;"&amp;$B15)+COUNTIF($B$2:$B15,$B15))</f>
      </c>
    </row>
    <row r="16" spans="1:3" x14ac:dyDescent="0.25">
      <c r="A16" s="16" t="s">
        <v>76</v>
      </c>
      <c r="B16" s="16">
        <f>SUMIFS(ArmourSkills!$D$2:$D$630,ArmourSkills!$A$2:$A$630,Picker!$B$38,ArmourSkills!$C$2:$C$630,$A16)+SUMIFS(ArmourSkills!$D$2:$D$630,ArmourSkills!$A$2:$A$630,Picker!$B$39,ArmourSkills!$C$2:$C$630,$A16)+SUMIFS(ArmourSkills!$D$2:$D$630,ArmourSkills!$A$2:$A$630,Picker!$B$40,ArmourSkills!$C$2:$C$630,$A16)+SUMIFS(ArmourSkills!$D$2:$D$630,ArmourSkills!$A$2:$A$630,Picker!$B$41,ArmourSkills!$C$2:$C$630,$A16)+SUMIFS(ArmourSkills!$D$2:$D$630,ArmourSkills!$A$2:$A$630,Picker!$B$42,ArmourSkills!$C$2:$C$630,$A16)</f>
      </c>
      <c r="C16" s="16">
        <f>IF($B16=0,"",COUNTIF($B$2:$B$132,"&gt;"&amp;$B16)+COUNTIF($B$2:$B16,$B16))</f>
      </c>
    </row>
    <row r="17" spans="1:3" x14ac:dyDescent="0.25">
      <c r="A17" s="16" t="s">
        <v>78</v>
      </c>
      <c r="B17" s="16">
        <f>SUMIFS(ArmourSkills!$D$2:$D$630,ArmourSkills!$A$2:$A$630,Picker!$B$38,ArmourSkills!$C$2:$C$630,$A17)+SUMIFS(ArmourSkills!$D$2:$D$630,ArmourSkills!$A$2:$A$630,Picker!$B$39,ArmourSkills!$C$2:$C$630,$A17)+SUMIFS(ArmourSkills!$D$2:$D$630,ArmourSkills!$A$2:$A$630,Picker!$B$40,ArmourSkills!$C$2:$C$630,$A17)+SUMIFS(ArmourSkills!$D$2:$D$630,ArmourSkills!$A$2:$A$630,Picker!$B$41,ArmourSkills!$C$2:$C$630,$A17)+SUMIFS(ArmourSkills!$D$2:$D$630,ArmourSkills!$A$2:$A$630,Picker!$B$42,ArmourSkills!$C$2:$C$630,$A17)</f>
      </c>
      <c r="C17" s="16">
        <f>IF($B17=0,"",COUNTIF($B$2:$B$132,"&gt;"&amp;$B17)+COUNTIF($B$2:$B17,$B17))</f>
      </c>
    </row>
    <row r="18" spans="1:3" x14ac:dyDescent="0.25">
      <c r="A18" s="16" t="s">
        <v>79</v>
      </c>
      <c r="B18" s="16">
        <f>SUMIFS(ArmourSkills!$D$2:$D$630,ArmourSkills!$A$2:$A$630,Picker!$B$38,ArmourSkills!$C$2:$C$630,$A18)+SUMIFS(ArmourSkills!$D$2:$D$630,ArmourSkills!$A$2:$A$630,Picker!$B$39,ArmourSkills!$C$2:$C$630,$A18)+SUMIFS(ArmourSkills!$D$2:$D$630,ArmourSkills!$A$2:$A$630,Picker!$B$40,ArmourSkills!$C$2:$C$630,$A18)+SUMIFS(ArmourSkills!$D$2:$D$630,ArmourSkills!$A$2:$A$630,Picker!$B$41,ArmourSkills!$C$2:$C$630,$A18)+SUMIFS(ArmourSkills!$D$2:$D$630,ArmourSkills!$A$2:$A$630,Picker!$B$42,ArmourSkills!$C$2:$C$630,$A18)</f>
      </c>
      <c r="C18" s="16">
        <f>IF($B18=0,"",COUNTIF($B$2:$B$132,"&gt;"&amp;$B18)+COUNTIF($B$2:$B18,$B18))</f>
      </c>
    </row>
    <row r="19" spans="1:3" x14ac:dyDescent="0.25">
      <c r="A19" s="16" t="s">
        <v>80</v>
      </c>
      <c r="B19" s="16">
        <f>SUMIFS(ArmourSkills!$D$2:$D$630,ArmourSkills!$A$2:$A$630,Picker!$B$38,ArmourSkills!$C$2:$C$630,$A19)+SUMIFS(ArmourSkills!$D$2:$D$630,ArmourSkills!$A$2:$A$630,Picker!$B$39,ArmourSkills!$C$2:$C$630,$A19)+SUMIFS(ArmourSkills!$D$2:$D$630,ArmourSkills!$A$2:$A$630,Picker!$B$40,ArmourSkills!$C$2:$C$630,$A19)+SUMIFS(ArmourSkills!$D$2:$D$630,ArmourSkills!$A$2:$A$630,Picker!$B$41,ArmourSkills!$C$2:$C$630,$A19)+SUMIFS(ArmourSkills!$D$2:$D$630,ArmourSkills!$A$2:$A$630,Picker!$B$42,ArmourSkills!$C$2:$C$630,$A19)</f>
      </c>
      <c r="C19" s="16">
        <f>IF($B19=0,"",COUNTIF($B$2:$B$132,"&gt;"&amp;$B19)+COUNTIF($B$2:$B19,$B19))</f>
      </c>
    </row>
    <row r="20" spans="1:3" x14ac:dyDescent="0.25">
      <c r="A20" s="16" t="s">
        <v>81</v>
      </c>
      <c r="B20" s="16">
        <f>SUMIFS(ArmourSkills!$D$2:$D$630,ArmourSkills!$A$2:$A$630,Picker!$B$38,ArmourSkills!$C$2:$C$630,$A20)+SUMIFS(ArmourSkills!$D$2:$D$630,ArmourSkills!$A$2:$A$630,Picker!$B$39,ArmourSkills!$C$2:$C$630,$A20)+SUMIFS(ArmourSkills!$D$2:$D$630,ArmourSkills!$A$2:$A$630,Picker!$B$40,ArmourSkills!$C$2:$C$630,$A20)+SUMIFS(ArmourSkills!$D$2:$D$630,ArmourSkills!$A$2:$A$630,Picker!$B$41,ArmourSkills!$C$2:$C$630,$A20)+SUMIFS(ArmourSkills!$D$2:$D$630,ArmourSkills!$A$2:$A$630,Picker!$B$42,ArmourSkills!$C$2:$C$630,$A20)</f>
      </c>
      <c r="C20" s="16">
        <f>IF($B20=0,"",COUNTIF($B$2:$B$132,"&gt;"&amp;$B20)+COUNTIF($B$2:$B20,$B20))</f>
      </c>
    </row>
    <row r="21" spans="1:3" x14ac:dyDescent="0.25">
      <c r="A21" s="16" t="s">
        <v>82</v>
      </c>
      <c r="B21" s="16">
        <f>SUMIFS(ArmourSkills!$D$2:$D$630,ArmourSkills!$A$2:$A$630,Picker!$B$38,ArmourSkills!$C$2:$C$630,$A21)+SUMIFS(ArmourSkills!$D$2:$D$630,ArmourSkills!$A$2:$A$630,Picker!$B$39,ArmourSkills!$C$2:$C$630,$A21)+SUMIFS(ArmourSkills!$D$2:$D$630,ArmourSkills!$A$2:$A$630,Picker!$B$40,ArmourSkills!$C$2:$C$630,$A21)+SUMIFS(ArmourSkills!$D$2:$D$630,ArmourSkills!$A$2:$A$630,Picker!$B$41,ArmourSkills!$C$2:$C$630,$A21)+SUMIFS(ArmourSkills!$D$2:$D$630,ArmourSkills!$A$2:$A$630,Picker!$B$42,ArmourSkills!$C$2:$C$630,$A21)</f>
      </c>
      <c r="C21" s="16">
        <f>IF($B21=0,"",COUNTIF($B$2:$B$132,"&gt;"&amp;$B21)+COUNTIF($B$2:$B21,$B21))</f>
      </c>
    </row>
    <row r="22" spans="1:3" x14ac:dyDescent="0.25">
      <c r="A22" s="16" t="s">
        <v>83</v>
      </c>
      <c r="B22" s="16">
        <f>SUMIFS(ArmourSkills!$D$2:$D$630,ArmourSkills!$A$2:$A$630,Picker!$B$38,ArmourSkills!$C$2:$C$630,$A22)+SUMIFS(ArmourSkills!$D$2:$D$630,ArmourSkills!$A$2:$A$630,Picker!$B$39,ArmourSkills!$C$2:$C$630,$A22)+SUMIFS(ArmourSkills!$D$2:$D$630,ArmourSkills!$A$2:$A$630,Picker!$B$40,ArmourSkills!$C$2:$C$630,$A22)+SUMIFS(ArmourSkills!$D$2:$D$630,ArmourSkills!$A$2:$A$630,Picker!$B$41,ArmourSkills!$C$2:$C$630,$A22)+SUMIFS(ArmourSkills!$D$2:$D$630,ArmourSkills!$A$2:$A$630,Picker!$B$42,ArmourSkills!$C$2:$C$630,$A22)</f>
      </c>
      <c r="C22" s="16">
        <f>IF($B22=0,"",COUNTIF($B$2:$B$132,"&gt;"&amp;$B22)+COUNTIF($B$2:$B22,$B22))</f>
      </c>
    </row>
    <row r="23" spans="1:3" x14ac:dyDescent="0.25">
      <c r="A23" s="16" t="s">
        <v>84</v>
      </c>
      <c r="B23" s="16">
        <f>SUMIFS(ArmourSkills!$D$2:$D$630,ArmourSkills!$A$2:$A$630,Picker!$B$38,ArmourSkills!$C$2:$C$630,$A23)+SUMIFS(ArmourSkills!$D$2:$D$630,ArmourSkills!$A$2:$A$630,Picker!$B$39,ArmourSkills!$C$2:$C$630,$A23)+SUMIFS(ArmourSkills!$D$2:$D$630,ArmourSkills!$A$2:$A$630,Picker!$B$40,ArmourSkills!$C$2:$C$630,$A23)+SUMIFS(ArmourSkills!$D$2:$D$630,ArmourSkills!$A$2:$A$630,Picker!$B$41,ArmourSkills!$C$2:$C$630,$A23)+SUMIFS(ArmourSkills!$D$2:$D$630,ArmourSkills!$A$2:$A$630,Picker!$B$42,ArmourSkills!$C$2:$C$630,$A23)</f>
      </c>
      <c r="C23" s="16">
        <f>IF($B23=0,"",COUNTIF($B$2:$B$132,"&gt;"&amp;$B23)+COUNTIF($B$2:$B23,$B23))</f>
      </c>
    </row>
    <row r="24" spans="1:3" x14ac:dyDescent="0.25">
      <c r="A24" s="16" t="s">
        <v>85</v>
      </c>
      <c r="B24" s="16">
        <f>SUMIFS(ArmourSkills!$D$2:$D$630,ArmourSkills!$A$2:$A$630,Picker!$B$38,ArmourSkills!$C$2:$C$630,$A24)+SUMIFS(ArmourSkills!$D$2:$D$630,ArmourSkills!$A$2:$A$630,Picker!$B$39,ArmourSkills!$C$2:$C$630,$A24)+SUMIFS(ArmourSkills!$D$2:$D$630,ArmourSkills!$A$2:$A$630,Picker!$B$40,ArmourSkills!$C$2:$C$630,$A24)+SUMIFS(ArmourSkills!$D$2:$D$630,ArmourSkills!$A$2:$A$630,Picker!$B$41,ArmourSkills!$C$2:$C$630,$A24)+SUMIFS(ArmourSkills!$D$2:$D$630,ArmourSkills!$A$2:$A$630,Picker!$B$42,ArmourSkills!$C$2:$C$630,$A24)</f>
      </c>
      <c r="C24" s="16">
        <f>IF($B24=0,"",COUNTIF($B$2:$B$132,"&gt;"&amp;$B24)+COUNTIF($B$2:$B24,$B24))</f>
      </c>
    </row>
    <row r="25" spans="1:3" x14ac:dyDescent="0.25">
      <c r="A25" s="16" t="s">
        <v>86</v>
      </c>
      <c r="B25" s="16">
        <f>SUMIFS(ArmourSkills!$D$2:$D$630,ArmourSkills!$A$2:$A$630,Picker!$B$38,ArmourSkills!$C$2:$C$630,$A25)+SUMIFS(ArmourSkills!$D$2:$D$630,ArmourSkills!$A$2:$A$630,Picker!$B$39,ArmourSkills!$C$2:$C$630,$A25)+SUMIFS(ArmourSkills!$D$2:$D$630,ArmourSkills!$A$2:$A$630,Picker!$B$40,ArmourSkills!$C$2:$C$630,$A25)+SUMIFS(ArmourSkills!$D$2:$D$630,ArmourSkills!$A$2:$A$630,Picker!$B$41,ArmourSkills!$C$2:$C$630,$A25)+SUMIFS(ArmourSkills!$D$2:$D$630,ArmourSkills!$A$2:$A$630,Picker!$B$42,ArmourSkills!$C$2:$C$630,$A25)</f>
      </c>
      <c r="C25" s="16">
        <f>IF($B25=0,"",COUNTIF($B$2:$B$132,"&gt;"&amp;$B25)+COUNTIF($B$2:$B25,$B25))</f>
      </c>
    </row>
    <row r="26" spans="1:3" x14ac:dyDescent="0.25">
      <c r="A26" s="16" t="s">
        <v>87</v>
      </c>
      <c r="B26" s="16">
        <f>SUMIFS(ArmourSkills!$D$2:$D$630,ArmourSkills!$A$2:$A$630,Picker!$B$38,ArmourSkills!$C$2:$C$630,$A26)+SUMIFS(ArmourSkills!$D$2:$D$630,ArmourSkills!$A$2:$A$630,Picker!$B$39,ArmourSkills!$C$2:$C$630,$A26)+SUMIFS(ArmourSkills!$D$2:$D$630,ArmourSkills!$A$2:$A$630,Picker!$B$40,ArmourSkills!$C$2:$C$630,$A26)+SUMIFS(ArmourSkills!$D$2:$D$630,ArmourSkills!$A$2:$A$630,Picker!$B$41,ArmourSkills!$C$2:$C$630,$A26)+SUMIFS(ArmourSkills!$D$2:$D$630,ArmourSkills!$A$2:$A$630,Picker!$B$42,ArmourSkills!$C$2:$C$630,$A26)</f>
      </c>
      <c r="C26" s="16">
        <f>IF($B26=0,"",COUNTIF($B$2:$B$132,"&gt;"&amp;$B26)+COUNTIF($B$2:$B26,$B26))</f>
      </c>
    </row>
    <row r="27" spans="1:3" x14ac:dyDescent="0.25">
      <c r="A27" s="16" t="s">
        <v>88</v>
      </c>
      <c r="B27" s="16">
        <f>SUMIFS(ArmourSkills!$D$2:$D$630,ArmourSkills!$A$2:$A$630,Picker!$B$38,ArmourSkills!$C$2:$C$630,$A27)+SUMIFS(ArmourSkills!$D$2:$D$630,ArmourSkills!$A$2:$A$630,Picker!$B$39,ArmourSkills!$C$2:$C$630,$A27)+SUMIFS(ArmourSkills!$D$2:$D$630,ArmourSkills!$A$2:$A$630,Picker!$B$40,ArmourSkills!$C$2:$C$630,$A27)+SUMIFS(ArmourSkills!$D$2:$D$630,ArmourSkills!$A$2:$A$630,Picker!$B$41,ArmourSkills!$C$2:$C$630,$A27)+SUMIFS(ArmourSkills!$D$2:$D$630,ArmourSkills!$A$2:$A$630,Picker!$B$42,ArmourSkills!$C$2:$C$630,$A27)</f>
      </c>
      <c r="C27" s="16">
        <f>IF($B27=0,"",COUNTIF($B$2:$B$132,"&gt;"&amp;$B27)+COUNTIF($B$2:$B27,$B27))</f>
      </c>
    </row>
    <row r="28" spans="1:3" x14ac:dyDescent="0.25">
      <c r="A28" s="16" t="s">
        <v>89</v>
      </c>
      <c r="B28" s="16">
        <f>SUMIFS(ArmourSkills!$D$2:$D$630,ArmourSkills!$A$2:$A$630,Picker!$B$38,ArmourSkills!$C$2:$C$630,$A28)+SUMIFS(ArmourSkills!$D$2:$D$630,ArmourSkills!$A$2:$A$630,Picker!$B$39,ArmourSkills!$C$2:$C$630,$A28)+SUMIFS(ArmourSkills!$D$2:$D$630,ArmourSkills!$A$2:$A$630,Picker!$B$40,ArmourSkills!$C$2:$C$630,$A28)+SUMIFS(ArmourSkills!$D$2:$D$630,ArmourSkills!$A$2:$A$630,Picker!$B$41,ArmourSkills!$C$2:$C$630,$A28)+SUMIFS(ArmourSkills!$D$2:$D$630,ArmourSkills!$A$2:$A$630,Picker!$B$42,ArmourSkills!$C$2:$C$630,$A28)</f>
      </c>
      <c r="C28" s="16">
        <f>IF($B28=0,"",COUNTIF($B$2:$B$132,"&gt;"&amp;$B28)+COUNTIF($B$2:$B28,$B28))</f>
      </c>
    </row>
    <row r="29" spans="1:3" x14ac:dyDescent="0.25">
      <c r="A29" s="16" t="s">
        <v>90</v>
      </c>
      <c r="B29" s="16">
        <f>SUMIFS(ArmourSkills!$D$2:$D$630,ArmourSkills!$A$2:$A$630,Picker!$B$38,ArmourSkills!$C$2:$C$630,$A29)+SUMIFS(ArmourSkills!$D$2:$D$630,ArmourSkills!$A$2:$A$630,Picker!$B$39,ArmourSkills!$C$2:$C$630,$A29)+SUMIFS(ArmourSkills!$D$2:$D$630,ArmourSkills!$A$2:$A$630,Picker!$B$40,ArmourSkills!$C$2:$C$630,$A29)+SUMIFS(ArmourSkills!$D$2:$D$630,ArmourSkills!$A$2:$A$630,Picker!$B$41,ArmourSkills!$C$2:$C$630,$A29)+SUMIFS(ArmourSkills!$D$2:$D$630,ArmourSkills!$A$2:$A$630,Picker!$B$42,ArmourSkills!$C$2:$C$630,$A29)</f>
      </c>
      <c r="C29" s="16">
        <f>IF($B29=0,"",COUNTIF($B$2:$B$132,"&gt;"&amp;$B29)+COUNTIF($B$2:$B29,$B29))</f>
      </c>
    </row>
    <row r="30" spans="1:3" x14ac:dyDescent="0.25">
      <c r="A30" s="16" t="s">
        <v>91</v>
      </c>
      <c r="B30" s="16">
        <f>SUMIFS(ArmourSkills!$D$2:$D$630,ArmourSkills!$A$2:$A$630,Picker!$B$38,ArmourSkills!$C$2:$C$630,$A30)+SUMIFS(ArmourSkills!$D$2:$D$630,ArmourSkills!$A$2:$A$630,Picker!$B$39,ArmourSkills!$C$2:$C$630,$A30)+SUMIFS(ArmourSkills!$D$2:$D$630,ArmourSkills!$A$2:$A$630,Picker!$B$40,ArmourSkills!$C$2:$C$630,$A30)+SUMIFS(ArmourSkills!$D$2:$D$630,ArmourSkills!$A$2:$A$630,Picker!$B$41,ArmourSkills!$C$2:$C$630,$A30)+SUMIFS(ArmourSkills!$D$2:$D$630,ArmourSkills!$A$2:$A$630,Picker!$B$42,ArmourSkills!$C$2:$C$630,$A30)</f>
      </c>
      <c r="C30" s="16">
        <f>IF($B30=0,"",COUNTIF($B$2:$B$132,"&gt;"&amp;$B30)+COUNTIF($B$2:$B30,$B30))</f>
      </c>
    </row>
    <row r="31" spans="1:3" x14ac:dyDescent="0.25">
      <c r="A31" s="16" t="s">
        <v>92</v>
      </c>
      <c r="B31" s="16">
        <f>SUMIFS(ArmourSkills!$D$2:$D$630,ArmourSkills!$A$2:$A$630,Picker!$B$38,ArmourSkills!$C$2:$C$630,$A31)+SUMIFS(ArmourSkills!$D$2:$D$630,ArmourSkills!$A$2:$A$630,Picker!$B$39,ArmourSkills!$C$2:$C$630,$A31)+SUMIFS(ArmourSkills!$D$2:$D$630,ArmourSkills!$A$2:$A$630,Picker!$B$40,ArmourSkills!$C$2:$C$630,$A31)+SUMIFS(ArmourSkills!$D$2:$D$630,ArmourSkills!$A$2:$A$630,Picker!$B$41,ArmourSkills!$C$2:$C$630,$A31)+SUMIFS(ArmourSkills!$D$2:$D$630,ArmourSkills!$A$2:$A$630,Picker!$B$42,ArmourSkills!$C$2:$C$630,$A31)</f>
      </c>
      <c r="C31" s="16">
        <f>IF($B31=0,"",COUNTIF($B$2:$B$132,"&gt;"&amp;$B31)+COUNTIF($B$2:$B31,$B31))</f>
      </c>
    </row>
    <row r="32" spans="1:3" x14ac:dyDescent="0.25">
      <c r="A32" s="16" t="s">
        <v>93</v>
      </c>
      <c r="B32" s="16">
        <f>SUMIFS(ArmourSkills!$D$2:$D$630,ArmourSkills!$A$2:$A$630,Picker!$B$38,ArmourSkills!$C$2:$C$630,$A32)+SUMIFS(ArmourSkills!$D$2:$D$630,ArmourSkills!$A$2:$A$630,Picker!$B$39,ArmourSkills!$C$2:$C$630,$A32)+SUMIFS(ArmourSkills!$D$2:$D$630,ArmourSkills!$A$2:$A$630,Picker!$B$40,ArmourSkills!$C$2:$C$630,$A32)+SUMIFS(ArmourSkills!$D$2:$D$630,ArmourSkills!$A$2:$A$630,Picker!$B$41,ArmourSkills!$C$2:$C$630,$A32)+SUMIFS(ArmourSkills!$D$2:$D$630,ArmourSkills!$A$2:$A$630,Picker!$B$42,ArmourSkills!$C$2:$C$630,$A32)</f>
      </c>
      <c r="C32" s="16">
        <f>IF($B32=0,"",COUNTIF($B$2:$B$132,"&gt;"&amp;$B32)+COUNTIF($B$2:$B32,$B32))</f>
      </c>
    </row>
    <row r="33" spans="1:3" x14ac:dyDescent="0.25">
      <c r="A33" s="16" t="s">
        <v>94</v>
      </c>
      <c r="B33" s="16">
        <f>SUMIFS(ArmourSkills!$D$2:$D$630,ArmourSkills!$A$2:$A$630,Picker!$B$38,ArmourSkills!$C$2:$C$630,$A33)+SUMIFS(ArmourSkills!$D$2:$D$630,ArmourSkills!$A$2:$A$630,Picker!$B$39,ArmourSkills!$C$2:$C$630,$A33)+SUMIFS(ArmourSkills!$D$2:$D$630,ArmourSkills!$A$2:$A$630,Picker!$B$40,ArmourSkills!$C$2:$C$630,$A33)+SUMIFS(ArmourSkills!$D$2:$D$630,ArmourSkills!$A$2:$A$630,Picker!$B$41,ArmourSkills!$C$2:$C$630,$A33)+SUMIFS(ArmourSkills!$D$2:$D$630,ArmourSkills!$A$2:$A$630,Picker!$B$42,ArmourSkills!$C$2:$C$630,$A33)</f>
      </c>
      <c r="C33" s="16">
        <f>IF($B33=0,"",COUNTIF($B$2:$B$132,"&gt;"&amp;$B33)+COUNTIF($B$2:$B33,$B33))</f>
      </c>
    </row>
    <row r="34" spans="1:3" x14ac:dyDescent="0.25">
      <c r="A34" s="16" t="s">
        <v>95</v>
      </c>
      <c r="B34" s="16">
        <f>SUMIFS(ArmourSkills!$D$2:$D$630,ArmourSkills!$A$2:$A$630,Picker!$B$38,ArmourSkills!$C$2:$C$630,$A34)+SUMIFS(ArmourSkills!$D$2:$D$630,ArmourSkills!$A$2:$A$630,Picker!$B$39,ArmourSkills!$C$2:$C$630,$A34)+SUMIFS(ArmourSkills!$D$2:$D$630,ArmourSkills!$A$2:$A$630,Picker!$B$40,ArmourSkills!$C$2:$C$630,$A34)+SUMIFS(ArmourSkills!$D$2:$D$630,ArmourSkills!$A$2:$A$630,Picker!$B$41,ArmourSkills!$C$2:$C$630,$A34)+SUMIFS(ArmourSkills!$D$2:$D$630,ArmourSkills!$A$2:$A$630,Picker!$B$42,ArmourSkills!$C$2:$C$630,$A34)</f>
      </c>
      <c r="C34" s="16">
        <f>IF($B34=0,"",COUNTIF($B$2:$B$132,"&gt;"&amp;$B34)+COUNTIF($B$2:$B34,$B34))</f>
      </c>
    </row>
    <row r="35" spans="1:3" x14ac:dyDescent="0.25">
      <c r="A35" s="16" t="s">
        <v>96</v>
      </c>
      <c r="B35" s="16">
        <f>SUMIFS(ArmourSkills!$D$2:$D$630,ArmourSkills!$A$2:$A$630,Picker!$B$38,ArmourSkills!$C$2:$C$630,$A35)+SUMIFS(ArmourSkills!$D$2:$D$630,ArmourSkills!$A$2:$A$630,Picker!$B$39,ArmourSkills!$C$2:$C$630,$A35)+SUMIFS(ArmourSkills!$D$2:$D$630,ArmourSkills!$A$2:$A$630,Picker!$B$40,ArmourSkills!$C$2:$C$630,$A35)+SUMIFS(ArmourSkills!$D$2:$D$630,ArmourSkills!$A$2:$A$630,Picker!$B$41,ArmourSkills!$C$2:$C$630,$A35)+SUMIFS(ArmourSkills!$D$2:$D$630,ArmourSkills!$A$2:$A$630,Picker!$B$42,ArmourSkills!$C$2:$C$630,$A35)</f>
      </c>
      <c r="C35" s="16">
        <f>IF($B35=0,"",COUNTIF($B$2:$B$132,"&gt;"&amp;$B35)+COUNTIF($B$2:$B35,$B35))</f>
      </c>
    </row>
    <row r="36" spans="1:3" x14ac:dyDescent="0.25">
      <c r="A36" s="16" t="s">
        <v>97</v>
      </c>
      <c r="B36" s="16">
        <f>SUMIFS(ArmourSkills!$D$2:$D$630,ArmourSkills!$A$2:$A$630,Picker!$B$38,ArmourSkills!$C$2:$C$630,$A36)+SUMIFS(ArmourSkills!$D$2:$D$630,ArmourSkills!$A$2:$A$630,Picker!$B$39,ArmourSkills!$C$2:$C$630,$A36)+SUMIFS(ArmourSkills!$D$2:$D$630,ArmourSkills!$A$2:$A$630,Picker!$B$40,ArmourSkills!$C$2:$C$630,$A36)+SUMIFS(ArmourSkills!$D$2:$D$630,ArmourSkills!$A$2:$A$630,Picker!$B$41,ArmourSkills!$C$2:$C$630,$A36)+SUMIFS(ArmourSkills!$D$2:$D$630,ArmourSkills!$A$2:$A$630,Picker!$B$42,ArmourSkills!$C$2:$C$630,$A36)</f>
      </c>
      <c r="C36" s="16">
        <f>IF($B36=0,"",COUNTIF($B$2:$B$132,"&gt;"&amp;$B36)+COUNTIF($B$2:$B36,$B36))</f>
      </c>
    </row>
    <row r="37" spans="1:3" x14ac:dyDescent="0.25">
      <c r="A37" s="16" t="s">
        <v>98</v>
      </c>
      <c r="B37" s="16">
        <f>SUMIFS(ArmourSkills!$D$2:$D$630,ArmourSkills!$A$2:$A$630,Picker!$B$38,ArmourSkills!$C$2:$C$630,$A37)+SUMIFS(ArmourSkills!$D$2:$D$630,ArmourSkills!$A$2:$A$630,Picker!$B$39,ArmourSkills!$C$2:$C$630,$A37)+SUMIFS(ArmourSkills!$D$2:$D$630,ArmourSkills!$A$2:$A$630,Picker!$B$40,ArmourSkills!$C$2:$C$630,$A37)+SUMIFS(ArmourSkills!$D$2:$D$630,ArmourSkills!$A$2:$A$630,Picker!$B$41,ArmourSkills!$C$2:$C$630,$A37)+SUMIFS(ArmourSkills!$D$2:$D$630,ArmourSkills!$A$2:$A$630,Picker!$B$42,ArmourSkills!$C$2:$C$630,$A37)</f>
      </c>
      <c r="C37" s="16">
        <f>IF($B37=0,"",COUNTIF($B$2:$B$132,"&gt;"&amp;$B37)+COUNTIF($B$2:$B37,$B37))</f>
      </c>
    </row>
    <row r="38" spans="1:3" x14ac:dyDescent="0.25">
      <c r="A38" s="16" t="s">
        <v>99</v>
      </c>
      <c r="B38" s="16">
        <f>SUMIFS(ArmourSkills!$D$2:$D$630,ArmourSkills!$A$2:$A$630,Picker!$B$38,ArmourSkills!$C$2:$C$630,$A38)+SUMIFS(ArmourSkills!$D$2:$D$630,ArmourSkills!$A$2:$A$630,Picker!$B$39,ArmourSkills!$C$2:$C$630,$A38)+SUMIFS(ArmourSkills!$D$2:$D$630,ArmourSkills!$A$2:$A$630,Picker!$B$40,ArmourSkills!$C$2:$C$630,$A38)+SUMIFS(ArmourSkills!$D$2:$D$630,ArmourSkills!$A$2:$A$630,Picker!$B$41,ArmourSkills!$C$2:$C$630,$A38)+SUMIFS(ArmourSkills!$D$2:$D$630,ArmourSkills!$A$2:$A$630,Picker!$B$42,ArmourSkills!$C$2:$C$630,$A38)</f>
      </c>
      <c r="C38" s="16">
        <f>IF($B38=0,"",COUNTIF($B$2:$B$132,"&gt;"&amp;$B38)+COUNTIF($B$2:$B38,$B38))</f>
      </c>
    </row>
    <row r="39" spans="1:3" x14ac:dyDescent="0.25">
      <c r="A39" s="16" t="s">
        <v>100</v>
      </c>
      <c r="B39" s="16">
        <f>SUMIFS(ArmourSkills!$D$2:$D$630,ArmourSkills!$A$2:$A$630,Picker!$B$38,ArmourSkills!$C$2:$C$630,$A39)+SUMIFS(ArmourSkills!$D$2:$D$630,ArmourSkills!$A$2:$A$630,Picker!$B$39,ArmourSkills!$C$2:$C$630,$A39)+SUMIFS(ArmourSkills!$D$2:$D$630,ArmourSkills!$A$2:$A$630,Picker!$B$40,ArmourSkills!$C$2:$C$630,$A39)+SUMIFS(ArmourSkills!$D$2:$D$630,ArmourSkills!$A$2:$A$630,Picker!$B$41,ArmourSkills!$C$2:$C$630,$A39)+SUMIFS(ArmourSkills!$D$2:$D$630,ArmourSkills!$A$2:$A$630,Picker!$B$42,ArmourSkills!$C$2:$C$630,$A39)</f>
      </c>
      <c r="C39" s="16">
        <f>IF($B39=0,"",COUNTIF($B$2:$B$132,"&gt;"&amp;$B39)+COUNTIF($B$2:$B39,$B39))</f>
      </c>
    </row>
    <row r="40" spans="1:3" x14ac:dyDescent="0.25">
      <c r="A40" s="16" t="s">
        <v>101</v>
      </c>
      <c r="B40" s="16">
        <f>SUMIFS(ArmourSkills!$D$2:$D$630,ArmourSkills!$A$2:$A$630,Picker!$B$38,ArmourSkills!$C$2:$C$630,$A40)+SUMIFS(ArmourSkills!$D$2:$D$630,ArmourSkills!$A$2:$A$630,Picker!$B$39,ArmourSkills!$C$2:$C$630,$A40)+SUMIFS(ArmourSkills!$D$2:$D$630,ArmourSkills!$A$2:$A$630,Picker!$B$40,ArmourSkills!$C$2:$C$630,$A40)+SUMIFS(ArmourSkills!$D$2:$D$630,ArmourSkills!$A$2:$A$630,Picker!$B$41,ArmourSkills!$C$2:$C$630,$A40)+SUMIFS(ArmourSkills!$D$2:$D$630,ArmourSkills!$A$2:$A$630,Picker!$B$42,ArmourSkills!$C$2:$C$630,$A40)</f>
      </c>
      <c r="C40" s="16">
        <f>IF($B40=0,"",COUNTIF($B$2:$B$132,"&gt;"&amp;$B40)+COUNTIF($B$2:$B40,$B40))</f>
      </c>
    </row>
    <row r="41" spans="1:3" x14ac:dyDescent="0.25">
      <c r="A41" s="16" t="s">
        <v>102</v>
      </c>
      <c r="B41" s="16">
        <f>SUMIFS(ArmourSkills!$D$2:$D$630,ArmourSkills!$A$2:$A$630,Picker!$B$38,ArmourSkills!$C$2:$C$630,$A41)+SUMIFS(ArmourSkills!$D$2:$D$630,ArmourSkills!$A$2:$A$630,Picker!$B$39,ArmourSkills!$C$2:$C$630,$A41)+SUMIFS(ArmourSkills!$D$2:$D$630,ArmourSkills!$A$2:$A$630,Picker!$B$40,ArmourSkills!$C$2:$C$630,$A41)+SUMIFS(ArmourSkills!$D$2:$D$630,ArmourSkills!$A$2:$A$630,Picker!$B$41,ArmourSkills!$C$2:$C$630,$A41)+SUMIFS(ArmourSkills!$D$2:$D$630,ArmourSkills!$A$2:$A$630,Picker!$B$42,ArmourSkills!$C$2:$C$630,$A41)</f>
      </c>
      <c r="C41" s="16">
        <f>IF($B41=0,"",COUNTIF($B$2:$B$132,"&gt;"&amp;$B41)+COUNTIF($B$2:$B41,$B41))</f>
      </c>
    </row>
    <row r="42" spans="1:3" x14ac:dyDescent="0.25">
      <c r="A42" s="16" t="s">
        <v>103</v>
      </c>
      <c r="B42" s="16">
        <f>SUMIFS(ArmourSkills!$D$2:$D$630,ArmourSkills!$A$2:$A$630,Picker!$B$38,ArmourSkills!$C$2:$C$630,$A42)+SUMIFS(ArmourSkills!$D$2:$D$630,ArmourSkills!$A$2:$A$630,Picker!$B$39,ArmourSkills!$C$2:$C$630,$A42)+SUMIFS(ArmourSkills!$D$2:$D$630,ArmourSkills!$A$2:$A$630,Picker!$B$40,ArmourSkills!$C$2:$C$630,$A42)+SUMIFS(ArmourSkills!$D$2:$D$630,ArmourSkills!$A$2:$A$630,Picker!$B$41,ArmourSkills!$C$2:$C$630,$A42)+SUMIFS(ArmourSkills!$D$2:$D$630,ArmourSkills!$A$2:$A$630,Picker!$B$42,ArmourSkills!$C$2:$C$630,$A42)</f>
      </c>
      <c r="C42" s="16">
        <f>IF($B42=0,"",COUNTIF($B$2:$B$132,"&gt;"&amp;$B42)+COUNTIF($B$2:$B42,$B42))</f>
      </c>
    </row>
    <row r="43" spans="1:3" x14ac:dyDescent="0.25">
      <c r="A43" s="16" t="s">
        <v>104</v>
      </c>
      <c r="B43" s="16">
        <f>SUMIFS(ArmourSkills!$D$2:$D$630,ArmourSkills!$A$2:$A$630,Picker!$B$38,ArmourSkills!$C$2:$C$630,$A43)+SUMIFS(ArmourSkills!$D$2:$D$630,ArmourSkills!$A$2:$A$630,Picker!$B$39,ArmourSkills!$C$2:$C$630,$A43)+SUMIFS(ArmourSkills!$D$2:$D$630,ArmourSkills!$A$2:$A$630,Picker!$B$40,ArmourSkills!$C$2:$C$630,$A43)+SUMIFS(ArmourSkills!$D$2:$D$630,ArmourSkills!$A$2:$A$630,Picker!$B$41,ArmourSkills!$C$2:$C$630,$A43)+SUMIFS(ArmourSkills!$D$2:$D$630,ArmourSkills!$A$2:$A$630,Picker!$B$42,ArmourSkills!$C$2:$C$630,$A43)</f>
      </c>
      <c r="C43" s="16">
        <f>IF($B43=0,"",COUNTIF($B$2:$B$132,"&gt;"&amp;$B43)+COUNTIF($B$2:$B43,$B43))</f>
      </c>
    </row>
    <row r="44" spans="1:3" x14ac:dyDescent="0.25">
      <c r="A44" s="16" t="s">
        <v>105</v>
      </c>
      <c r="B44" s="16">
        <f>SUMIFS(ArmourSkills!$D$2:$D$630,ArmourSkills!$A$2:$A$630,Picker!$B$38,ArmourSkills!$C$2:$C$630,$A44)+SUMIFS(ArmourSkills!$D$2:$D$630,ArmourSkills!$A$2:$A$630,Picker!$B$39,ArmourSkills!$C$2:$C$630,$A44)+SUMIFS(ArmourSkills!$D$2:$D$630,ArmourSkills!$A$2:$A$630,Picker!$B$40,ArmourSkills!$C$2:$C$630,$A44)+SUMIFS(ArmourSkills!$D$2:$D$630,ArmourSkills!$A$2:$A$630,Picker!$B$41,ArmourSkills!$C$2:$C$630,$A44)+SUMIFS(ArmourSkills!$D$2:$D$630,ArmourSkills!$A$2:$A$630,Picker!$B$42,ArmourSkills!$C$2:$C$630,$A44)</f>
      </c>
      <c r="C44" s="16">
        <f>IF($B44=0,"",COUNTIF($B$2:$B$132,"&gt;"&amp;$B44)+COUNTIF($B$2:$B44,$B44))</f>
      </c>
    </row>
    <row r="45" spans="1:3" x14ac:dyDescent="0.25">
      <c r="A45" s="16" t="s">
        <v>106</v>
      </c>
      <c r="B45" s="16">
        <f>SUMIFS(ArmourSkills!$D$2:$D$630,ArmourSkills!$A$2:$A$630,Picker!$B$38,ArmourSkills!$C$2:$C$630,$A45)+SUMIFS(ArmourSkills!$D$2:$D$630,ArmourSkills!$A$2:$A$630,Picker!$B$39,ArmourSkills!$C$2:$C$630,$A45)+SUMIFS(ArmourSkills!$D$2:$D$630,ArmourSkills!$A$2:$A$630,Picker!$B$40,ArmourSkills!$C$2:$C$630,$A45)+SUMIFS(ArmourSkills!$D$2:$D$630,ArmourSkills!$A$2:$A$630,Picker!$B$41,ArmourSkills!$C$2:$C$630,$A45)+SUMIFS(ArmourSkills!$D$2:$D$630,ArmourSkills!$A$2:$A$630,Picker!$B$42,ArmourSkills!$C$2:$C$630,$A45)</f>
      </c>
      <c r="C45" s="16">
        <f>IF($B45=0,"",COUNTIF($B$2:$B$132,"&gt;"&amp;$B45)+COUNTIF($B$2:$B45,$B45))</f>
      </c>
    </row>
    <row r="46" spans="1:3" x14ac:dyDescent="0.25">
      <c r="A46" s="16" t="s">
        <v>107</v>
      </c>
      <c r="B46" s="16">
        <f>SUMIFS(ArmourSkills!$D$2:$D$630,ArmourSkills!$A$2:$A$630,Picker!$B$38,ArmourSkills!$C$2:$C$630,$A46)+SUMIFS(ArmourSkills!$D$2:$D$630,ArmourSkills!$A$2:$A$630,Picker!$B$39,ArmourSkills!$C$2:$C$630,$A46)+SUMIFS(ArmourSkills!$D$2:$D$630,ArmourSkills!$A$2:$A$630,Picker!$B$40,ArmourSkills!$C$2:$C$630,$A46)+SUMIFS(ArmourSkills!$D$2:$D$630,ArmourSkills!$A$2:$A$630,Picker!$B$41,ArmourSkills!$C$2:$C$630,$A46)+SUMIFS(ArmourSkills!$D$2:$D$630,ArmourSkills!$A$2:$A$630,Picker!$B$42,ArmourSkills!$C$2:$C$630,$A46)</f>
      </c>
      <c r="C46" s="16">
        <f>IF($B46=0,"",COUNTIF($B$2:$B$132,"&gt;"&amp;$B46)+COUNTIF($B$2:$B46,$B46))</f>
      </c>
    </row>
    <row r="47" spans="1:3" x14ac:dyDescent="0.25">
      <c r="A47" s="16" t="s">
        <v>108</v>
      </c>
      <c r="B47" s="16">
        <f>SUMIFS(ArmourSkills!$D$2:$D$630,ArmourSkills!$A$2:$A$630,Picker!$B$38,ArmourSkills!$C$2:$C$630,$A47)+SUMIFS(ArmourSkills!$D$2:$D$630,ArmourSkills!$A$2:$A$630,Picker!$B$39,ArmourSkills!$C$2:$C$630,$A47)+SUMIFS(ArmourSkills!$D$2:$D$630,ArmourSkills!$A$2:$A$630,Picker!$B$40,ArmourSkills!$C$2:$C$630,$A47)+SUMIFS(ArmourSkills!$D$2:$D$630,ArmourSkills!$A$2:$A$630,Picker!$B$41,ArmourSkills!$C$2:$C$630,$A47)+SUMIFS(ArmourSkills!$D$2:$D$630,ArmourSkills!$A$2:$A$630,Picker!$B$42,ArmourSkills!$C$2:$C$630,$A47)</f>
      </c>
      <c r="C47" s="16">
        <f>IF($B47=0,"",COUNTIF($B$2:$B$132,"&gt;"&amp;$B47)+COUNTIF($B$2:$B47,$B47))</f>
      </c>
    </row>
    <row r="48" spans="1:3" x14ac:dyDescent="0.25">
      <c r="A48" s="16" t="s">
        <v>109</v>
      </c>
      <c r="B48" s="16">
        <f>SUMIFS(ArmourSkills!$D$2:$D$630,ArmourSkills!$A$2:$A$630,Picker!$B$38,ArmourSkills!$C$2:$C$630,$A48)+SUMIFS(ArmourSkills!$D$2:$D$630,ArmourSkills!$A$2:$A$630,Picker!$B$39,ArmourSkills!$C$2:$C$630,$A48)+SUMIFS(ArmourSkills!$D$2:$D$630,ArmourSkills!$A$2:$A$630,Picker!$B$40,ArmourSkills!$C$2:$C$630,$A48)+SUMIFS(ArmourSkills!$D$2:$D$630,ArmourSkills!$A$2:$A$630,Picker!$B$41,ArmourSkills!$C$2:$C$630,$A48)+SUMIFS(ArmourSkills!$D$2:$D$630,ArmourSkills!$A$2:$A$630,Picker!$B$42,ArmourSkills!$C$2:$C$630,$A48)</f>
      </c>
      <c r="C48" s="16">
        <f>IF($B48=0,"",COUNTIF($B$2:$B$132,"&gt;"&amp;$B48)+COUNTIF($B$2:$B48,$B48))</f>
      </c>
    </row>
    <row r="49" spans="1:3" x14ac:dyDescent="0.25">
      <c r="A49" s="16" t="s">
        <v>110</v>
      </c>
      <c r="B49" s="16">
        <f>SUMIFS(ArmourSkills!$D$2:$D$630,ArmourSkills!$A$2:$A$630,Picker!$B$38,ArmourSkills!$C$2:$C$630,$A49)+SUMIFS(ArmourSkills!$D$2:$D$630,ArmourSkills!$A$2:$A$630,Picker!$B$39,ArmourSkills!$C$2:$C$630,$A49)+SUMIFS(ArmourSkills!$D$2:$D$630,ArmourSkills!$A$2:$A$630,Picker!$B$40,ArmourSkills!$C$2:$C$630,$A49)+SUMIFS(ArmourSkills!$D$2:$D$630,ArmourSkills!$A$2:$A$630,Picker!$B$41,ArmourSkills!$C$2:$C$630,$A49)+SUMIFS(ArmourSkills!$D$2:$D$630,ArmourSkills!$A$2:$A$630,Picker!$B$42,ArmourSkills!$C$2:$C$630,$A49)</f>
      </c>
      <c r="C49" s="16">
        <f>IF($B49=0,"",COUNTIF($B$2:$B$132,"&gt;"&amp;$B49)+COUNTIF($B$2:$B49,$B49))</f>
      </c>
    </row>
    <row r="50" spans="1:3" x14ac:dyDescent="0.25">
      <c r="A50" s="16" t="s">
        <v>111</v>
      </c>
      <c r="B50" s="16">
        <f>SUMIFS(ArmourSkills!$D$2:$D$630,ArmourSkills!$A$2:$A$630,Picker!$B$38,ArmourSkills!$C$2:$C$630,$A50)+SUMIFS(ArmourSkills!$D$2:$D$630,ArmourSkills!$A$2:$A$630,Picker!$B$39,ArmourSkills!$C$2:$C$630,$A50)+SUMIFS(ArmourSkills!$D$2:$D$630,ArmourSkills!$A$2:$A$630,Picker!$B$40,ArmourSkills!$C$2:$C$630,$A50)+SUMIFS(ArmourSkills!$D$2:$D$630,ArmourSkills!$A$2:$A$630,Picker!$B$41,ArmourSkills!$C$2:$C$630,$A50)+SUMIFS(ArmourSkills!$D$2:$D$630,ArmourSkills!$A$2:$A$630,Picker!$B$42,ArmourSkills!$C$2:$C$630,$A50)</f>
      </c>
      <c r="C50" s="16">
        <f>IF($B50=0,"",COUNTIF($B$2:$B$132,"&gt;"&amp;$B50)+COUNTIF($B$2:$B50,$B50))</f>
      </c>
    </row>
    <row r="51" spans="1:3" x14ac:dyDescent="0.25">
      <c r="A51" s="16" t="s">
        <v>112</v>
      </c>
      <c r="B51" s="16">
        <f>SUMIFS(ArmourSkills!$D$2:$D$630,ArmourSkills!$A$2:$A$630,Picker!$B$38,ArmourSkills!$C$2:$C$630,$A51)+SUMIFS(ArmourSkills!$D$2:$D$630,ArmourSkills!$A$2:$A$630,Picker!$B$39,ArmourSkills!$C$2:$C$630,$A51)+SUMIFS(ArmourSkills!$D$2:$D$630,ArmourSkills!$A$2:$A$630,Picker!$B$40,ArmourSkills!$C$2:$C$630,$A51)+SUMIFS(ArmourSkills!$D$2:$D$630,ArmourSkills!$A$2:$A$630,Picker!$B$41,ArmourSkills!$C$2:$C$630,$A51)+SUMIFS(ArmourSkills!$D$2:$D$630,ArmourSkills!$A$2:$A$630,Picker!$B$42,ArmourSkills!$C$2:$C$630,$A51)</f>
      </c>
      <c r="C51" s="16">
        <f>IF($B51=0,"",COUNTIF($B$2:$B$132,"&gt;"&amp;$B51)+COUNTIF($B$2:$B51,$B51))</f>
      </c>
    </row>
    <row r="52" spans="1:3" x14ac:dyDescent="0.25">
      <c r="A52" s="16" t="s">
        <v>113</v>
      </c>
      <c r="B52" s="16">
        <f>SUMIFS(ArmourSkills!$D$2:$D$630,ArmourSkills!$A$2:$A$630,Picker!$B$38,ArmourSkills!$C$2:$C$630,$A52)+SUMIFS(ArmourSkills!$D$2:$D$630,ArmourSkills!$A$2:$A$630,Picker!$B$39,ArmourSkills!$C$2:$C$630,$A52)+SUMIFS(ArmourSkills!$D$2:$D$630,ArmourSkills!$A$2:$A$630,Picker!$B$40,ArmourSkills!$C$2:$C$630,$A52)+SUMIFS(ArmourSkills!$D$2:$D$630,ArmourSkills!$A$2:$A$630,Picker!$B$41,ArmourSkills!$C$2:$C$630,$A52)+SUMIFS(ArmourSkills!$D$2:$D$630,ArmourSkills!$A$2:$A$630,Picker!$B$42,ArmourSkills!$C$2:$C$630,$A52)</f>
      </c>
      <c r="C52" s="16">
        <f>IF($B52=0,"",COUNTIF($B$2:$B$132,"&gt;"&amp;$B52)+COUNTIF($B$2:$B52,$B52))</f>
      </c>
    </row>
    <row r="53" spans="1:3" x14ac:dyDescent="0.25">
      <c r="A53" s="16" t="s">
        <v>114</v>
      </c>
      <c r="B53" s="16">
        <f>SUMIFS(ArmourSkills!$D$2:$D$630,ArmourSkills!$A$2:$A$630,Picker!$B$38,ArmourSkills!$C$2:$C$630,$A53)+SUMIFS(ArmourSkills!$D$2:$D$630,ArmourSkills!$A$2:$A$630,Picker!$B$39,ArmourSkills!$C$2:$C$630,$A53)+SUMIFS(ArmourSkills!$D$2:$D$630,ArmourSkills!$A$2:$A$630,Picker!$B$40,ArmourSkills!$C$2:$C$630,$A53)+SUMIFS(ArmourSkills!$D$2:$D$630,ArmourSkills!$A$2:$A$630,Picker!$B$41,ArmourSkills!$C$2:$C$630,$A53)+SUMIFS(ArmourSkills!$D$2:$D$630,ArmourSkills!$A$2:$A$630,Picker!$B$42,ArmourSkills!$C$2:$C$630,$A53)</f>
      </c>
      <c r="C53" s="16">
        <f>IF($B53=0,"",COUNTIF($B$2:$B$132,"&gt;"&amp;$B53)+COUNTIF($B$2:$B53,$B53))</f>
      </c>
    </row>
    <row r="54" spans="1:3" x14ac:dyDescent="0.25">
      <c r="A54" s="16" t="s">
        <v>115</v>
      </c>
      <c r="B54" s="16">
        <f>SUMIFS(ArmourSkills!$D$2:$D$630,ArmourSkills!$A$2:$A$630,Picker!$B$38,ArmourSkills!$C$2:$C$630,$A54)+SUMIFS(ArmourSkills!$D$2:$D$630,ArmourSkills!$A$2:$A$630,Picker!$B$39,ArmourSkills!$C$2:$C$630,$A54)+SUMIFS(ArmourSkills!$D$2:$D$630,ArmourSkills!$A$2:$A$630,Picker!$B$40,ArmourSkills!$C$2:$C$630,$A54)+SUMIFS(ArmourSkills!$D$2:$D$630,ArmourSkills!$A$2:$A$630,Picker!$B$41,ArmourSkills!$C$2:$C$630,$A54)+SUMIFS(ArmourSkills!$D$2:$D$630,ArmourSkills!$A$2:$A$630,Picker!$B$42,ArmourSkills!$C$2:$C$630,$A54)</f>
      </c>
      <c r="C54" s="16">
        <f>IF($B54=0,"",COUNTIF($B$2:$B$132,"&gt;"&amp;$B54)+COUNTIF($B$2:$B54,$B54))</f>
      </c>
    </row>
    <row r="55" spans="1:3" x14ac:dyDescent="0.25">
      <c r="A55" s="16" t="s">
        <v>116</v>
      </c>
      <c r="B55" s="16">
        <f>SUMIFS(ArmourSkills!$D$2:$D$630,ArmourSkills!$A$2:$A$630,Picker!$B$38,ArmourSkills!$C$2:$C$630,$A55)+SUMIFS(ArmourSkills!$D$2:$D$630,ArmourSkills!$A$2:$A$630,Picker!$B$39,ArmourSkills!$C$2:$C$630,$A55)+SUMIFS(ArmourSkills!$D$2:$D$630,ArmourSkills!$A$2:$A$630,Picker!$B$40,ArmourSkills!$C$2:$C$630,$A55)+SUMIFS(ArmourSkills!$D$2:$D$630,ArmourSkills!$A$2:$A$630,Picker!$B$41,ArmourSkills!$C$2:$C$630,$A55)+SUMIFS(ArmourSkills!$D$2:$D$630,ArmourSkills!$A$2:$A$630,Picker!$B$42,ArmourSkills!$C$2:$C$630,$A55)</f>
      </c>
      <c r="C55" s="16">
        <f>IF($B55=0,"",COUNTIF($B$2:$B$132,"&gt;"&amp;$B55)+COUNTIF($B$2:$B55,$B55))</f>
      </c>
    </row>
    <row r="56" spans="1:3" x14ac:dyDescent="0.25">
      <c r="A56" s="16" t="s">
        <v>117</v>
      </c>
      <c r="B56" s="16">
        <f>SUMIFS(ArmourSkills!$D$2:$D$630,ArmourSkills!$A$2:$A$630,Picker!$B$38,ArmourSkills!$C$2:$C$630,$A56)+SUMIFS(ArmourSkills!$D$2:$D$630,ArmourSkills!$A$2:$A$630,Picker!$B$39,ArmourSkills!$C$2:$C$630,$A56)+SUMIFS(ArmourSkills!$D$2:$D$630,ArmourSkills!$A$2:$A$630,Picker!$B$40,ArmourSkills!$C$2:$C$630,$A56)+SUMIFS(ArmourSkills!$D$2:$D$630,ArmourSkills!$A$2:$A$630,Picker!$B$41,ArmourSkills!$C$2:$C$630,$A56)+SUMIFS(ArmourSkills!$D$2:$D$630,ArmourSkills!$A$2:$A$630,Picker!$B$42,ArmourSkills!$C$2:$C$630,$A56)</f>
      </c>
      <c r="C56" s="16">
        <f>IF($B56=0,"",COUNTIF($B$2:$B$132,"&gt;"&amp;$B56)+COUNTIF($B$2:$B56,$B56))</f>
      </c>
    </row>
    <row r="57" spans="1:3" x14ac:dyDescent="0.25">
      <c r="A57" s="16" t="s">
        <v>118</v>
      </c>
      <c r="B57" s="16">
        <f>SUMIFS(ArmourSkills!$D$2:$D$630,ArmourSkills!$A$2:$A$630,Picker!$B$38,ArmourSkills!$C$2:$C$630,$A57)+SUMIFS(ArmourSkills!$D$2:$D$630,ArmourSkills!$A$2:$A$630,Picker!$B$39,ArmourSkills!$C$2:$C$630,$A57)+SUMIFS(ArmourSkills!$D$2:$D$630,ArmourSkills!$A$2:$A$630,Picker!$B$40,ArmourSkills!$C$2:$C$630,$A57)+SUMIFS(ArmourSkills!$D$2:$D$630,ArmourSkills!$A$2:$A$630,Picker!$B$41,ArmourSkills!$C$2:$C$630,$A57)+SUMIFS(ArmourSkills!$D$2:$D$630,ArmourSkills!$A$2:$A$630,Picker!$B$42,ArmourSkills!$C$2:$C$630,$A57)</f>
      </c>
      <c r="C57" s="16">
        <f>IF($B57=0,"",COUNTIF($B$2:$B$132,"&gt;"&amp;$B57)+COUNTIF($B$2:$B57,$B57))</f>
      </c>
    </row>
    <row r="58" spans="1:3" x14ac:dyDescent="0.25">
      <c r="A58" s="16" t="s">
        <v>119</v>
      </c>
      <c r="B58" s="16">
        <f>SUMIFS(ArmourSkills!$D$2:$D$630,ArmourSkills!$A$2:$A$630,Picker!$B$38,ArmourSkills!$C$2:$C$630,$A58)+SUMIFS(ArmourSkills!$D$2:$D$630,ArmourSkills!$A$2:$A$630,Picker!$B$39,ArmourSkills!$C$2:$C$630,$A58)+SUMIFS(ArmourSkills!$D$2:$D$630,ArmourSkills!$A$2:$A$630,Picker!$B$40,ArmourSkills!$C$2:$C$630,$A58)+SUMIFS(ArmourSkills!$D$2:$D$630,ArmourSkills!$A$2:$A$630,Picker!$B$41,ArmourSkills!$C$2:$C$630,$A58)+SUMIFS(ArmourSkills!$D$2:$D$630,ArmourSkills!$A$2:$A$630,Picker!$B$42,ArmourSkills!$C$2:$C$630,$A58)</f>
      </c>
      <c r="C58" s="16">
        <f>IF($B58=0,"",COUNTIF($B$2:$B$132,"&gt;"&amp;$B58)+COUNTIF($B$2:$B58,$B58))</f>
      </c>
    </row>
    <row r="59" spans="1:3" x14ac:dyDescent="0.25">
      <c r="A59" s="16" t="s">
        <v>120</v>
      </c>
      <c r="B59" s="16">
        <f>SUMIFS(ArmourSkills!$D$2:$D$630,ArmourSkills!$A$2:$A$630,Picker!$B$38,ArmourSkills!$C$2:$C$630,$A59)+SUMIFS(ArmourSkills!$D$2:$D$630,ArmourSkills!$A$2:$A$630,Picker!$B$39,ArmourSkills!$C$2:$C$630,$A59)+SUMIFS(ArmourSkills!$D$2:$D$630,ArmourSkills!$A$2:$A$630,Picker!$B$40,ArmourSkills!$C$2:$C$630,$A59)+SUMIFS(ArmourSkills!$D$2:$D$630,ArmourSkills!$A$2:$A$630,Picker!$B$41,ArmourSkills!$C$2:$C$630,$A59)+SUMIFS(ArmourSkills!$D$2:$D$630,ArmourSkills!$A$2:$A$630,Picker!$B$42,ArmourSkills!$C$2:$C$630,$A59)</f>
      </c>
      <c r="C59" s="16">
        <f>IF($B59=0,"",COUNTIF($B$2:$B$132,"&gt;"&amp;$B59)+COUNTIF($B$2:$B59,$B59))</f>
      </c>
    </row>
    <row r="60" spans="1:3" x14ac:dyDescent="0.25">
      <c r="A60" s="16" t="s">
        <v>121</v>
      </c>
      <c r="B60" s="16">
        <f>SUMIFS(ArmourSkills!$D$2:$D$630,ArmourSkills!$A$2:$A$630,Picker!$B$38,ArmourSkills!$C$2:$C$630,$A60)+SUMIFS(ArmourSkills!$D$2:$D$630,ArmourSkills!$A$2:$A$630,Picker!$B$39,ArmourSkills!$C$2:$C$630,$A60)+SUMIFS(ArmourSkills!$D$2:$D$630,ArmourSkills!$A$2:$A$630,Picker!$B$40,ArmourSkills!$C$2:$C$630,$A60)+SUMIFS(ArmourSkills!$D$2:$D$630,ArmourSkills!$A$2:$A$630,Picker!$B$41,ArmourSkills!$C$2:$C$630,$A60)+SUMIFS(ArmourSkills!$D$2:$D$630,ArmourSkills!$A$2:$A$630,Picker!$B$42,ArmourSkills!$C$2:$C$630,$A60)</f>
      </c>
      <c r="C60" s="16">
        <f>IF($B60=0,"",COUNTIF($B$2:$B$132,"&gt;"&amp;$B60)+COUNTIF($B$2:$B60,$B60))</f>
      </c>
    </row>
    <row r="61" spans="1:3" x14ac:dyDescent="0.25">
      <c r="A61" s="16" t="s">
        <v>122</v>
      </c>
      <c r="B61" s="16">
        <f>SUMIFS(ArmourSkills!$D$2:$D$630,ArmourSkills!$A$2:$A$630,Picker!$B$38,ArmourSkills!$C$2:$C$630,$A61)+SUMIFS(ArmourSkills!$D$2:$D$630,ArmourSkills!$A$2:$A$630,Picker!$B$39,ArmourSkills!$C$2:$C$630,$A61)+SUMIFS(ArmourSkills!$D$2:$D$630,ArmourSkills!$A$2:$A$630,Picker!$B$40,ArmourSkills!$C$2:$C$630,$A61)+SUMIFS(ArmourSkills!$D$2:$D$630,ArmourSkills!$A$2:$A$630,Picker!$B$41,ArmourSkills!$C$2:$C$630,$A61)+SUMIFS(ArmourSkills!$D$2:$D$630,ArmourSkills!$A$2:$A$630,Picker!$B$42,ArmourSkills!$C$2:$C$630,$A61)</f>
      </c>
      <c r="C61" s="16">
        <f>IF($B61=0,"",COUNTIF($B$2:$B$132,"&gt;"&amp;$B61)+COUNTIF($B$2:$B61,$B61))</f>
      </c>
    </row>
    <row r="62" spans="1:3" x14ac:dyDescent="0.25">
      <c r="A62" s="16" t="s">
        <v>123</v>
      </c>
      <c r="B62" s="16">
        <f>SUMIFS(ArmourSkills!$D$2:$D$630,ArmourSkills!$A$2:$A$630,Picker!$B$38,ArmourSkills!$C$2:$C$630,$A62)+SUMIFS(ArmourSkills!$D$2:$D$630,ArmourSkills!$A$2:$A$630,Picker!$B$39,ArmourSkills!$C$2:$C$630,$A62)+SUMIFS(ArmourSkills!$D$2:$D$630,ArmourSkills!$A$2:$A$630,Picker!$B$40,ArmourSkills!$C$2:$C$630,$A62)+SUMIFS(ArmourSkills!$D$2:$D$630,ArmourSkills!$A$2:$A$630,Picker!$B$41,ArmourSkills!$C$2:$C$630,$A62)+SUMIFS(ArmourSkills!$D$2:$D$630,ArmourSkills!$A$2:$A$630,Picker!$B$42,ArmourSkills!$C$2:$C$630,$A62)</f>
      </c>
      <c r="C62" s="16">
        <f>IF($B62=0,"",COUNTIF($B$2:$B$132,"&gt;"&amp;$B62)+COUNTIF($B$2:$B62,$B62))</f>
      </c>
    </row>
    <row r="63" spans="1:3" x14ac:dyDescent="0.25">
      <c r="A63" s="16" t="s">
        <v>124</v>
      </c>
      <c r="B63" s="16">
        <f>SUMIFS(ArmourSkills!$D$2:$D$630,ArmourSkills!$A$2:$A$630,Picker!$B$38,ArmourSkills!$C$2:$C$630,$A63)+SUMIFS(ArmourSkills!$D$2:$D$630,ArmourSkills!$A$2:$A$630,Picker!$B$39,ArmourSkills!$C$2:$C$630,$A63)+SUMIFS(ArmourSkills!$D$2:$D$630,ArmourSkills!$A$2:$A$630,Picker!$B$40,ArmourSkills!$C$2:$C$630,$A63)+SUMIFS(ArmourSkills!$D$2:$D$630,ArmourSkills!$A$2:$A$630,Picker!$B$41,ArmourSkills!$C$2:$C$630,$A63)+SUMIFS(ArmourSkills!$D$2:$D$630,ArmourSkills!$A$2:$A$630,Picker!$B$42,ArmourSkills!$C$2:$C$630,$A63)</f>
      </c>
      <c r="C63" s="16">
        <f>IF($B63=0,"",COUNTIF($B$2:$B$132,"&gt;"&amp;$B63)+COUNTIF($B$2:$B63,$B63))</f>
      </c>
    </row>
    <row r="64" spans="1:3" x14ac:dyDescent="0.25">
      <c r="A64" s="16" t="s">
        <v>125</v>
      </c>
      <c r="B64" s="16">
        <f>SUMIFS(ArmourSkills!$D$2:$D$630,ArmourSkills!$A$2:$A$630,Picker!$B$38,ArmourSkills!$C$2:$C$630,$A64)+SUMIFS(ArmourSkills!$D$2:$D$630,ArmourSkills!$A$2:$A$630,Picker!$B$39,ArmourSkills!$C$2:$C$630,$A64)+SUMIFS(ArmourSkills!$D$2:$D$630,ArmourSkills!$A$2:$A$630,Picker!$B$40,ArmourSkills!$C$2:$C$630,$A64)+SUMIFS(ArmourSkills!$D$2:$D$630,ArmourSkills!$A$2:$A$630,Picker!$B$41,ArmourSkills!$C$2:$C$630,$A64)+SUMIFS(ArmourSkills!$D$2:$D$630,ArmourSkills!$A$2:$A$630,Picker!$B$42,ArmourSkills!$C$2:$C$630,$A64)</f>
      </c>
      <c r="C64" s="16">
        <f>IF($B64=0,"",COUNTIF($B$2:$B$132,"&gt;"&amp;$B64)+COUNTIF($B$2:$B64,$B64))</f>
      </c>
    </row>
    <row r="65" spans="1:3" x14ac:dyDescent="0.25">
      <c r="A65" s="16" t="s">
        <v>126</v>
      </c>
      <c r="B65" s="16">
        <f>SUMIFS(ArmourSkills!$D$2:$D$630,ArmourSkills!$A$2:$A$630,Picker!$B$38,ArmourSkills!$C$2:$C$630,$A65)+SUMIFS(ArmourSkills!$D$2:$D$630,ArmourSkills!$A$2:$A$630,Picker!$B$39,ArmourSkills!$C$2:$C$630,$A65)+SUMIFS(ArmourSkills!$D$2:$D$630,ArmourSkills!$A$2:$A$630,Picker!$B$40,ArmourSkills!$C$2:$C$630,$A65)+SUMIFS(ArmourSkills!$D$2:$D$630,ArmourSkills!$A$2:$A$630,Picker!$B$41,ArmourSkills!$C$2:$C$630,$A65)+SUMIFS(ArmourSkills!$D$2:$D$630,ArmourSkills!$A$2:$A$630,Picker!$B$42,ArmourSkills!$C$2:$C$630,$A65)</f>
      </c>
      <c r="C65" s="16">
        <f>IF($B65=0,"",COUNTIF($B$2:$B$132,"&gt;"&amp;$B65)+COUNTIF($B$2:$B65,$B65))</f>
      </c>
    </row>
    <row r="66" spans="1:3" x14ac:dyDescent="0.25">
      <c r="A66" s="16" t="s">
        <v>127</v>
      </c>
      <c r="B66" s="16">
        <f>SUMIFS(ArmourSkills!$D$2:$D$630,ArmourSkills!$A$2:$A$630,Picker!$B$38,ArmourSkills!$C$2:$C$630,$A66)+SUMIFS(ArmourSkills!$D$2:$D$630,ArmourSkills!$A$2:$A$630,Picker!$B$39,ArmourSkills!$C$2:$C$630,$A66)+SUMIFS(ArmourSkills!$D$2:$D$630,ArmourSkills!$A$2:$A$630,Picker!$B$40,ArmourSkills!$C$2:$C$630,$A66)+SUMIFS(ArmourSkills!$D$2:$D$630,ArmourSkills!$A$2:$A$630,Picker!$B$41,ArmourSkills!$C$2:$C$630,$A66)+SUMIFS(ArmourSkills!$D$2:$D$630,ArmourSkills!$A$2:$A$630,Picker!$B$42,ArmourSkills!$C$2:$C$630,$A66)</f>
      </c>
      <c r="C66" s="16">
        <f>IF($B66=0,"",COUNTIF($B$2:$B$132,"&gt;"&amp;$B66)+COUNTIF($B$2:$B66,$B66))</f>
      </c>
    </row>
    <row r="67" spans="1:3" x14ac:dyDescent="0.25">
      <c r="A67" s="16" t="s">
        <v>128</v>
      </c>
      <c r="B67" s="16">
        <f>SUMIFS(ArmourSkills!$D$2:$D$630,ArmourSkills!$A$2:$A$630,Picker!$B$38,ArmourSkills!$C$2:$C$630,$A67)+SUMIFS(ArmourSkills!$D$2:$D$630,ArmourSkills!$A$2:$A$630,Picker!$B$39,ArmourSkills!$C$2:$C$630,$A67)+SUMIFS(ArmourSkills!$D$2:$D$630,ArmourSkills!$A$2:$A$630,Picker!$B$40,ArmourSkills!$C$2:$C$630,$A67)+SUMIFS(ArmourSkills!$D$2:$D$630,ArmourSkills!$A$2:$A$630,Picker!$B$41,ArmourSkills!$C$2:$C$630,$A67)+SUMIFS(ArmourSkills!$D$2:$D$630,ArmourSkills!$A$2:$A$630,Picker!$B$42,ArmourSkills!$C$2:$C$630,$A67)</f>
      </c>
      <c r="C67" s="16">
        <f>IF($B67=0,"",COUNTIF($B$2:$B$132,"&gt;"&amp;$B67)+COUNTIF($B$2:$B67,$B67))</f>
      </c>
    </row>
    <row r="68" spans="1:3" x14ac:dyDescent="0.25">
      <c r="A68" s="16" t="s">
        <v>129</v>
      </c>
      <c r="B68" s="16">
        <f>SUMIFS(ArmourSkills!$D$2:$D$630,ArmourSkills!$A$2:$A$630,Picker!$B$38,ArmourSkills!$C$2:$C$630,$A68)+SUMIFS(ArmourSkills!$D$2:$D$630,ArmourSkills!$A$2:$A$630,Picker!$B$39,ArmourSkills!$C$2:$C$630,$A68)+SUMIFS(ArmourSkills!$D$2:$D$630,ArmourSkills!$A$2:$A$630,Picker!$B$40,ArmourSkills!$C$2:$C$630,$A68)+SUMIFS(ArmourSkills!$D$2:$D$630,ArmourSkills!$A$2:$A$630,Picker!$B$41,ArmourSkills!$C$2:$C$630,$A68)+SUMIFS(ArmourSkills!$D$2:$D$630,ArmourSkills!$A$2:$A$630,Picker!$B$42,ArmourSkills!$C$2:$C$630,$A68)</f>
      </c>
      <c r="C68" s="16">
        <f>IF($B68=0,"",COUNTIF($B$2:$B$132,"&gt;"&amp;$B68)+COUNTIF($B$2:$B68,$B68))</f>
      </c>
    </row>
    <row r="69" spans="1:3" x14ac:dyDescent="0.25">
      <c r="A69" s="16" t="s">
        <v>130</v>
      </c>
      <c r="B69" s="16">
        <f>SUMIFS(ArmourSkills!$D$2:$D$630,ArmourSkills!$A$2:$A$630,Picker!$B$38,ArmourSkills!$C$2:$C$630,$A69)+SUMIFS(ArmourSkills!$D$2:$D$630,ArmourSkills!$A$2:$A$630,Picker!$B$39,ArmourSkills!$C$2:$C$630,$A69)+SUMIFS(ArmourSkills!$D$2:$D$630,ArmourSkills!$A$2:$A$630,Picker!$B$40,ArmourSkills!$C$2:$C$630,$A69)+SUMIFS(ArmourSkills!$D$2:$D$630,ArmourSkills!$A$2:$A$630,Picker!$B$41,ArmourSkills!$C$2:$C$630,$A69)+SUMIFS(ArmourSkills!$D$2:$D$630,ArmourSkills!$A$2:$A$630,Picker!$B$42,ArmourSkills!$C$2:$C$630,$A69)</f>
      </c>
      <c r="C69" s="16">
        <f>IF($B69=0,"",COUNTIF($B$2:$B$132,"&gt;"&amp;$B69)+COUNTIF($B$2:$B69,$B69))</f>
      </c>
    </row>
    <row r="70" spans="1:3" x14ac:dyDescent="0.25">
      <c r="A70" s="16" t="s">
        <v>131</v>
      </c>
      <c r="B70" s="16">
        <f>SUMIFS(ArmourSkills!$D$2:$D$630,ArmourSkills!$A$2:$A$630,Picker!$B$38,ArmourSkills!$C$2:$C$630,$A70)+SUMIFS(ArmourSkills!$D$2:$D$630,ArmourSkills!$A$2:$A$630,Picker!$B$39,ArmourSkills!$C$2:$C$630,$A70)+SUMIFS(ArmourSkills!$D$2:$D$630,ArmourSkills!$A$2:$A$630,Picker!$B$40,ArmourSkills!$C$2:$C$630,$A70)+SUMIFS(ArmourSkills!$D$2:$D$630,ArmourSkills!$A$2:$A$630,Picker!$B$41,ArmourSkills!$C$2:$C$630,$A70)+SUMIFS(ArmourSkills!$D$2:$D$630,ArmourSkills!$A$2:$A$630,Picker!$B$42,ArmourSkills!$C$2:$C$630,$A70)</f>
      </c>
      <c r="C70" s="16">
        <f>IF($B70=0,"",COUNTIF($B$2:$B$132,"&gt;"&amp;$B70)+COUNTIF($B$2:$B70,$B70))</f>
      </c>
    </row>
    <row r="71" spans="1:3" x14ac:dyDescent="0.25">
      <c r="A71" s="16" t="s">
        <v>132</v>
      </c>
      <c r="B71" s="16">
        <f>SUMIFS(ArmourSkills!$D$2:$D$630,ArmourSkills!$A$2:$A$630,Picker!$B$38,ArmourSkills!$C$2:$C$630,$A71)+SUMIFS(ArmourSkills!$D$2:$D$630,ArmourSkills!$A$2:$A$630,Picker!$B$39,ArmourSkills!$C$2:$C$630,$A71)+SUMIFS(ArmourSkills!$D$2:$D$630,ArmourSkills!$A$2:$A$630,Picker!$B$40,ArmourSkills!$C$2:$C$630,$A71)+SUMIFS(ArmourSkills!$D$2:$D$630,ArmourSkills!$A$2:$A$630,Picker!$B$41,ArmourSkills!$C$2:$C$630,$A71)+SUMIFS(ArmourSkills!$D$2:$D$630,ArmourSkills!$A$2:$A$630,Picker!$B$42,ArmourSkills!$C$2:$C$630,$A71)</f>
      </c>
      <c r="C71" s="16">
        <f>IF($B71=0,"",COUNTIF($B$2:$B$132,"&gt;"&amp;$B71)+COUNTIF($B$2:$B71,$B71))</f>
      </c>
    </row>
    <row r="72" spans="1:3" x14ac:dyDescent="0.25">
      <c r="A72" s="16" t="s">
        <v>133</v>
      </c>
      <c r="B72" s="16">
        <f>SUMIFS(ArmourSkills!$D$2:$D$630,ArmourSkills!$A$2:$A$630,Picker!$B$38,ArmourSkills!$C$2:$C$630,$A72)+SUMIFS(ArmourSkills!$D$2:$D$630,ArmourSkills!$A$2:$A$630,Picker!$B$39,ArmourSkills!$C$2:$C$630,$A72)+SUMIFS(ArmourSkills!$D$2:$D$630,ArmourSkills!$A$2:$A$630,Picker!$B$40,ArmourSkills!$C$2:$C$630,$A72)+SUMIFS(ArmourSkills!$D$2:$D$630,ArmourSkills!$A$2:$A$630,Picker!$B$41,ArmourSkills!$C$2:$C$630,$A72)+SUMIFS(ArmourSkills!$D$2:$D$630,ArmourSkills!$A$2:$A$630,Picker!$B$42,ArmourSkills!$C$2:$C$630,$A72)</f>
      </c>
      <c r="C72" s="16">
        <f>IF($B72=0,"",COUNTIF($B$2:$B$132,"&gt;"&amp;$B72)+COUNTIF($B$2:$B72,$B72))</f>
      </c>
    </row>
    <row r="73" spans="1:3" x14ac:dyDescent="0.25">
      <c r="A73" s="16" t="s">
        <v>134</v>
      </c>
      <c r="B73" s="16">
        <f>SUMIFS(ArmourSkills!$D$2:$D$630,ArmourSkills!$A$2:$A$630,Picker!$B$38,ArmourSkills!$C$2:$C$630,$A73)+SUMIFS(ArmourSkills!$D$2:$D$630,ArmourSkills!$A$2:$A$630,Picker!$B$39,ArmourSkills!$C$2:$C$630,$A73)+SUMIFS(ArmourSkills!$D$2:$D$630,ArmourSkills!$A$2:$A$630,Picker!$B$40,ArmourSkills!$C$2:$C$630,$A73)+SUMIFS(ArmourSkills!$D$2:$D$630,ArmourSkills!$A$2:$A$630,Picker!$B$41,ArmourSkills!$C$2:$C$630,$A73)+SUMIFS(ArmourSkills!$D$2:$D$630,ArmourSkills!$A$2:$A$630,Picker!$B$42,ArmourSkills!$C$2:$C$630,$A73)</f>
      </c>
      <c r="C73" s="16">
        <f>IF($B73=0,"",COUNTIF($B$2:$B$132,"&gt;"&amp;$B73)+COUNTIF($B$2:$B73,$B73))</f>
      </c>
    </row>
    <row r="74" spans="1:3" x14ac:dyDescent="0.25">
      <c r="A74" s="16" t="s">
        <v>135</v>
      </c>
      <c r="B74" s="16">
        <f>SUMIFS(ArmourSkills!$D$2:$D$630,ArmourSkills!$A$2:$A$630,Picker!$B$38,ArmourSkills!$C$2:$C$630,$A74)+SUMIFS(ArmourSkills!$D$2:$D$630,ArmourSkills!$A$2:$A$630,Picker!$B$39,ArmourSkills!$C$2:$C$630,$A74)+SUMIFS(ArmourSkills!$D$2:$D$630,ArmourSkills!$A$2:$A$630,Picker!$B$40,ArmourSkills!$C$2:$C$630,$A74)+SUMIFS(ArmourSkills!$D$2:$D$630,ArmourSkills!$A$2:$A$630,Picker!$B$41,ArmourSkills!$C$2:$C$630,$A74)+SUMIFS(ArmourSkills!$D$2:$D$630,ArmourSkills!$A$2:$A$630,Picker!$B$42,ArmourSkills!$C$2:$C$630,$A74)</f>
      </c>
      <c r="C74" s="16">
        <f>IF($B74=0,"",COUNTIF($B$2:$B$132,"&gt;"&amp;$B74)+COUNTIF($B$2:$B74,$B74))</f>
      </c>
    </row>
    <row r="75" spans="1:3" x14ac:dyDescent="0.25">
      <c r="A75" s="16" t="s">
        <v>136</v>
      </c>
      <c r="B75" s="16">
        <f>SUMIFS(ArmourSkills!$D$2:$D$630,ArmourSkills!$A$2:$A$630,Picker!$B$38,ArmourSkills!$C$2:$C$630,$A75)+SUMIFS(ArmourSkills!$D$2:$D$630,ArmourSkills!$A$2:$A$630,Picker!$B$39,ArmourSkills!$C$2:$C$630,$A75)+SUMIFS(ArmourSkills!$D$2:$D$630,ArmourSkills!$A$2:$A$630,Picker!$B$40,ArmourSkills!$C$2:$C$630,$A75)+SUMIFS(ArmourSkills!$D$2:$D$630,ArmourSkills!$A$2:$A$630,Picker!$B$41,ArmourSkills!$C$2:$C$630,$A75)+SUMIFS(ArmourSkills!$D$2:$D$630,ArmourSkills!$A$2:$A$630,Picker!$B$42,ArmourSkills!$C$2:$C$630,$A75)</f>
      </c>
      <c r="C75" s="16">
        <f>IF($B75=0,"",COUNTIF($B$2:$B$132,"&gt;"&amp;$B75)+COUNTIF($B$2:$B75,$B75))</f>
      </c>
    </row>
    <row r="76" spans="1:3" x14ac:dyDescent="0.25">
      <c r="A76" s="16" t="s">
        <v>137</v>
      </c>
      <c r="B76" s="16">
        <f>SUMIFS(ArmourSkills!$D$2:$D$630,ArmourSkills!$A$2:$A$630,Picker!$B$38,ArmourSkills!$C$2:$C$630,$A76)+SUMIFS(ArmourSkills!$D$2:$D$630,ArmourSkills!$A$2:$A$630,Picker!$B$39,ArmourSkills!$C$2:$C$630,$A76)+SUMIFS(ArmourSkills!$D$2:$D$630,ArmourSkills!$A$2:$A$630,Picker!$B$40,ArmourSkills!$C$2:$C$630,$A76)+SUMIFS(ArmourSkills!$D$2:$D$630,ArmourSkills!$A$2:$A$630,Picker!$B$41,ArmourSkills!$C$2:$C$630,$A76)+SUMIFS(ArmourSkills!$D$2:$D$630,ArmourSkills!$A$2:$A$630,Picker!$B$42,ArmourSkills!$C$2:$C$630,$A76)</f>
      </c>
      <c r="C76" s="16">
        <f>IF($B76=0,"",COUNTIF($B$2:$B$132,"&gt;"&amp;$B76)+COUNTIF($B$2:$B76,$B76))</f>
      </c>
    </row>
    <row r="77" spans="1:3" x14ac:dyDescent="0.25">
      <c r="A77" s="16" t="s">
        <v>138</v>
      </c>
      <c r="B77" s="16">
        <f>SUMIFS(ArmourSkills!$D$2:$D$630,ArmourSkills!$A$2:$A$630,Picker!$B$38,ArmourSkills!$C$2:$C$630,$A77)+SUMIFS(ArmourSkills!$D$2:$D$630,ArmourSkills!$A$2:$A$630,Picker!$B$39,ArmourSkills!$C$2:$C$630,$A77)+SUMIFS(ArmourSkills!$D$2:$D$630,ArmourSkills!$A$2:$A$630,Picker!$B$40,ArmourSkills!$C$2:$C$630,$A77)+SUMIFS(ArmourSkills!$D$2:$D$630,ArmourSkills!$A$2:$A$630,Picker!$B$41,ArmourSkills!$C$2:$C$630,$A77)+SUMIFS(ArmourSkills!$D$2:$D$630,ArmourSkills!$A$2:$A$630,Picker!$B$42,ArmourSkills!$C$2:$C$630,$A77)</f>
      </c>
      <c r="C77" s="16">
        <f>IF($B77=0,"",COUNTIF($B$2:$B$132,"&gt;"&amp;$B77)+COUNTIF($B$2:$B77,$B77))</f>
      </c>
    </row>
    <row r="78" spans="1:3" x14ac:dyDescent="0.25">
      <c r="A78" s="16" t="s">
        <v>139</v>
      </c>
      <c r="B78" s="16">
        <f>SUMIFS(ArmourSkills!$D$2:$D$630,ArmourSkills!$A$2:$A$630,Picker!$B$38,ArmourSkills!$C$2:$C$630,$A78)+SUMIFS(ArmourSkills!$D$2:$D$630,ArmourSkills!$A$2:$A$630,Picker!$B$39,ArmourSkills!$C$2:$C$630,$A78)+SUMIFS(ArmourSkills!$D$2:$D$630,ArmourSkills!$A$2:$A$630,Picker!$B$40,ArmourSkills!$C$2:$C$630,$A78)+SUMIFS(ArmourSkills!$D$2:$D$630,ArmourSkills!$A$2:$A$630,Picker!$B$41,ArmourSkills!$C$2:$C$630,$A78)+SUMIFS(ArmourSkills!$D$2:$D$630,ArmourSkills!$A$2:$A$630,Picker!$B$42,ArmourSkills!$C$2:$C$630,$A78)</f>
      </c>
      <c r="C78" s="16">
        <f>IF($B78=0,"",COUNTIF($B$2:$B$132,"&gt;"&amp;$B78)+COUNTIF($B$2:$B78,$B78))</f>
      </c>
    </row>
    <row r="79" spans="1:3" x14ac:dyDescent="0.25">
      <c r="A79" s="16" t="s">
        <v>140</v>
      </c>
      <c r="B79" s="16">
        <f>SUMIFS(ArmourSkills!$D$2:$D$630,ArmourSkills!$A$2:$A$630,Picker!$B$38,ArmourSkills!$C$2:$C$630,$A79)+SUMIFS(ArmourSkills!$D$2:$D$630,ArmourSkills!$A$2:$A$630,Picker!$B$39,ArmourSkills!$C$2:$C$630,$A79)+SUMIFS(ArmourSkills!$D$2:$D$630,ArmourSkills!$A$2:$A$630,Picker!$B$40,ArmourSkills!$C$2:$C$630,$A79)+SUMIFS(ArmourSkills!$D$2:$D$630,ArmourSkills!$A$2:$A$630,Picker!$B$41,ArmourSkills!$C$2:$C$630,$A79)+SUMIFS(ArmourSkills!$D$2:$D$630,ArmourSkills!$A$2:$A$630,Picker!$B$42,ArmourSkills!$C$2:$C$630,$A79)</f>
      </c>
      <c r="C79" s="16">
        <f>IF($B79=0,"",COUNTIF($B$2:$B$132,"&gt;"&amp;$B79)+COUNTIF($B$2:$B79,$B79))</f>
      </c>
    </row>
    <row r="80" spans="1:3" x14ac:dyDescent="0.25">
      <c r="A80" s="16" t="s">
        <v>141</v>
      </c>
      <c r="B80" s="16">
        <f>SUMIFS(ArmourSkills!$D$2:$D$630,ArmourSkills!$A$2:$A$630,Picker!$B$38,ArmourSkills!$C$2:$C$630,$A80)+SUMIFS(ArmourSkills!$D$2:$D$630,ArmourSkills!$A$2:$A$630,Picker!$B$39,ArmourSkills!$C$2:$C$630,$A80)+SUMIFS(ArmourSkills!$D$2:$D$630,ArmourSkills!$A$2:$A$630,Picker!$B$40,ArmourSkills!$C$2:$C$630,$A80)+SUMIFS(ArmourSkills!$D$2:$D$630,ArmourSkills!$A$2:$A$630,Picker!$B$41,ArmourSkills!$C$2:$C$630,$A80)+SUMIFS(ArmourSkills!$D$2:$D$630,ArmourSkills!$A$2:$A$630,Picker!$B$42,ArmourSkills!$C$2:$C$630,$A80)</f>
      </c>
      <c r="C80" s="16">
        <f>IF($B80=0,"",COUNTIF($B$2:$B$132,"&gt;"&amp;$B80)+COUNTIF($B$2:$B80,$B80))</f>
      </c>
    </row>
    <row r="81" spans="1:3" x14ac:dyDescent="0.25">
      <c r="A81" s="16" t="s">
        <v>142</v>
      </c>
      <c r="B81" s="16">
        <f>SUMIFS(ArmourSkills!$D$2:$D$630,ArmourSkills!$A$2:$A$630,Picker!$B$38,ArmourSkills!$C$2:$C$630,$A81)+SUMIFS(ArmourSkills!$D$2:$D$630,ArmourSkills!$A$2:$A$630,Picker!$B$39,ArmourSkills!$C$2:$C$630,$A81)+SUMIFS(ArmourSkills!$D$2:$D$630,ArmourSkills!$A$2:$A$630,Picker!$B$40,ArmourSkills!$C$2:$C$630,$A81)+SUMIFS(ArmourSkills!$D$2:$D$630,ArmourSkills!$A$2:$A$630,Picker!$B$41,ArmourSkills!$C$2:$C$630,$A81)+SUMIFS(ArmourSkills!$D$2:$D$630,ArmourSkills!$A$2:$A$630,Picker!$B$42,ArmourSkills!$C$2:$C$630,$A81)</f>
      </c>
      <c r="C81" s="16">
        <f>IF($B81=0,"",COUNTIF($B$2:$B$132,"&gt;"&amp;$B81)+COUNTIF($B$2:$B81,$B81))</f>
      </c>
    </row>
    <row r="82" spans="1:3" x14ac:dyDescent="0.25">
      <c r="A82" s="16" t="s">
        <v>143</v>
      </c>
      <c r="B82" s="16">
        <f>SUMIFS(ArmourSkills!$D$2:$D$630,ArmourSkills!$A$2:$A$630,Picker!$B$38,ArmourSkills!$C$2:$C$630,$A82)+SUMIFS(ArmourSkills!$D$2:$D$630,ArmourSkills!$A$2:$A$630,Picker!$B$39,ArmourSkills!$C$2:$C$630,$A82)+SUMIFS(ArmourSkills!$D$2:$D$630,ArmourSkills!$A$2:$A$630,Picker!$B$40,ArmourSkills!$C$2:$C$630,$A82)+SUMIFS(ArmourSkills!$D$2:$D$630,ArmourSkills!$A$2:$A$630,Picker!$B$41,ArmourSkills!$C$2:$C$630,$A82)+SUMIFS(ArmourSkills!$D$2:$D$630,ArmourSkills!$A$2:$A$630,Picker!$B$42,ArmourSkills!$C$2:$C$630,$A82)</f>
      </c>
      <c r="C82" s="16">
        <f>IF($B82=0,"",COUNTIF($B$2:$B$132,"&gt;"&amp;$B82)+COUNTIF($B$2:$B82,$B82))</f>
      </c>
    </row>
    <row r="83" spans="1:3" x14ac:dyDescent="0.25">
      <c r="A83" s="16" t="s">
        <v>144</v>
      </c>
      <c r="B83" s="16">
        <f>SUMIFS(ArmourSkills!$D$2:$D$630,ArmourSkills!$A$2:$A$630,Picker!$B$38,ArmourSkills!$C$2:$C$630,$A83)+SUMIFS(ArmourSkills!$D$2:$D$630,ArmourSkills!$A$2:$A$630,Picker!$B$39,ArmourSkills!$C$2:$C$630,$A83)+SUMIFS(ArmourSkills!$D$2:$D$630,ArmourSkills!$A$2:$A$630,Picker!$B$40,ArmourSkills!$C$2:$C$630,$A83)+SUMIFS(ArmourSkills!$D$2:$D$630,ArmourSkills!$A$2:$A$630,Picker!$B$41,ArmourSkills!$C$2:$C$630,$A83)+SUMIFS(ArmourSkills!$D$2:$D$630,ArmourSkills!$A$2:$A$630,Picker!$B$42,ArmourSkills!$C$2:$C$630,$A83)</f>
      </c>
      <c r="C83" s="16">
        <f>IF($B83=0,"",COUNTIF($B$2:$B$132,"&gt;"&amp;$B83)+COUNTIF($B$2:$B83,$B83))</f>
      </c>
    </row>
    <row r="84" spans="1:3" x14ac:dyDescent="0.25">
      <c r="A84" s="16" t="s">
        <v>145</v>
      </c>
      <c r="B84" s="16">
        <f>SUMIFS(ArmourSkills!$D$2:$D$630,ArmourSkills!$A$2:$A$630,Picker!$B$38,ArmourSkills!$C$2:$C$630,$A84)+SUMIFS(ArmourSkills!$D$2:$D$630,ArmourSkills!$A$2:$A$630,Picker!$B$39,ArmourSkills!$C$2:$C$630,$A84)+SUMIFS(ArmourSkills!$D$2:$D$630,ArmourSkills!$A$2:$A$630,Picker!$B$40,ArmourSkills!$C$2:$C$630,$A84)+SUMIFS(ArmourSkills!$D$2:$D$630,ArmourSkills!$A$2:$A$630,Picker!$B$41,ArmourSkills!$C$2:$C$630,$A84)+SUMIFS(ArmourSkills!$D$2:$D$630,ArmourSkills!$A$2:$A$630,Picker!$B$42,ArmourSkills!$C$2:$C$630,$A84)</f>
      </c>
      <c r="C84" s="16">
        <f>IF($B84=0,"",COUNTIF($B$2:$B$132,"&gt;"&amp;$B84)+COUNTIF($B$2:$B84,$B84))</f>
      </c>
    </row>
    <row r="85" spans="1:3" x14ac:dyDescent="0.25">
      <c r="A85" s="16" t="s">
        <v>146</v>
      </c>
      <c r="B85" s="16">
        <f>SUMIFS(ArmourSkills!$D$2:$D$630,ArmourSkills!$A$2:$A$630,Picker!$B$38,ArmourSkills!$C$2:$C$630,$A85)+SUMIFS(ArmourSkills!$D$2:$D$630,ArmourSkills!$A$2:$A$630,Picker!$B$39,ArmourSkills!$C$2:$C$630,$A85)+SUMIFS(ArmourSkills!$D$2:$D$630,ArmourSkills!$A$2:$A$630,Picker!$B$40,ArmourSkills!$C$2:$C$630,$A85)+SUMIFS(ArmourSkills!$D$2:$D$630,ArmourSkills!$A$2:$A$630,Picker!$B$41,ArmourSkills!$C$2:$C$630,$A85)+SUMIFS(ArmourSkills!$D$2:$D$630,ArmourSkills!$A$2:$A$630,Picker!$B$42,ArmourSkills!$C$2:$C$630,$A85)</f>
      </c>
      <c r="C85" s="16">
        <f>IF($B85=0,"",COUNTIF($B$2:$B$132,"&gt;"&amp;$B85)+COUNTIF($B$2:$B85,$B85))</f>
      </c>
    </row>
    <row r="86" spans="1:3" x14ac:dyDescent="0.25">
      <c r="A86" s="16" t="s">
        <v>147</v>
      </c>
      <c r="B86" s="16">
        <f>SUMIFS(ArmourSkills!$D$2:$D$630,ArmourSkills!$A$2:$A$630,Picker!$B$38,ArmourSkills!$C$2:$C$630,$A86)+SUMIFS(ArmourSkills!$D$2:$D$630,ArmourSkills!$A$2:$A$630,Picker!$B$39,ArmourSkills!$C$2:$C$630,$A86)+SUMIFS(ArmourSkills!$D$2:$D$630,ArmourSkills!$A$2:$A$630,Picker!$B$40,ArmourSkills!$C$2:$C$630,$A86)+SUMIFS(ArmourSkills!$D$2:$D$630,ArmourSkills!$A$2:$A$630,Picker!$B$41,ArmourSkills!$C$2:$C$630,$A86)+SUMIFS(ArmourSkills!$D$2:$D$630,ArmourSkills!$A$2:$A$630,Picker!$B$42,ArmourSkills!$C$2:$C$630,$A86)</f>
      </c>
      <c r="C86" s="16">
        <f>IF($B86=0,"",COUNTIF($B$2:$B$132,"&gt;"&amp;$B86)+COUNTIF($B$2:$B86,$B86))</f>
      </c>
    </row>
    <row r="87" spans="1:3" x14ac:dyDescent="0.25">
      <c r="A87" s="16" t="s">
        <v>148</v>
      </c>
      <c r="B87" s="16">
        <f>SUMIFS(ArmourSkills!$D$2:$D$630,ArmourSkills!$A$2:$A$630,Picker!$B$38,ArmourSkills!$C$2:$C$630,$A87)+SUMIFS(ArmourSkills!$D$2:$D$630,ArmourSkills!$A$2:$A$630,Picker!$B$39,ArmourSkills!$C$2:$C$630,$A87)+SUMIFS(ArmourSkills!$D$2:$D$630,ArmourSkills!$A$2:$A$630,Picker!$B$40,ArmourSkills!$C$2:$C$630,$A87)+SUMIFS(ArmourSkills!$D$2:$D$630,ArmourSkills!$A$2:$A$630,Picker!$B$41,ArmourSkills!$C$2:$C$630,$A87)+SUMIFS(ArmourSkills!$D$2:$D$630,ArmourSkills!$A$2:$A$630,Picker!$B$42,ArmourSkills!$C$2:$C$630,$A87)</f>
      </c>
      <c r="C87" s="16">
        <f>IF($B87=0,"",COUNTIF($B$2:$B$132,"&gt;"&amp;$B87)+COUNTIF($B$2:$B87,$B87))</f>
      </c>
    </row>
    <row r="88" spans="1:3" x14ac:dyDescent="0.25">
      <c r="A88" s="16" t="s">
        <v>149</v>
      </c>
      <c r="B88" s="16">
        <f>SUMIFS(ArmourSkills!$D$2:$D$630,ArmourSkills!$A$2:$A$630,Picker!$B$38,ArmourSkills!$C$2:$C$630,$A88)+SUMIFS(ArmourSkills!$D$2:$D$630,ArmourSkills!$A$2:$A$630,Picker!$B$39,ArmourSkills!$C$2:$C$630,$A88)+SUMIFS(ArmourSkills!$D$2:$D$630,ArmourSkills!$A$2:$A$630,Picker!$B$40,ArmourSkills!$C$2:$C$630,$A88)+SUMIFS(ArmourSkills!$D$2:$D$630,ArmourSkills!$A$2:$A$630,Picker!$B$41,ArmourSkills!$C$2:$C$630,$A88)+SUMIFS(ArmourSkills!$D$2:$D$630,ArmourSkills!$A$2:$A$630,Picker!$B$42,ArmourSkills!$C$2:$C$630,$A88)</f>
      </c>
      <c r="C88" s="16">
        <f>IF($B88=0,"",COUNTIF($B$2:$B$132,"&gt;"&amp;$B88)+COUNTIF($B$2:$B88,$B88))</f>
      </c>
    </row>
    <row r="89" spans="1:3" x14ac:dyDescent="0.25">
      <c r="A89" s="16" t="s">
        <v>150</v>
      </c>
      <c r="B89" s="16">
        <f>SUMIFS(ArmourSkills!$D$2:$D$630,ArmourSkills!$A$2:$A$630,Picker!$B$38,ArmourSkills!$C$2:$C$630,$A89)+SUMIFS(ArmourSkills!$D$2:$D$630,ArmourSkills!$A$2:$A$630,Picker!$B$39,ArmourSkills!$C$2:$C$630,$A89)+SUMIFS(ArmourSkills!$D$2:$D$630,ArmourSkills!$A$2:$A$630,Picker!$B$40,ArmourSkills!$C$2:$C$630,$A89)+SUMIFS(ArmourSkills!$D$2:$D$630,ArmourSkills!$A$2:$A$630,Picker!$B$41,ArmourSkills!$C$2:$C$630,$A89)+SUMIFS(ArmourSkills!$D$2:$D$630,ArmourSkills!$A$2:$A$630,Picker!$B$42,ArmourSkills!$C$2:$C$630,$A89)</f>
      </c>
      <c r="C89" s="16">
        <f>IF($B89=0,"",COUNTIF($B$2:$B$132,"&gt;"&amp;$B89)+COUNTIF($B$2:$B89,$B89))</f>
      </c>
    </row>
    <row r="90" spans="1:3" x14ac:dyDescent="0.25">
      <c r="A90" s="16" t="s">
        <v>151</v>
      </c>
      <c r="B90" s="16">
        <f>SUMIFS(ArmourSkills!$D$2:$D$630,ArmourSkills!$A$2:$A$630,Picker!$B$38,ArmourSkills!$C$2:$C$630,$A90)+SUMIFS(ArmourSkills!$D$2:$D$630,ArmourSkills!$A$2:$A$630,Picker!$B$39,ArmourSkills!$C$2:$C$630,$A90)+SUMIFS(ArmourSkills!$D$2:$D$630,ArmourSkills!$A$2:$A$630,Picker!$B$40,ArmourSkills!$C$2:$C$630,$A90)+SUMIFS(ArmourSkills!$D$2:$D$630,ArmourSkills!$A$2:$A$630,Picker!$B$41,ArmourSkills!$C$2:$C$630,$A90)+SUMIFS(ArmourSkills!$D$2:$D$630,ArmourSkills!$A$2:$A$630,Picker!$B$42,ArmourSkills!$C$2:$C$630,$A90)</f>
      </c>
      <c r="C90" s="16">
        <f>IF($B90=0,"",COUNTIF($B$2:$B$132,"&gt;"&amp;$B90)+COUNTIF($B$2:$B90,$B90))</f>
      </c>
    </row>
    <row r="91" spans="1:3" x14ac:dyDescent="0.25">
      <c r="A91" s="16" t="s">
        <v>152</v>
      </c>
      <c r="B91" s="16">
        <f>SUMIFS(ArmourSkills!$D$2:$D$630,ArmourSkills!$A$2:$A$630,Picker!$B$38,ArmourSkills!$C$2:$C$630,$A91)+SUMIFS(ArmourSkills!$D$2:$D$630,ArmourSkills!$A$2:$A$630,Picker!$B$39,ArmourSkills!$C$2:$C$630,$A91)+SUMIFS(ArmourSkills!$D$2:$D$630,ArmourSkills!$A$2:$A$630,Picker!$B$40,ArmourSkills!$C$2:$C$630,$A91)+SUMIFS(ArmourSkills!$D$2:$D$630,ArmourSkills!$A$2:$A$630,Picker!$B$41,ArmourSkills!$C$2:$C$630,$A91)+SUMIFS(ArmourSkills!$D$2:$D$630,ArmourSkills!$A$2:$A$630,Picker!$B$42,ArmourSkills!$C$2:$C$630,$A91)</f>
      </c>
      <c r="C91" s="16">
        <f>IF($B91=0,"",COUNTIF($B$2:$B$132,"&gt;"&amp;$B91)+COUNTIF($B$2:$B91,$B91))</f>
      </c>
    </row>
    <row r="92" spans="1:3" x14ac:dyDescent="0.25">
      <c r="A92" s="16" t="s">
        <v>153</v>
      </c>
      <c r="B92" s="16">
        <f>SUMIFS(ArmourSkills!$D$2:$D$630,ArmourSkills!$A$2:$A$630,Picker!$B$38,ArmourSkills!$C$2:$C$630,$A92)+SUMIFS(ArmourSkills!$D$2:$D$630,ArmourSkills!$A$2:$A$630,Picker!$B$39,ArmourSkills!$C$2:$C$630,$A92)+SUMIFS(ArmourSkills!$D$2:$D$630,ArmourSkills!$A$2:$A$630,Picker!$B$40,ArmourSkills!$C$2:$C$630,$A92)+SUMIFS(ArmourSkills!$D$2:$D$630,ArmourSkills!$A$2:$A$630,Picker!$B$41,ArmourSkills!$C$2:$C$630,$A92)+SUMIFS(ArmourSkills!$D$2:$D$630,ArmourSkills!$A$2:$A$630,Picker!$B$42,ArmourSkills!$C$2:$C$630,$A92)</f>
      </c>
      <c r="C92" s="16">
        <f>IF($B92=0,"",COUNTIF($B$2:$B$132,"&gt;"&amp;$B92)+COUNTIF($B$2:$B92,$B92))</f>
      </c>
    </row>
    <row r="93" spans="1:3" x14ac:dyDescent="0.25">
      <c r="A93" s="16" t="s">
        <v>154</v>
      </c>
      <c r="B93" s="16">
        <f>SUMIFS(ArmourSkills!$D$2:$D$630,ArmourSkills!$A$2:$A$630,Picker!$B$38,ArmourSkills!$C$2:$C$630,$A93)+SUMIFS(ArmourSkills!$D$2:$D$630,ArmourSkills!$A$2:$A$630,Picker!$B$39,ArmourSkills!$C$2:$C$630,$A93)+SUMIFS(ArmourSkills!$D$2:$D$630,ArmourSkills!$A$2:$A$630,Picker!$B$40,ArmourSkills!$C$2:$C$630,$A93)+SUMIFS(ArmourSkills!$D$2:$D$630,ArmourSkills!$A$2:$A$630,Picker!$B$41,ArmourSkills!$C$2:$C$630,$A93)+SUMIFS(ArmourSkills!$D$2:$D$630,ArmourSkills!$A$2:$A$630,Picker!$B$42,ArmourSkills!$C$2:$C$630,$A93)</f>
      </c>
      <c r="C93" s="16">
        <f>IF($B93=0,"",COUNTIF($B$2:$B$132,"&gt;"&amp;$B93)+COUNTIF($B$2:$B93,$B93))</f>
      </c>
    </row>
    <row r="94" spans="1:3" x14ac:dyDescent="0.25">
      <c r="A94" s="16" t="s">
        <v>155</v>
      </c>
      <c r="B94" s="16">
        <f>SUMIFS(ArmourSkills!$D$2:$D$630,ArmourSkills!$A$2:$A$630,Picker!$B$38,ArmourSkills!$C$2:$C$630,$A94)+SUMIFS(ArmourSkills!$D$2:$D$630,ArmourSkills!$A$2:$A$630,Picker!$B$39,ArmourSkills!$C$2:$C$630,$A94)+SUMIFS(ArmourSkills!$D$2:$D$630,ArmourSkills!$A$2:$A$630,Picker!$B$40,ArmourSkills!$C$2:$C$630,$A94)+SUMIFS(ArmourSkills!$D$2:$D$630,ArmourSkills!$A$2:$A$630,Picker!$B$41,ArmourSkills!$C$2:$C$630,$A94)+SUMIFS(ArmourSkills!$D$2:$D$630,ArmourSkills!$A$2:$A$630,Picker!$B$42,ArmourSkills!$C$2:$C$630,$A94)</f>
      </c>
      <c r="C94" s="16">
        <f>IF($B94=0,"",COUNTIF($B$2:$B$132,"&gt;"&amp;$B94)+COUNTIF($B$2:$B94,$B94))</f>
      </c>
    </row>
    <row r="95" spans="1:3" x14ac:dyDescent="0.25">
      <c r="A95" s="16" t="s">
        <v>156</v>
      </c>
      <c r="B95" s="16">
        <f>SUMIFS(ArmourSkills!$D$2:$D$630,ArmourSkills!$A$2:$A$630,Picker!$B$38,ArmourSkills!$C$2:$C$630,$A95)+SUMIFS(ArmourSkills!$D$2:$D$630,ArmourSkills!$A$2:$A$630,Picker!$B$39,ArmourSkills!$C$2:$C$630,$A95)+SUMIFS(ArmourSkills!$D$2:$D$630,ArmourSkills!$A$2:$A$630,Picker!$B$40,ArmourSkills!$C$2:$C$630,$A95)+SUMIFS(ArmourSkills!$D$2:$D$630,ArmourSkills!$A$2:$A$630,Picker!$B$41,ArmourSkills!$C$2:$C$630,$A95)+SUMIFS(ArmourSkills!$D$2:$D$630,ArmourSkills!$A$2:$A$630,Picker!$B$42,ArmourSkills!$C$2:$C$630,$A95)</f>
      </c>
      <c r="C95" s="16">
        <f>IF($B95=0,"",COUNTIF($B$2:$B$132,"&gt;"&amp;$B95)+COUNTIF($B$2:$B95,$B95))</f>
      </c>
    </row>
    <row r="96" spans="1:3" x14ac:dyDescent="0.25">
      <c r="A96" s="16" t="s">
        <v>157</v>
      </c>
      <c r="B96" s="16">
        <f>SUMIFS(ArmourSkills!$D$2:$D$630,ArmourSkills!$A$2:$A$630,Picker!$B$38,ArmourSkills!$C$2:$C$630,$A96)+SUMIFS(ArmourSkills!$D$2:$D$630,ArmourSkills!$A$2:$A$630,Picker!$B$39,ArmourSkills!$C$2:$C$630,$A96)+SUMIFS(ArmourSkills!$D$2:$D$630,ArmourSkills!$A$2:$A$630,Picker!$B$40,ArmourSkills!$C$2:$C$630,$A96)+SUMIFS(ArmourSkills!$D$2:$D$630,ArmourSkills!$A$2:$A$630,Picker!$B$41,ArmourSkills!$C$2:$C$630,$A96)+SUMIFS(ArmourSkills!$D$2:$D$630,ArmourSkills!$A$2:$A$630,Picker!$B$42,ArmourSkills!$C$2:$C$630,$A96)</f>
      </c>
      <c r="C96" s="16">
        <f>IF($B96=0,"",COUNTIF($B$2:$B$132,"&gt;"&amp;$B96)+COUNTIF($B$2:$B96,$B96))</f>
      </c>
    </row>
    <row r="97" spans="1:3" x14ac:dyDescent="0.25">
      <c r="A97" s="16" t="s">
        <v>158</v>
      </c>
      <c r="B97" s="16">
        <f>SUMIFS(ArmourSkills!$D$2:$D$630,ArmourSkills!$A$2:$A$630,Picker!$B$38,ArmourSkills!$C$2:$C$630,$A97)+SUMIFS(ArmourSkills!$D$2:$D$630,ArmourSkills!$A$2:$A$630,Picker!$B$39,ArmourSkills!$C$2:$C$630,$A97)+SUMIFS(ArmourSkills!$D$2:$D$630,ArmourSkills!$A$2:$A$630,Picker!$B$40,ArmourSkills!$C$2:$C$630,$A97)+SUMIFS(ArmourSkills!$D$2:$D$630,ArmourSkills!$A$2:$A$630,Picker!$B$41,ArmourSkills!$C$2:$C$630,$A97)+SUMIFS(ArmourSkills!$D$2:$D$630,ArmourSkills!$A$2:$A$630,Picker!$B$42,ArmourSkills!$C$2:$C$630,$A97)</f>
      </c>
      <c r="C97" s="16">
        <f>IF($B97=0,"",COUNTIF($B$2:$B$132,"&gt;"&amp;$B97)+COUNTIF($B$2:$B97,$B97))</f>
      </c>
    </row>
    <row r="98" spans="1:3" x14ac:dyDescent="0.25">
      <c r="A98" s="16" t="s">
        <v>159</v>
      </c>
      <c r="B98" s="16">
        <f>SUMIFS(ArmourSkills!$D$2:$D$630,ArmourSkills!$A$2:$A$630,Picker!$B$38,ArmourSkills!$C$2:$C$630,$A98)+SUMIFS(ArmourSkills!$D$2:$D$630,ArmourSkills!$A$2:$A$630,Picker!$B$39,ArmourSkills!$C$2:$C$630,$A98)+SUMIFS(ArmourSkills!$D$2:$D$630,ArmourSkills!$A$2:$A$630,Picker!$B$40,ArmourSkills!$C$2:$C$630,$A98)+SUMIFS(ArmourSkills!$D$2:$D$630,ArmourSkills!$A$2:$A$630,Picker!$B$41,ArmourSkills!$C$2:$C$630,$A98)+SUMIFS(ArmourSkills!$D$2:$D$630,ArmourSkills!$A$2:$A$630,Picker!$B$42,ArmourSkills!$C$2:$C$630,$A98)</f>
      </c>
      <c r="C98" s="16">
        <f>IF($B98=0,"",COUNTIF($B$2:$B$132,"&gt;"&amp;$B98)+COUNTIF($B$2:$B98,$B98))</f>
      </c>
    </row>
    <row r="99" spans="1:3" x14ac:dyDescent="0.25">
      <c r="A99" s="16" t="s">
        <v>160</v>
      </c>
      <c r="B99" s="16">
        <f>SUMIFS(ArmourSkills!$D$2:$D$630,ArmourSkills!$A$2:$A$630,Picker!$B$38,ArmourSkills!$C$2:$C$630,$A99)+SUMIFS(ArmourSkills!$D$2:$D$630,ArmourSkills!$A$2:$A$630,Picker!$B$39,ArmourSkills!$C$2:$C$630,$A99)+SUMIFS(ArmourSkills!$D$2:$D$630,ArmourSkills!$A$2:$A$630,Picker!$B$40,ArmourSkills!$C$2:$C$630,$A99)+SUMIFS(ArmourSkills!$D$2:$D$630,ArmourSkills!$A$2:$A$630,Picker!$B$41,ArmourSkills!$C$2:$C$630,$A99)+SUMIFS(ArmourSkills!$D$2:$D$630,ArmourSkills!$A$2:$A$630,Picker!$B$42,ArmourSkills!$C$2:$C$630,$A99)</f>
      </c>
      <c r="C99" s="16">
        <f>IF($B99=0,"",COUNTIF($B$2:$B$132,"&gt;"&amp;$B99)+COUNTIF($B$2:$B99,$B99))</f>
      </c>
    </row>
    <row r="100" spans="1:3" x14ac:dyDescent="0.25">
      <c r="A100" s="16" t="s">
        <v>161</v>
      </c>
      <c r="B100" s="16">
        <f>SUMIFS(ArmourSkills!$D$2:$D$630,ArmourSkills!$A$2:$A$630,Picker!$B$38,ArmourSkills!$C$2:$C$630,$A100)+SUMIFS(ArmourSkills!$D$2:$D$630,ArmourSkills!$A$2:$A$630,Picker!$B$39,ArmourSkills!$C$2:$C$630,$A100)+SUMIFS(ArmourSkills!$D$2:$D$630,ArmourSkills!$A$2:$A$630,Picker!$B$40,ArmourSkills!$C$2:$C$630,$A100)+SUMIFS(ArmourSkills!$D$2:$D$630,ArmourSkills!$A$2:$A$630,Picker!$B$41,ArmourSkills!$C$2:$C$630,$A100)+SUMIFS(ArmourSkills!$D$2:$D$630,ArmourSkills!$A$2:$A$630,Picker!$B$42,ArmourSkills!$C$2:$C$630,$A100)</f>
      </c>
      <c r="C100" s="16">
        <f>IF($B100=0,"",COUNTIF($B$2:$B$132,"&gt;"&amp;$B100)+COUNTIF($B$2:$B100,$B100))</f>
      </c>
    </row>
    <row r="101" spans="1:3" x14ac:dyDescent="0.25">
      <c r="A101" s="16" t="s">
        <v>162</v>
      </c>
      <c r="B101" s="16">
        <f>SUMIFS(ArmourSkills!$D$2:$D$630,ArmourSkills!$A$2:$A$630,Picker!$B$38,ArmourSkills!$C$2:$C$630,$A101)+SUMIFS(ArmourSkills!$D$2:$D$630,ArmourSkills!$A$2:$A$630,Picker!$B$39,ArmourSkills!$C$2:$C$630,$A101)+SUMIFS(ArmourSkills!$D$2:$D$630,ArmourSkills!$A$2:$A$630,Picker!$B$40,ArmourSkills!$C$2:$C$630,$A101)+SUMIFS(ArmourSkills!$D$2:$D$630,ArmourSkills!$A$2:$A$630,Picker!$B$41,ArmourSkills!$C$2:$C$630,$A101)+SUMIFS(ArmourSkills!$D$2:$D$630,ArmourSkills!$A$2:$A$630,Picker!$B$42,ArmourSkills!$C$2:$C$630,$A101)</f>
      </c>
      <c r="C101" s="16">
        <f>IF($B101=0,"",COUNTIF($B$2:$B$132,"&gt;"&amp;$B101)+COUNTIF($B$2:$B101,$B101))</f>
      </c>
    </row>
    <row r="102" spans="1:3" x14ac:dyDescent="0.25">
      <c r="A102" s="16" t="s">
        <v>163</v>
      </c>
      <c r="B102" s="16">
        <f>SUMIFS(ArmourSkills!$D$2:$D$630,ArmourSkills!$A$2:$A$630,Picker!$B$38,ArmourSkills!$C$2:$C$630,$A102)+SUMIFS(ArmourSkills!$D$2:$D$630,ArmourSkills!$A$2:$A$630,Picker!$B$39,ArmourSkills!$C$2:$C$630,$A102)+SUMIFS(ArmourSkills!$D$2:$D$630,ArmourSkills!$A$2:$A$630,Picker!$B$40,ArmourSkills!$C$2:$C$630,$A102)+SUMIFS(ArmourSkills!$D$2:$D$630,ArmourSkills!$A$2:$A$630,Picker!$B$41,ArmourSkills!$C$2:$C$630,$A102)+SUMIFS(ArmourSkills!$D$2:$D$630,ArmourSkills!$A$2:$A$630,Picker!$B$42,ArmourSkills!$C$2:$C$630,$A102)</f>
      </c>
      <c r="C102" s="16">
        <f>IF($B102=0,"",COUNTIF($B$2:$B$132,"&gt;"&amp;$B102)+COUNTIF($B$2:$B102,$B102))</f>
      </c>
    </row>
    <row r="103" spans="1:3" x14ac:dyDescent="0.25">
      <c r="A103" s="16" t="s">
        <v>164</v>
      </c>
      <c r="B103" s="16">
        <f>SUMIFS(ArmourSkills!$D$2:$D$630,ArmourSkills!$A$2:$A$630,Picker!$B$38,ArmourSkills!$C$2:$C$630,$A103)+SUMIFS(ArmourSkills!$D$2:$D$630,ArmourSkills!$A$2:$A$630,Picker!$B$39,ArmourSkills!$C$2:$C$630,$A103)+SUMIFS(ArmourSkills!$D$2:$D$630,ArmourSkills!$A$2:$A$630,Picker!$B$40,ArmourSkills!$C$2:$C$630,$A103)+SUMIFS(ArmourSkills!$D$2:$D$630,ArmourSkills!$A$2:$A$630,Picker!$B$41,ArmourSkills!$C$2:$C$630,$A103)+SUMIFS(ArmourSkills!$D$2:$D$630,ArmourSkills!$A$2:$A$630,Picker!$B$42,ArmourSkills!$C$2:$C$630,$A103)</f>
      </c>
      <c r="C103" s="16">
        <f>IF($B103=0,"",COUNTIF($B$2:$B$132,"&gt;"&amp;$B103)+COUNTIF($B$2:$B103,$B103))</f>
      </c>
    </row>
    <row r="104" spans="1:3" x14ac:dyDescent="0.25">
      <c r="A104" s="16" t="s">
        <v>165</v>
      </c>
      <c r="B104" s="16">
        <f>SUMIFS(ArmourSkills!$D$2:$D$630,ArmourSkills!$A$2:$A$630,Picker!$B$38,ArmourSkills!$C$2:$C$630,$A104)+SUMIFS(ArmourSkills!$D$2:$D$630,ArmourSkills!$A$2:$A$630,Picker!$B$39,ArmourSkills!$C$2:$C$630,$A104)+SUMIFS(ArmourSkills!$D$2:$D$630,ArmourSkills!$A$2:$A$630,Picker!$B$40,ArmourSkills!$C$2:$C$630,$A104)+SUMIFS(ArmourSkills!$D$2:$D$630,ArmourSkills!$A$2:$A$630,Picker!$B$41,ArmourSkills!$C$2:$C$630,$A104)+SUMIFS(ArmourSkills!$D$2:$D$630,ArmourSkills!$A$2:$A$630,Picker!$B$42,ArmourSkills!$C$2:$C$630,$A104)</f>
      </c>
      <c r="C104" s="16">
        <f>IF($B104=0,"",COUNTIF($B$2:$B$132,"&gt;"&amp;$B104)+COUNTIF($B$2:$B104,$B104))</f>
      </c>
    </row>
    <row r="105" spans="1:3" x14ac:dyDescent="0.25">
      <c r="A105" s="16" t="s">
        <v>166</v>
      </c>
      <c r="B105" s="16">
        <f>SUMIFS(ArmourSkills!$D$2:$D$630,ArmourSkills!$A$2:$A$630,Picker!$B$38,ArmourSkills!$C$2:$C$630,$A105)+SUMIFS(ArmourSkills!$D$2:$D$630,ArmourSkills!$A$2:$A$630,Picker!$B$39,ArmourSkills!$C$2:$C$630,$A105)+SUMIFS(ArmourSkills!$D$2:$D$630,ArmourSkills!$A$2:$A$630,Picker!$B$40,ArmourSkills!$C$2:$C$630,$A105)+SUMIFS(ArmourSkills!$D$2:$D$630,ArmourSkills!$A$2:$A$630,Picker!$B$41,ArmourSkills!$C$2:$C$630,$A105)+SUMIFS(ArmourSkills!$D$2:$D$630,ArmourSkills!$A$2:$A$630,Picker!$B$42,ArmourSkills!$C$2:$C$630,$A105)</f>
      </c>
      <c r="C105" s="16">
        <f>IF($B105=0,"",COUNTIF($B$2:$B$132,"&gt;"&amp;$B105)+COUNTIF($B$2:$B105,$B105))</f>
      </c>
    </row>
    <row r="106" spans="1:3" x14ac:dyDescent="0.25">
      <c r="A106" s="16" t="s">
        <v>167</v>
      </c>
      <c r="B106" s="16">
        <f>SUMIFS(ArmourSkills!$D$2:$D$630,ArmourSkills!$A$2:$A$630,Picker!$B$38,ArmourSkills!$C$2:$C$630,$A106)+SUMIFS(ArmourSkills!$D$2:$D$630,ArmourSkills!$A$2:$A$630,Picker!$B$39,ArmourSkills!$C$2:$C$630,$A106)+SUMIFS(ArmourSkills!$D$2:$D$630,ArmourSkills!$A$2:$A$630,Picker!$B$40,ArmourSkills!$C$2:$C$630,$A106)+SUMIFS(ArmourSkills!$D$2:$D$630,ArmourSkills!$A$2:$A$630,Picker!$B$41,ArmourSkills!$C$2:$C$630,$A106)+SUMIFS(ArmourSkills!$D$2:$D$630,ArmourSkills!$A$2:$A$630,Picker!$B$42,ArmourSkills!$C$2:$C$630,$A106)</f>
      </c>
      <c r="C106" s="16">
        <f>IF($B106=0,"",COUNTIF($B$2:$B$132,"&gt;"&amp;$B106)+COUNTIF($B$2:$B106,$B106))</f>
      </c>
    </row>
    <row r="107" spans="1:3" x14ac:dyDescent="0.25">
      <c r="A107" s="16" t="s">
        <v>168</v>
      </c>
      <c r="B107" s="16">
        <f>SUMIFS(ArmourSkills!$D$2:$D$630,ArmourSkills!$A$2:$A$630,Picker!$B$38,ArmourSkills!$C$2:$C$630,$A107)+SUMIFS(ArmourSkills!$D$2:$D$630,ArmourSkills!$A$2:$A$630,Picker!$B$39,ArmourSkills!$C$2:$C$630,$A107)+SUMIFS(ArmourSkills!$D$2:$D$630,ArmourSkills!$A$2:$A$630,Picker!$B$40,ArmourSkills!$C$2:$C$630,$A107)+SUMIFS(ArmourSkills!$D$2:$D$630,ArmourSkills!$A$2:$A$630,Picker!$B$41,ArmourSkills!$C$2:$C$630,$A107)+SUMIFS(ArmourSkills!$D$2:$D$630,ArmourSkills!$A$2:$A$630,Picker!$B$42,ArmourSkills!$C$2:$C$630,$A107)</f>
      </c>
      <c r="C107" s="16">
        <f>IF($B107=0,"",COUNTIF($B$2:$B$132,"&gt;"&amp;$B107)+COUNTIF($B$2:$B107,$B107))</f>
      </c>
    </row>
    <row r="108" spans="1:3" x14ac:dyDescent="0.25">
      <c r="A108" s="16" t="s">
        <v>169</v>
      </c>
      <c r="B108" s="16">
        <f>SUMIFS(ArmourSkills!$D$2:$D$630,ArmourSkills!$A$2:$A$630,Picker!$B$38,ArmourSkills!$C$2:$C$630,$A108)+SUMIFS(ArmourSkills!$D$2:$D$630,ArmourSkills!$A$2:$A$630,Picker!$B$39,ArmourSkills!$C$2:$C$630,$A108)+SUMIFS(ArmourSkills!$D$2:$D$630,ArmourSkills!$A$2:$A$630,Picker!$B$40,ArmourSkills!$C$2:$C$630,$A108)+SUMIFS(ArmourSkills!$D$2:$D$630,ArmourSkills!$A$2:$A$630,Picker!$B$41,ArmourSkills!$C$2:$C$630,$A108)+SUMIFS(ArmourSkills!$D$2:$D$630,ArmourSkills!$A$2:$A$630,Picker!$B$42,ArmourSkills!$C$2:$C$630,$A108)</f>
      </c>
      <c r="C108" s="16">
        <f>IF($B108=0,"",COUNTIF($B$2:$B$132,"&gt;"&amp;$B108)+COUNTIF($B$2:$B108,$B108))</f>
      </c>
    </row>
    <row r="109" spans="1:3" x14ac:dyDescent="0.25">
      <c r="A109" s="16" t="s">
        <v>170</v>
      </c>
      <c r="B109" s="16">
        <f>SUMIFS(ArmourSkills!$D$2:$D$630,ArmourSkills!$A$2:$A$630,Picker!$B$38,ArmourSkills!$C$2:$C$630,$A109)+SUMIFS(ArmourSkills!$D$2:$D$630,ArmourSkills!$A$2:$A$630,Picker!$B$39,ArmourSkills!$C$2:$C$630,$A109)+SUMIFS(ArmourSkills!$D$2:$D$630,ArmourSkills!$A$2:$A$630,Picker!$B$40,ArmourSkills!$C$2:$C$630,$A109)+SUMIFS(ArmourSkills!$D$2:$D$630,ArmourSkills!$A$2:$A$630,Picker!$B$41,ArmourSkills!$C$2:$C$630,$A109)+SUMIFS(ArmourSkills!$D$2:$D$630,ArmourSkills!$A$2:$A$630,Picker!$B$42,ArmourSkills!$C$2:$C$630,$A109)</f>
      </c>
      <c r="C109" s="16">
        <f>IF($B109=0,"",COUNTIF($B$2:$B$132,"&gt;"&amp;$B109)+COUNTIF($B$2:$B109,$B109))</f>
      </c>
    </row>
    <row r="110" spans="1:3" x14ac:dyDescent="0.25">
      <c r="A110" s="16" t="s">
        <v>171</v>
      </c>
      <c r="B110" s="16">
        <f>SUMIFS(ArmourSkills!$D$2:$D$630,ArmourSkills!$A$2:$A$630,Picker!$B$38,ArmourSkills!$C$2:$C$630,$A110)+SUMIFS(ArmourSkills!$D$2:$D$630,ArmourSkills!$A$2:$A$630,Picker!$B$39,ArmourSkills!$C$2:$C$630,$A110)+SUMIFS(ArmourSkills!$D$2:$D$630,ArmourSkills!$A$2:$A$630,Picker!$B$40,ArmourSkills!$C$2:$C$630,$A110)+SUMIFS(ArmourSkills!$D$2:$D$630,ArmourSkills!$A$2:$A$630,Picker!$B$41,ArmourSkills!$C$2:$C$630,$A110)+SUMIFS(ArmourSkills!$D$2:$D$630,ArmourSkills!$A$2:$A$630,Picker!$B$42,ArmourSkills!$C$2:$C$630,$A110)</f>
      </c>
      <c r="C110" s="16">
        <f>IF($B110=0,"",COUNTIF($B$2:$B$132,"&gt;"&amp;$B110)+COUNTIF($B$2:$B110,$B110))</f>
      </c>
    </row>
    <row r="111" spans="1:3" x14ac:dyDescent="0.25">
      <c r="A111" s="16" t="s">
        <v>172</v>
      </c>
      <c r="B111" s="16">
        <f>SUMIFS(ArmourSkills!$D$2:$D$630,ArmourSkills!$A$2:$A$630,Picker!$B$38,ArmourSkills!$C$2:$C$630,$A111)+SUMIFS(ArmourSkills!$D$2:$D$630,ArmourSkills!$A$2:$A$630,Picker!$B$39,ArmourSkills!$C$2:$C$630,$A111)+SUMIFS(ArmourSkills!$D$2:$D$630,ArmourSkills!$A$2:$A$630,Picker!$B$40,ArmourSkills!$C$2:$C$630,$A111)+SUMIFS(ArmourSkills!$D$2:$D$630,ArmourSkills!$A$2:$A$630,Picker!$B$41,ArmourSkills!$C$2:$C$630,$A111)+SUMIFS(ArmourSkills!$D$2:$D$630,ArmourSkills!$A$2:$A$630,Picker!$B$42,ArmourSkills!$C$2:$C$630,$A111)</f>
      </c>
      <c r="C111" s="16">
        <f>IF($B111=0,"",COUNTIF($B$2:$B$132,"&gt;"&amp;$B111)+COUNTIF($B$2:$B111,$B111))</f>
      </c>
    </row>
    <row r="112" spans="1:3" x14ac:dyDescent="0.25">
      <c r="A112" s="16" t="s">
        <v>173</v>
      </c>
      <c r="B112" s="16">
        <f>SUMIFS(ArmourSkills!$D$2:$D$630,ArmourSkills!$A$2:$A$630,Picker!$B$38,ArmourSkills!$C$2:$C$630,$A112)+SUMIFS(ArmourSkills!$D$2:$D$630,ArmourSkills!$A$2:$A$630,Picker!$B$39,ArmourSkills!$C$2:$C$630,$A112)+SUMIFS(ArmourSkills!$D$2:$D$630,ArmourSkills!$A$2:$A$630,Picker!$B$40,ArmourSkills!$C$2:$C$630,$A112)+SUMIFS(ArmourSkills!$D$2:$D$630,ArmourSkills!$A$2:$A$630,Picker!$B$41,ArmourSkills!$C$2:$C$630,$A112)+SUMIFS(ArmourSkills!$D$2:$D$630,ArmourSkills!$A$2:$A$630,Picker!$B$42,ArmourSkills!$C$2:$C$630,$A112)</f>
      </c>
      <c r="C112" s="16">
        <f>IF($B112=0,"",COUNTIF($B$2:$B$132,"&gt;"&amp;$B112)+COUNTIF($B$2:$B112,$B112))</f>
      </c>
    </row>
    <row r="113" spans="1:3" x14ac:dyDescent="0.25">
      <c r="A113" s="16" t="s">
        <v>174</v>
      </c>
      <c r="B113" s="16">
        <f>SUMIFS(ArmourSkills!$D$2:$D$630,ArmourSkills!$A$2:$A$630,Picker!$B$38,ArmourSkills!$C$2:$C$630,$A113)+SUMIFS(ArmourSkills!$D$2:$D$630,ArmourSkills!$A$2:$A$630,Picker!$B$39,ArmourSkills!$C$2:$C$630,$A113)+SUMIFS(ArmourSkills!$D$2:$D$630,ArmourSkills!$A$2:$A$630,Picker!$B$40,ArmourSkills!$C$2:$C$630,$A113)+SUMIFS(ArmourSkills!$D$2:$D$630,ArmourSkills!$A$2:$A$630,Picker!$B$41,ArmourSkills!$C$2:$C$630,$A113)+SUMIFS(ArmourSkills!$D$2:$D$630,ArmourSkills!$A$2:$A$630,Picker!$B$42,ArmourSkills!$C$2:$C$630,$A113)</f>
      </c>
      <c r="C113" s="16">
        <f>IF($B113=0,"",COUNTIF($B$2:$B$132,"&gt;"&amp;$B113)+COUNTIF($B$2:$B113,$B113))</f>
      </c>
    </row>
    <row r="114" spans="1:3" x14ac:dyDescent="0.25">
      <c r="A114" s="16" t="s">
        <v>175</v>
      </c>
      <c r="B114" s="16">
        <f>SUMIFS(ArmourSkills!$D$2:$D$630,ArmourSkills!$A$2:$A$630,Picker!$B$38,ArmourSkills!$C$2:$C$630,$A114)+SUMIFS(ArmourSkills!$D$2:$D$630,ArmourSkills!$A$2:$A$630,Picker!$B$39,ArmourSkills!$C$2:$C$630,$A114)+SUMIFS(ArmourSkills!$D$2:$D$630,ArmourSkills!$A$2:$A$630,Picker!$B$40,ArmourSkills!$C$2:$C$630,$A114)+SUMIFS(ArmourSkills!$D$2:$D$630,ArmourSkills!$A$2:$A$630,Picker!$B$41,ArmourSkills!$C$2:$C$630,$A114)+SUMIFS(ArmourSkills!$D$2:$D$630,ArmourSkills!$A$2:$A$630,Picker!$B$42,ArmourSkills!$C$2:$C$630,$A114)</f>
      </c>
      <c r="C114" s="16">
        <f>IF($B114=0,"",COUNTIF($B$2:$B$132,"&gt;"&amp;$B114)+COUNTIF($B$2:$B114,$B114))</f>
      </c>
    </row>
    <row r="115" spans="1:3" x14ac:dyDescent="0.25">
      <c r="A115" s="16" t="s">
        <v>176</v>
      </c>
      <c r="B115" s="16">
        <f>SUMIFS(ArmourSkills!$D$2:$D$630,ArmourSkills!$A$2:$A$630,Picker!$B$38,ArmourSkills!$C$2:$C$630,$A115)+SUMIFS(ArmourSkills!$D$2:$D$630,ArmourSkills!$A$2:$A$630,Picker!$B$39,ArmourSkills!$C$2:$C$630,$A115)+SUMIFS(ArmourSkills!$D$2:$D$630,ArmourSkills!$A$2:$A$630,Picker!$B$40,ArmourSkills!$C$2:$C$630,$A115)+SUMIFS(ArmourSkills!$D$2:$D$630,ArmourSkills!$A$2:$A$630,Picker!$B$41,ArmourSkills!$C$2:$C$630,$A115)+SUMIFS(ArmourSkills!$D$2:$D$630,ArmourSkills!$A$2:$A$630,Picker!$B$42,ArmourSkills!$C$2:$C$630,$A115)</f>
      </c>
      <c r="C115" s="16">
        <f>IF($B115=0,"",COUNTIF($B$2:$B$132,"&gt;"&amp;$B115)+COUNTIF($B$2:$B115,$B115))</f>
      </c>
    </row>
    <row r="116" spans="1:3" x14ac:dyDescent="0.25">
      <c r="A116" s="16" t="s">
        <v>177</v>
      </c>
      <c r="B116" s="16">
        <f>SUMIFS(ArmourSkills!$D$2:$D$630,ArmourSkills!$A$2:$A$630,Picker!$B$38,ArmourSkills!$C$2:$C$630,$A116)+SUMIFS(ArmourSkills!$D$2:$D$630,ArmourSkills!$A$2:$A$630,Picker!$B$39,ArmourSkills!$C$2:$C$630,$A116)+SUMIFS(ArmourSkills!$D$2:$D$630,ArmourSkills!$A$2:$A$630,Picker!$B$40,ArmourSkills!$C$2:$C$630,$A116)+SUMIFS(ArmourSkills!$D$2:$D$630,ArmourSkills!$A$2:$A$630,Picker!$B$41,ArmourSkills!$C$2:$C$630,$A116)+SUMIFS(ArmourSkills!$D$2:$D$630,ArmourSkills!$A$2:$A$630,Picker!$B$42,ArmourSkills!$C$2:$C$630,$A116)</f>
      </c>
      <c r="C116" s="16">
        <f>IF($B116=0,"",COUNTIF($B$2:$B$132,"&gt;"&amp;$B116)+COUNTIF($B$2:$B116,$B116))</f>
      </c>
    </row>
    <row r="117" spans="1:3" x14ac:dyDescent="0.25">
      <c r="A117" s="16" t="s">
        <v>178</v>
      </c>
      <c r="B117" s="16">
        <f>SUMIFS(ArmourSkills!$D$2:$D$630,ArmourSkills!$A$2:$A$630,Picker!$B$38,ArmourSkills!$C$2:$C$630,$A117)+SUMIFS(ArmourSkills!$D$2:$D$630,ArmourSkills!$A$2:$A$630,Picker!$B$39,ArmourSkills!$C$2:$C$630,$A117)+SUMIFS(ArmourSkills!$D$2:$D$630,ArmourSkills!$A$2:$A$630,Picker!$B$40,ArmourSkills!$C$2:$C$630,$A117)+SUMIFS(ArmourSkills!$D$2:$D$630,ArmourSkills!$A$2:$A$630,Picker!$B$41,ArmourSkills!$C$2:$C$630,$A117)+SUMIFS(ArmourSkills!$D$2:$D$630,ArmourSkills!$A$2:$A$630,Picker!$B$42,ArmourSkills!$C$2:$C$630,$A117)</f>
      </c>
      <c r="C117" s="16">
        <f>IF($B117=0,"",COUNTIF($B$2:$B$132,"&gt;"&amp;$B117)+COUNTIF($B$2:$B117,$B117))</f>
      </c>
    </row>
    <row r="118" spans="1:3" x14ac:dyDescent="0.25">
      <c r="A118" s="16" t="s">
        <v>179</v>
      </c>
      <c r="B118" s="16">
        <f>SUMIFS(ArmourSkills!$D$2:$D$630,ArmourSkills!$A$2:$A$630,Picker!$B$38,ArmourSkills!$C$2:$C$630,$A118)+SUMIFS(ArmourSkills!$D$2:$D$630,ArmourSkills!$A$2:$A$630,Picker!$B$39,ArmourSkills!$C$2:$C$630,$A118)+SUMIFS(ArmourSkills!$D$2:$D$630,ArmourSkills!$A$2:$A$630,Picker!$B$40,ArmourSkills!$C$2:$C$630,$A118)+SUMIFS(ArmourSkills!$D$2:$D$630,ArmourSkills!$A$2:$A$630,Picker!$B$41,ArmourSkills!$C$2:$C$630,$A118)+SUMIFS(ArmourSkills!$D$2:$D$630,ArmourSkills!$A$2:$A$630,Picker!$B$42,ArmourSkills!$C$2:$C$630,$A118)</f>
      </c>
      <c r="C118" s="16">
        <f>IF($B118=0,"",COUNTIF($B$2:$B$132,"&gt;"&amp;$B118)+COUNTIF($B$2:$B118,$B118))</f>
      </c>
    </row>
    <row r="119" spans="1:3" x14ac:dyDescent="0.25">
      <c r="A119" s="16" t="s">
        <v>180</v>
      </c>
      <c r="B119" s="16">
        <f>SUMIFS(ArmourSkills!$D$2:$D$630,ArmourSkills!$A$2:$A$630,Picker!$B$38,ArmourSkills!$C$2:$C$630,$A119)+SUMIFS(ArmourSkills!$D$2:$D$630,ArmourSkills!$A$2:$A$630,Picker!$B$39,ArmourSkills!$C$2:$C$630,$A119)+SUMIFS(ArmourSkills!$D$2:$D$630,ArmourSkills!$A$2:$A$630,Picker!$B$40,ArmourSkills!$C$2:$C$630,$A119)+SUMIFS(ArmourSkills!$D$2:$D$630,ArmourSkills!$A$2:$A$630,Picker!$B$41,ArmourSkills!$C$2:$C$630,$A119)+SUMIFS(ArmourSkills!$D$2:$D$630,ArmourSkills!$A$2:$A$630,Picker!$B$42,ArmourSkills!$C$2:$C$630,$A119)</f>
      </c>
      <c r="C119" s="16">
        <f>IF($B119=0,"",COUNTIF($B$2:$B$132,"&gt;"&amp;$B119)+COUNTIF($B$2:$B119,$B119))</f>
      </c>
    </row>
    <row r="120" spans="1:3" x14ac:dyDescent="0.25">
      <c r="A120" s="16" t="s">
        <v>181</v>
      </c>
      <c r="B120" s="16">
        <f>SUMIFS(ArmourSkills!$D$2:$D$630,ArmourSkills!$A$2:$A$630,Picker!$B$38,ArmourSkills!$C$2:$C$630,$A120)+SUMIFS(ArmourSkills!$D$2:$D$630,ArmourSkills!$A$2:$A$630,Picker!$B$39,ArmourSkills!$C$2:$C$630,$A120)+SUMIFS(ArmourSkills!$D$2:$D$630,ArmourSkills!$A$2:$A$630,Picker!$B$40,ArmourSkills!$C$2:$C$630,$A120)+SUMIFS(ArmourSkills!$D$2:$D$630,ArmourSkills!$A$2:$A$630,Picker!$B$41,ArmourSkills!$C$2:$C$630,$A120)+SUMIFS(ArmourSkills!$D$2:$D$630,ArmourSkills!$A$2:$A$630,Picker!$B$42,ArmourSkills!$C$2:$C$630,$A120)</f>
      </c>
      <c r="C120" s="16">
        <f>IF($B120=0,"",COUNTIF($B$2:$B$132,"&gt;"&amp;$B120)+COUNTIF($B$2:$B120,$B120))</f>
      </c>
    </row>
    <row r="121" spans="1:3" x14ac:dyDescent="0.25">
      <c r="A121" s="16" t="s">
        <v>182</v>
      </c>
      <c r="B121" s="16">
        <f>SUMIFS(ArmourSkills!$D$2:$D$630,ArmourSkills!$A$2:$A$630,Picker!$B$38,ArmourSkills!$C$2:$C$630,$A121)+SUMIFS(ArmourSkills!$D$2:$D$630,ArmourSkills!$A$2:$A$630,Picker!$B$39,ArmourSkills!$C$2:$C$630,$A121)+SUMIFS(ArmourSkills!$D$2:$D$630,ArmourSkills!$A$2:$A$630,Picker!$B$40,ArmourSkills!$C$2:$C$630,$A121)+SUMIFS(ArmourSkills!$D$2:$D$630,ArmourSkills!$A$2:$A$630,Picker!$B$41,ArmourSkills!$C$2:$C$630,$A121)+SUMIFS(ArmourSkills!$D$2:$D$630,ArmourSkills!$A$2:$A$630,Picker!$B$42,ArmourSkills!$C$2:$C$630,$A121)</f>
      </c>
      <c r="C121" s="16">
        <f>IF($B121=0,"",COUNTIF($B$2:$B$132,"&gt;"&amp;$B121)+COUNTIF($B$2:$B121,$B121))</f>
      </c>
    </row>
    <row r="122" spans="1:3" x14ac:dyDescent="0.25">
      <c r="A122" s="16" t="s">
        <v>183</v>
      </c>
      <c r="B122" s="16">
        <f>SUMIFS(ArmourSkills!$D$2:$D$630,ArmourSkills!$A$2:$A$630,Picker!$B$38,ArmourSkills!$C$2:$C$630,$A122)+SUMIFS(ArmourSkills!$D$2:$D$630,ArmourSkills!$A$2:$A$630,Picker!$B$39,ArmourSkills!$C$2:$C$630,$A122)+SUMIFS(ArmourSkills!$D$2:$D$630,ArmourSkills!$A$2:$A$630,Picker!$B$40,ArmourSkills!$C$2:$C$630,$A122)+SUMIFS(ArmourSkills!$D$2:$D$630,ArmourSkills!$A$2:$A$630,Picker!$B$41,ArmourSkills!$C$2:$C$630,$A122)+SUMIFS(ArmourSkills!$D$2:$D$630,ArmourSkills!$A$2:$A$630,Picker!$B$42,ArmourSkills!$C$2:$C$630,$A122)</f>
      </c>
      <c r="C122" s="16">
        <f>IF($B122=0,"",COUNTIF($B$2:$B$132,"&gt;"&amp;$B122)+COUNTIF($B$2:$B122,$B122))</f>
      </c>
    </row>
    <row r="123" spans="1:3" x14ac:dyDescent="0.25">
      <c r="A123" s="16" t="s">
        <v>184</v>
      </c>
      <c r="B123" s="16">
        <f>SUMIFS(ArmourSkills!$D$2:$D$630,ArmourSkills!$A$2:$A$630,Picker!$B$38,ArmourSkills!$C$2:$C$630,$A123)+SUMIFS(ArmourSkills!$D$2:$D$630,ArmourSkills!$A$2:$A$630,Picker!$B$39,ArmourSkills!$C$2:$C$630,$A123)+SUMIFS(ArmourSkills!$D$2:$D$630,ArmourSkills!$A$2:$A$630,Picker!$B$40,ArmourSkills!$C$2:$C$630,$A123)+SUMIFS(ArmourSkills!$D$2:$D$630,ArmourSkills!$A$2:$A$630,Picker!$B$41,ArmourSkills!$C$2:$C$630,$A123)+SUMIFS(ArmourSkills!$D$2:$D$630,ArmourSkills!$A$2:$A$630,Picker!$B$42,ArmourSkills!$C$2:$C$630,$A123)</f>
      </c>
      <c r="C123" s="16">
        <f>IF($B123=0,"",COUNTIF($B$2:$B$132,"&gt;"&amp;$B123)+COUNTIF($B$2:$B123,$B123))</f>
      </c>
    </row>
    <row r="124" spans="1:3" x14ac:dyDescent="0.25">
      <c r="A124" s="16" t="s">
        <v>185</v>
      </c>
      <c r="B124" s="16">
        <f>SUMIFS(ArmourSkills!$D$2:$D$630,ArmourSkills!$A$2:$A$630,Picker!$B$38,ArmourSkills!$C$2:$C$630,$A124)+SUMIFS(ArmourSkills!$D$2:$D$630,ArmourSkills!$A$2:$A$630,Picker!$B$39,ArmourSkills!$C$2:$C$630,$A124)+SUMIFS(ArmourSkills!$D$2:$D$630,ArmourSkills!$A$2:$A$630,Picker!$B$40,ArmourSkills!$C$2:$C$630,$A124)+SUMIFS(ArmourSkills!$D$2:$D$630,ArmourSkills!$A$2:$A$630,Picker!$B$41,ArmourSkills!$C$2:$C$630,$A124)+SUMIFS(ArmourSkills!$D$2:$D$630,ArmourSkills!$A$2:$A$630,Picker!$B$42,ArmourSkills!$C$2:$C$630,$A124)</f>
      </c>
      <c r="C124" s="16">
        <f>IF($B124=0,"",COUNTIF($B$2:$B$132,"&gt;"&amp;$B124)+COUNTIF($B$2:$B124,$B124))</f>
      </c>
    </row>
    <row r="125" spans="1:3" x14ac:dyDescent="0.25">
      <c r="A125" s="16" t="s">
        <v>186</v>
      </c>
      <c r="B125" s="16">
        <f>SUMIFS(ArmourSkills!$D$2:$D$630,ArmourSkills!$A$2:$A$630,Picker!$B$38,ArmourSkills!$C$2:$C$630,$A125)+SUMIFS(ArmourSkills!$D$2:$D$630,ArmourSkills!$A$2:$A$630,Picker!$B$39,ArmourSkills!$C$2:$C$630,$A125)+SUMIFS(ArmourSkills!$D$2:$D$630,ArmourSkills!$A$2:$A$630,Picker!$B$40,ArmourSkills!$C$2:$C$630,$A125)+SUMIFS(ArmourSkills!$D$2:$D$630,ArmourSkills!$A$2:$A$630,Picker!$B$41,ArmourSkills!$C$2:$C$630,$A125)+SUMIFS(ArmourSkills!$D$2:$D$630,ArmourSkills!$A$2:$A$630,Picker!$B$42,ArmourSkills!$C$2:$C$630,$A125)</f>
      </c>
      <c r="C125" s="16">
        <f>IF($B125=0,"",COUNTIF($B$2:$B$132,"&gt;"&amp;$B125)+COUNTIF($B$2:$B125,$B125))</f>
      </c>
    </row>
    <row r="126" spans="1:3" x14ac:dyDescent="0.25">
      <c r="A126" s="16" t="s">
        <v>187</v>
      </c>
      <c r="B126" s="16">
        <f>SUMIFS(ArmourSkills!$D$2:$D$630,ArmourSkills!$A$2:$A$630,Picker!$B$38,ArmourSkills!$C$2:$C$630,$A126)+SUMIFS(ArmourSkills!$D$2:$D$630,ArmourSkills!$A$2:$A$630,Picker!$B$39,ArmourSkills!$C$2:$C$630,$A126)+SUMIFS(ArmourSkills!$D$2:$D$630,ArmourSkills!$A$2:$A$630,Picker!$B$40,ArmourSkills!$C$2:$C$630,$A126)+SUMIFS(ArmourSkills!$D$2:$D$630,ArmourSkills!$A$2:$A$630,Picker!$B$41,ArmourSkills!$C$2:$C$630,$A126)+SUMIFS(ArmourSkills!$D$2:$D$630,ArmourSkills!$A$2:$A$630,Picker!$B$42,ArmourSkills!$C$2:$C$630,$A126)</f>
      </c>
      <c r="C126" s="16">
        <f>IF($B126=0,"",COUNTIF($B$2:$B$132,"&gt;"&amp;$B126)+COUNTIF($B$2:$B126,$B126))</f>
      </c>
    </row>
    <row r="127" spans="1:3" x14ac:dyDescent="0.25">
      <c r="A127" s="16" t="s">
        <v>188</v>
      </c>
      <c r="B127" s="16">
        <f>SUMIFS(ArmourSkills!$D$2:$D$630,ArmourSkills!$A$2:$A$630,Picker!$B$38,ArmourSkills!$C$2:$C$630,$A127)+SUMIFS(ArmourSkills!$D$2:$D$630,ArmourSkills!$A$2:$A$630,Picker!$B$39,ArmourSkills!$C$2:$C$630,$A127)+SUMIFS(ArmourSkills!$D$2:$D$630,ArmourSkills!$A$2:$A$630,Picker!$B$40,ArmourSkills!$C$2:$C$630,$A127)+SUMIFS(ArmourSkills!$D$2:$D$630,ArmourSkills!$A$2:$A$630,Picker!$B$41,ArmourSkills!$C$2:$C$630,$A127)+SUMIFS(ArmourSkills!$D$2:$D$630,ArmourSkills!$A$2:$A$630,Picker!$B$42,ArmourSkills!$C$2:$C$630,$A127)</f>
      </c>
      <c r="C127" s="16">
        <f>IF($B127=0,"",COUNTIF($B$2:$B$132,"&gt;"&amp;$B127)+COUNTIF($B$2:$B127,$B127))</f>
      </c>
    </row>
    <row r="128" spans="1:3" x14ac:dyDescent="0.25">
      <c r="A128" s="16" t="s">
        <v>189</v>
      </c>
      <c r="B128" s="16">
        <f>SUMIFS(ArmourSkills!$D$2:$D$630,ArmourSkills!$A$2:$A$630,Picker!$B$38,ArmourSkills!$C$2:$C$630,$A128)+SUMIFS(ArmourSkills!$D$2:$D$630,ArmourSkills!$A$2:$A$630,Picker!$B$39,ArmourSkills!$C$2:$C$630,$A128)+SUMIFS(ArmourSkills!$D$2:$D$630,ArmourSkills!$A$2:$A$630,Picker!$B$40,ArmourSkills!$C$2:$C$630,$A128)+SUMIFS(ArmourSkills!$D$2:$D$630,ArmourSkills!$A$2:$A$630,Picker!$B$41,ArmourSkills!$C$2:$C$630,$A128)+SUMIFS(ArmourSkills!$D$2:$D$630,ArmourSkills!$A$2:$A$630,Picker!$B$42,ArmourSkills!$C$2:$C$630,$A128)</f>
      </c>
      <c r="C128" s="16">
        <f>IF($B128=0,"",COUNTIF($B$2:$B$132,"&gt;"&amp;$B128)+COUNTIF($B$2:$B128,$B128))</f>
      </c>
    </row>
    <row r="129" spans="1:3" x14ac:dyDescent="0.25">
      <c r="A129" s="16" t="s">
        <v>190</v>
      </c>
      <c r="B129" s="16">
        <f>SUMIFS(ArmourSkills!$D$2:$D$630,ArmourSkills!$A$2:$A$630,Picker!$B$38,ArmourSkills!$C$2:$C$630,$A129)+SUMIFS(ArmourSkills!$D$2:$D$630,ArmourSkills!$A$2:$A$630,Picker!$B$39,ArmourSkills!$C$2:$C$630,$A129)+SUMIFS(ArmourSkills!$D$2:$D$630,ArmourSkills!$A$2:$A$630,Picker!$B$40,ArmourSkills!$C$2:$C$630,$A129)+SUMIFS(ArmourSkills!$D$2:$D$630,ArmourSkills!$A$2:$A$630,Picker!$B$41,ArmourSkills!$C$2:$C$630,$A129)+SUMIFS(ArmourSkills!$D$2:$D$630,ArmourSkills!$A$2:$A$630,Picker!$B$42,ArmourSkills!$C$2:$C$630,$A129)</f>
      </c>
      <c r="C129" s="16">
        <f>IF($B129=0,"",COUNTIF($B$2:$B$132,"&gt;"&amp;$B129)+COUNTIF($B$2:$B129,$B129))</f>
      </c>
    </row>
    <row r="130" spans="1:3" x14ac:dyDescent="0.25">
      <c r="A130" s="16" t="s">
        <v>191</v>
      </c>
      <c r="B130" s="16">
        <f>SUMIFS(ArmourSkills!$D$2:$D$630,ArmourSkills!$A$2:$A$630,Picker!$B$38,ArmourSkills!$C$2:$C$630,$A130)+SUMIFS(ArmourSkills!$D$2:$D$630,ArmourSkills!$A$2:$A$630,Picker!$B$39,ArmourSkills!$C$2:$C$630,$A130)+SUMIFS(ArmourSkills!$D$2:$D$630,ArmourSkills!$A$2:$A$630,Picker!$B$40,ArmourSkills!$C$2:$C$630,$A130)+SUMIFS(ArmourSkills!$D$2:$D$630,ArmourSkills!$A$2:$A$630,Picker!$B$41,ArmourSkills!$C$2:$C$630,$A130)+SUMIFS(ArmourSkills!$D$2:$D$630,ArmourSkills!$A$2:$A$630,Picker!$B$42,ArmourSkills!$C$2:$C$630,$A130)</f>
      </c>
      <c r="C130" s="16">
        <f>IF($B130=0,"",COUNTIF($B$2:$B$132,"&gt;"&amp;$B130)+COUNTIF($B$2:$B130,$B130))</f>
      </c>
    </row>
    <row r="131" spans="1:3" x14ac:dyDescent="0.25">
      <c r="A131" s="16" t="s">
        <v>192</v>
      </c>
      <c r="B131" s="16">
        <f>SUMIFS(ArmourSkills!$D$2:$D$630,ArmourSkills!$A$2:$A$630,Picker!$B$38,ArmourSkills!$C$2:$C$630,$A131)+SUMIFS(ArmourSkills!$D$2:$D$630,ArmourSkills!$A$2:$A$630,Picker!$B$39,ArmourSkills!$C$2:$C$630,$A131)+SUMIFS(ArmourSkills!$D$2:$D$630,ArmourSkills!$A$2:$A$630,Picker!$B$40,ArmourSkills!$C$2:$C$630,$A131)+SUMIFS(ArmourSkills!$D$2:$D$630,ArmourSkills!$A$2:$A$630,Picker!$B$41,ArmourSkills!$C$2:$C$630,$A131)+SUMIFS(ArmourSkills!$D$2:$D$630,ArmourSkills!$A$2:$A$630,Picker!$B$42,ArmourSkills!$C$2:$C$630,$A131)</f>
      </c>
      <c r="C131" s="16">
        <f>IF($B131=0,"",COUNTIF($B$2:$B$132,"&gt;"&amp;$B131)+COUNTIF($B$2:$B131,$B131))</f>
      </c>
    </row>
    <row r="132" spans="1:3" x14ac:dyDescent="0.25">
      <c r="A132" s="16" t="s">
        <v>193</v>
      </c>
      <c r="B132" s="16">
        <f>SUMIFS(ArmourSkills!$D$2:$D$630,ArmourSkills!$A$2:$A$630,Picker!$B$38,ArmourSkills!$C$2:$C$630,$A132)+SUMIFS(ArmourSkills!$D$2:$D$630,ArmourSkills!$A$2:$A$630,Picker!$B$39,ArmourSkills!$C$2:$C$630,$A132)+SUMIFS(ArmourSkills!$D$2:$D$630,ArmourSkills!$A$2:$A$630,Picker!$B$40,ArmourSkills!$C$2:$C$630,$A132)+SUMIFS(ArmourSkills!$D$2:$D$630,ArmourSkills!$A$2:$A$630,Picker!$B$41,ArmourSkills!$C$2:$C$630,$A132)+SUMIFS(ArmourSkills!$D$2:$D$630,ArmourSkills!$A$2:$A$630,Picker!$B$42,ArmourSkills!$C$2:$C$630,$A132)</f>
      </c>
      <c r="C132" s="16">
        <f>IF($B132=0,"",COUNTIF($B$2:$B$132,"&gt;"&amp;$B132)+COUNTIF($B$2:$B132,$B132))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Picker</vt:lpstr>
      <vt:lpstr>About</vt:lpstr>
      <vt:lpstr>Skills</vt:lpstr>
      <vt:lpstr>Armour</vt:lpstr>
      <vt:lpstr>ArmourSkills</vt:lpstr>
      <vt:lpstr>Lists</vt:lpstr>
      <vt:lpstr>Calc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mhnow-db</dc:creator>
  <dc:title/>
  <dc:subject/>
  <dc:description/>
  <cp:keywords/>
  <cp:category/>
  <cp:lastModifiedBy>Unknown</cp:lastModifiedBy>
  <dcterms:created xsi:type="dcterms:W3CDTF">2026-08-12T02:37:12Z</dcterms:created>
  <dcterms:modified xsi:type="dcterms:W3CDTF">2026-08-12T02:37:12Z</dcterms:modified>
</cp:coreProperties>
</file>