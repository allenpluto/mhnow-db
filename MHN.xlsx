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wamp64\www\mhnow-db\"/>
    </mc:Choice>
  </mc:AlternateContent>
  <xr:revisionPtr revIDLastSave="0" documentId="13_ncr:1_{81216927-A88B-454A-9074-642BFBEB05D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nster" sheetId="1" r:id="rId1"/>
    <sheet name="Equipment" sheetId="2" r:id="rId2"/>
    <sheet name="Skill" sheetId="3" r:id="rId3"/>
    <sheet name="Equipment_Skill" sheetId="4" r:id="rId4"/>
    <sheet name="Weapon" sheetId="5" r:id="rId5"/>
    <sheet name="Weapon_Filtered" sheetId="6" r:id="rId6"/>
  </sheets>
  <definedNames>
    <definedName name="_xlnm._FilterDatabase" localSheetId="3" hidden="1">Equipment_Skill!$A$1:$F$677</definedName>
    <definedName name="_xlnm._FilterDatabase" localSheetId="2" hidden="1">Skill!$A$1:$I$1000</definedName>
    <definedName name="_xlnm._FilterDatabase" localSheetId="4" hidden="1">Weapon!$A$1:$U$1065</definedName>
    <definedName name="_xlnm._FilterDatabase" localSheetId="5" hidden="1">Weapon_Filtered!$A$1:$V$833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570" i="6" l="1"/>
  <c r="V570" i="6"/>
  <c r="O570" i="6"/>
  <c r="N570" i="6"/>
  <c r="G570" i="6"/>
  <c r="W569" i="6"/>
  <c r="V569" i="6"/>
  <c r="N569" i="6"/>
  <c r="O569" i="6" s="1"/>
  <c r="G569" i="6"/>
  <c r="W568" i="6"/>
  <c r="V568" i="6"/>
  <c r="W567" i="6"/>
  <c r="V567" i="6"/>
  <c r="W566" i="6"/>
  <c r="V566" i="6"/>
  <c r="W565" i="6"/>
  <c r="V565" i="6"/>
  <c r="N565" i="6"/>
  <c r="O565" i="6" s="1"/>
  <c r="W564" i="6"/>
  <c r="V564" i="6"/>
  <c r="W563" i="6"/>
  <c r="V563" i="6"/>
  <c r="N563" i="6"/>
  <c r="O563" i="6" s="1"/>
  <c r="W562" i="6"/>
  <c r="V562" i="6"/>
  <c r="O562" i="6"/>
  <c r="N562" i="6"/>
  <c r="W561" i="6"/>
  <c r="V561" i="6"/>
  <c r="N561" i="6"/>
  <c r="O561" i="6" s="1"/>
  <c r="W560" i="6"/>
  <c r="V560" i="6"/>
  <c r="O560" i="6"/>
  <c r="N560" i="6"/>
  <c r="W559" i="6"/>
  <c r="V559" i="6"/>
  <c r="W558" i="6"/>
  <c r="V558" i="6"/>
  <c r="O558" i="6"/>
  <c r="N558" i="6"/>
  <c r="W557" i="6"/>
  <c r="V557" i="6"/>
  <c r="N557" i="6"/>
  <c r="O557" i="6" s="1"/>
  <c r="W556" i="6"/>
  <c r="V556" i="6"/>
  <c r="O556" i="6"/>
  <c r="N556" i="6"/>
  <c r="W555" i="6"/>
  <c r="V555" i="6"/>
  <c r="W554" i="6"/>
  <c r="V554" i="6"/>
  <c r="W553" i="6"/>
  <c r="V553" i="6"/>
  <c r="N553" i="6"/>
  <c r="O553" i="6" s="1"/>
  <c r="W552" i="6"/>
  <c r="V552" i="6"/>
  <c r="O552" i="6"/>
  <c r="N552" i="6"/>
  <c r="W551" i="6"/>
  <c r="V551" i="6"/>
  <c r="W550" i="6"/>
  <c r="V550" i="6"/>
  <c r="W549" i="6"/>
  <c r="V549" i="6"/>
  <c r="W548" i="6"/>
  <c r="V548" i="6"/>
  <c r="W547" i="6"/>
  <c r="V547" i="6"/>
  <c r="W546" i="6"/>
  <c r="V546" i="6"/>
  <c r="W545" i="6"/>
  <c r="V545" i="6"/>
  <c r="N545" i="6"/>
  <c r="O545" i="6" s="1"/>
  <c r="W544" i="6"/>
  <c r="V544" i="6"/>
  <c r="W543" i="6"/>
  <c r="V543" i="6"/>
  <c r="W542" i="6"/>
  <c r="V542" i="6"/>
  <c r="W541" i="6"/>
  <c r="V541" i="6"/>
  <c r="N541" i="6"/>
  <c r="O541" i="6" s="1"/>
  <c r="W540" i="6"/>
  <c r="V540" i="6"/>
  <c r="O540" i="6"/>
  <c r="N540" i="6"/>
  <c r="W539" i="6"/>
  <c r="V539" i="6"/>
  <c r="W538" i="6"/>
  <c r="V538" i="6"/>
  <c r="W537" i="6"/>
  <c r="V537" i="6"/>
  <c r="W536" i="6"/>
  <c r="V536" i="6"/>
  <c r="O536" i="6"/>
  <c r="N536" i="6"/>
  <c r="W535" i="6"/>
  <c r="V535" i="6"/>
  <c r="W534" i="6"/>
  <c r="V534" i="6"/>
  <c r="W533" i="6"/>
  <c r="V533" i="6"/>
  <c r="W532" i="6"/>
  <c r="V532" i="6"/>
  <c r="O532" i="6"/>
  <c r="N532" i="6"/>
  <c r="W531" i="6"/>
  <c r="V531" i="6"/>
  <c r="W530" i="6"/>
  <c r="V530" i="6"/>
  <c r="W529" i="6"/>
  <c r="V529" i="6"/>
  <c r="N529" i="6"/>
  <c r="O529" i="6" s="1"/>
  <c r="W528" i="6"/>
  <c r="V528" i="6"/>
  <c r="O528" i="6"/>
  <c r="N528" i="6"/>
  <c r="W527" i="6"/>
  <c r="V527" i="6"/>
  <c r="N527" i="6"/>
  <c r="O527" i="6" s="1"/>
  <c r="G527" i="6"/>
  <c r="W526" i="6"/>
  <c r="V526" i="6"/>
  <c r="O526" i="6"/>
  <c r="N526" i="6"/>
  <c r="G526" i="6"/>
  <c r="W525" i="6"/>
  <c r="V525" i="6"/>
  <c r="N525" i="6"/>
  <c r="O525" i="6" s="1"/>
  <c r="G525" i="6"/>
  <c r="W524" i="6"/>
  <c r="V524" i="6"/>
  <c r="O524" i="6"/>
  <c r="N524" i="6"/>
  <c r="G524" i="6"/>
  <c r="W523" i="6"/>
  <c r="V523" i="6"/>
  <c r="W522" i="6"/>
  <c r="V522" i="6"/>
  <c r="W521" i="6"/>
  <c r="V521" i="6"/>
  <c r="W520" i="6"/>
  <c r="V520" i="6"/>
  <c r="O520" i="6"/>
  <c r="N520" i="6"/>
  <c r="W519" i="6"/>
  <c r="V519" i="6"/>
  <c r="W518" i="6"/>
  <c r="V518" i="6"/>
  <c r="O518" i="6"/>
  <c r="N518" i="6"/>
  <c r="W517" i="6"/>
  <c r="V517" i="6"/>
  <c r="N517" i="6"/>
  <c r="O517" i="6" s="1"/>
  <c r="W516" i="6"/>
  <c r="V516" i="6"/>
  <c r="O516" i="6"/>
  <c r="N516" i="6"/>
  <c r="W515" i="6"/>
  <c r="V515" i="6"/>
  <c r="W514" i="6"/>
  <c r="V514" i="6"/>
  <c r="O514" i="6"/>
  <c r="N514" i="6"/>
  <c r="W513" i="6"/>
  <c r="V513" i="6"/>
  <c r="N513" i="6"/>
  <c r="O513" i="6" s="1"/>
  <c r="W512" i="6"/>
  <c r="V512" i="6"/>
  <c r="W511" i="6"/>
  <c r="V511" i="6"/>
  <c r="N511" i="6"/>
  <c r="O511" i="6" s="1"/>
  <c r="W510" i="6"/>
  <c r="V510" i="6"/>
  <c r="O510" i="6"/>
  <c r="N510" i="6"/>
  <c r="W509" i="6"/>
  <c r="V509" i="6"/>
  <c r="N509" i="6"/>
  <c r="O509" i="6" s="1"/>
  <c r="W508" i="6"/>
  <c r="V508" i="6"/>
  <c r="W507" i="6"/>
  <c r="V507" i="6"/>
  <c r="W506" i="6"/>
  <c r="V506" i="6"/>
  <c r="W505" i="6"/>
  <c r="V505" i="6"/>
  <c r="N505" i="6"/>
  <c r="O505" i="6" s="1"/>
  <c r="W504" i="6"/>
  <c r="V504" i="6"/>
  <c r="W503" i="6"/>
  <c r="V503" i="6"/>
  <c r="W502" i="6"/>
  <c r="V502" i="6"/>
  <c r="W501" i="6"/>
  <c r="V501" i="6"/>
  <c r="W500" i="6"/>
  <c r="V500" i="6"/>
  <c r="W499" i="6"/>
  <c r="V499" i="6"/>
  <c r="W498" i="6"/>
  <c r="V498" i="6"/>
  <c r="W497" i="6"/>
  <c r="V497" i="6"/>
  <c r="W496" i="6"/>
  <c r="V496" i="6"/>
  <c r="O496" i="6"/>
  <c r="N496" i="6"/>
  <c r="W495" i="6"/>
  <c r="V495" i="6"/>
  <c r="N495" i="6"/>
  <c r="O495" i="6" s="1"/>
  <c r="W494" i="6"/>
  <c r="V494" i="6"/>
  <c r="O494" i="6"/>
  <c r="N494" i="6"/>
  <c r="W493" i="6"/>
  <c r="V493" i="6"/>
  <c r="W492" i="6"/>
  <c r="V492" i="6"/>
  <c r="O492" i="6"/>
  <c r="N492" i="6"/>
  <c r="W491" i="6"/>
  <c r="V491" i="6"/>
  <c r="N491" i="6"/>
  <c r="O491" i="6" s="1"/>
  <c r="W490" i="6"/>
  <c r="V490" i="6"/>
  <c r="W489" i="6"/>
  <c r="V489" i="6"/>
  <c r="W488" i="6"/>
  <c r="V488" i="6"/>
  <c r="W487" i="6"/>
  <c r="V487" i="6"/>
  <c r="N487" i="6"/>
  <c r="O487" i="6" s="1"/>
  <c r="W486" i="6"/>
  <c r="V486" i="6"/>
  <c r="W485" i="6"/>
  <c r="V485" i="6"/>
  <c r="W484" i="6"/>
  <c r="V484" i="6"/>
  <c r="O484" i="6"/>
  <c r="N484" i="6"/>
  <c r="W483" i="6"/>
  <c r="V483" i="6"/>
  <c r="W482" i="6"/>
  <c r="V482" i="6"/>
  <c r="O482" i="6"/>
  <c r="N482" i="6"/>
  <c r="G482" i="6"/>
  <c r="W481" i="6"/>
  <c r="V481" i="6"/>
  <c r="N481" i="6"/>
  <c r="O481" i="6" s="1"/>
  <c r="G481" i="6"/>
  <c r="W480" i="6"/>
  <c r="V480" i="6"/>
  <c r="W479" i="6"/>
  <c r="V479" i="6"/>
  <c r="N479" i="6"/>
  <c r="O479" i="6" s="1"/>
  <c r="G479" i="6"/>
  <c r="W478" i="6"/>
  <c r="V478" i="6"/>
  <c r="W477" i="6"/>
  <c r="V477" i="6"/>
  <c r="W476" i="6"/>
  <c r="V476" i="6"/>
  <c r="W475" i="6"/>
  <c r="V475" i="6"/>
  <c r="N475" i="6"/>
  <c r="O475" i="6" s="1"/>
  <c r="W474" i="6"/>
  <c r="V474" i="6"/>
  <c r="W473" i="6"/>
  <c r="V473" i="6"/>
  <c r="N473" i="6"/>
  <c r="O473" i="6" s="1"/>
  <c r="W472" i="6"/>
  <c r="V472" i="6"/>
  <c r="W471" i="6"/>
  <c r="V471" i="6"/>
  <c r="N471" i="6"/>
  <c r="O471" i="6" s="1"/>
  <c r="W470" i="6"/>
  <c r="V470" i="6"/>
  <c r="O470" i="6"/>
  <c r="N470" i="6"/>
  <c r="W469" i="6"/>
  <c r="V469" i="6"/>
  <c r="W468" i="6"/>
  <c r="V468" i="6"/>
  <c r="O468" i="6"/>
  <c r="N468" i="6"/>
  <c r="W467" i="6"/>
  <c r="V467" i="6"/>
  <c r="W466" i="6"/>
  <c r="V466" i="6"/>
  <c r="O466" i="6"/>
  <c r="N466" i="6"/>
  <c r="W465" i="6"/>
  <c r="V465" i="6"/>
  <c r="N465" i="6"/>
  <c r="O465" i="6" s="1"/>
  <c r="W464" i="6"/>
  <c r="V464" i="6"/>
  <c r="W463" i="6"/>
  <c r="V463" i="6"/>
  <c r="W462" i="6"/>
  <c r="V462" i="6"/>
  <c r="O462" i="6"/>
  <c r="N462" i="6"/>
  <c r="W461" i="6"/>
  <c r="V461" i="6"/>
  <c r="W460" i="6"/>
  <c r="V460" i="6"/>
  <c r="W459" i="6"/>
  <c r="V459" i="6"/>
  <c r="W458" i="6"/>
  <c r="V458" i="6"/>
  <c r="W457" i="6"/>
  <c r="V457" i="6"/>
  <c r="N457" i="6"/>
  <c r="O457" i="6" s="1"/>
  <c r="W456" i="6"/>
  <c r="V456" i="6"/>
  <c r="W455" i="6"/>
  <c r="V455" i="6"/>
  <c r="W454" i="6"/>
  <c r="V454" i="6"/>
  <c r="O454" i="6"/>
  <c r="N454" i="6"/>
  <c r="W453" i="6"/>
  <c r="V453" i="6"/>
  <c r="W452" i="6"/>
  <c r="V452" i="6"/>
  <c r="W451" i="6"/>
  <c r="V451" i="6"/>
  <c r="N451" i="6"/>
  <c r="O451" i="6" s="1"/>
  <c r="W450" i="6"/>
  <c r="V450" i="6"/>
  <c r="W449" i="6"/>
  <c r="V449" i="6"/>
  <c r="W448" i="6"/>
  <c r="V448" i="6"/>
  <c r="W447" i="6"/>
  <c r="V447" i="6"/>
  <c r="W446" i="6"/>
  <c r="V446" i="6"/>
  <c r="O446" i="6"/>
  <c r="N446" i="6"/>
  <c r="W445" i="6"/>
  <c r="V445" i="6"/>
  <c r="W444" i="6"/>
  <c r="V444" i="6"/>
  <c r="W443" i="6"/>
  <c r="V443" i="6"/>
  <c r="W442" i="6"/>
  <c r="V442" i="6"/>
  <c r="N442" i="6"/>
  <c r="O442" i="6" s="1"/>
  <c r="W441" i="6"/>
  <c r="V441" i="6"/>
  <c r="N441" i="6"/>
  <c r="O441" i="6" s="1"/>
  <c r="W440" i="6"/>
  <c r="V440" i="6"/>
  <c r="W439" i="6"/>
  <c r="V439" i="6"/>
  <c r="O439" i="6"/>
  <c r="N439" i="6"/>
  <c r="W438" i="6"/>
  <c r="V438" i="6"/>
  <c r="W437" i="6"/>
  <c r="V437" i="6"/>
  <c r="W436" i="6"/>
  <c r="V436" i="6"/>
  <c r="N436" i="6"/>
  <c r="O436" i="6" s="1"/>
  <c r="G436" i="6"/>
  <c r="W435" i="6"/>
  <c r="V435" i="6"/>
  <c r="O435" i="6"/>
  <c r="N435" i="6"/>
  <c r="G435" i="6"/>
  <c r="W434" i="6"/>
  <c r="V434" i="6"/>
  <c r="O434" i="6"/>
  <c r="N434" i="6"/>
  <c r="G434" i="6"/>
  <c r="W433" i="6"/>
  <c r="V433" i="6"/>
  <c r="O433" i="6"/>
  <c r="N433" i="6"/>
  <c r="G433" i="6"/>
  <c r="W432" i="6"/>
  <c r="V432" i="6"/>
  <c r="W431" i="6"/>
  <c r="V431" i="6"/>
  <c r="W430" i="6"/>
  <c r="V430" i="6"/>
  <c r="W429" i="6"/>
  <c r="V429" i="6"/>
  <c r="N429" i="6"/>
  <c r="O429" i="6" s="1"/>
  <c r="W428" i="6"/>
  <c r="V428" i="6"/>
  <c r="W427" i="6"/>
  <c r="V427" i="6"/>
  <c r="O427" i="6"/>
  <c r="N427" i="6"/>
  <c r="W426" i="6"/>
  <c r="V426" i="6"/>
  <c r="W425" i="6"/>
  <c r="V425" i="6"/>
  <c r="O425" i="6"/>
  <c r="N425" i="6"/>
  <c r="W424" i="6"/>
  <c r="V424" i="6"/>
  <c r="W423" i="6"/>
  <c r="V423" i="6"/>
  <c r="N423" i="6"/>
  <c r="O423" i="6" s="1"/>
  <c r="W422" i="6"/>
  <c r="V422" i="6"/>
  <c r="N422" i="6"/>
  <c r="O422" i="6" s="1"/>
  <c r="W421" i="6"/>
  <c r="V421" i="6"/>
  <c r="N421" i="6"/>
  <c r="O421" i="6" s="1"/>
  <c r="W420" i="6"/>
  <c r="V420" i="6"/>
  <c r="N420" i="6"/>
  <c r="O420" i="6" s="1"/>
  <c r="W419" i="6"/>
  <c r="V419" i="6"/>
  <c r="O419" i="6"/>
  <c r="N419" i="6"/>
  <c r="W418" i="6"/>
  <c r="V418" i="6"/>
  <c r="W417" i="6"/>
  <c r="V417" i="6"/>
  <c r="W416" i="6"/>
  <c r="V416" i="6"/>
  <c r="O416" i="6"/>
  <c r="N416" i="6"/>
  <c r="W415" i="6"/>
  <c r="V415" i="6"/>
  <c r="O415" i="6"/>
  <c r="N415" i="6"/>
  <c r="W414" i="6"/>
  <c r="V414" i="6"/>
  <c r="W413" i="6"/>
  <c r="V413" i="6"/>
  <c r="W412" i="6"/>
  <c r="V412" i="6"/>
  <c r="N412" i="6"/>
  <c r="O412" i="6" s="1"/>
  <c r="W411" i="6"/>
  <c r="V411" i="6"/>
  <c r="W410" i="6"/>
  <c r="V410" i="6"/>
  <c r="W409" i="6"/>
  <c r="V409" i="6"/>
  <c r="O409" i="6"/>
  <c r="N409" i="6"/>
  <c r="W408" i="6"/>
  <c r="V408" i="6"/>
  <c r="W407" i="6"/>
  <c r="V407" i="6"/>
  <c r="W406" i="6"/>
  <c r="V406" i="6"/>
  <c r="W405" i="6"/>
  <c r="V405" i="6"/>
  <c r="W404" i="6"/>
  <c r="V404" i="6"/>
  <c r="W403" i="6"/>
  <c r="V403" i="6"/>
  <c r="O403" i="6"/>
  <c r="N403" i="6"/>
  <c r="W402" i="6"/>
  <c r="V402" i="6"/>
  <c r="N402" i="6"/>
  <c r="O402" i="6" s="1"/>
  <c r="W401" i="6"/>
  <c r="V401" i="6"/>
  <c r="W400" i="6"/>
  <c r="V400" i="6"/>
  <c r="O400" i="6"/>
  <c r="N400" i="6"/>
  <c r="W399" i="6"/>
  <c r="V399" i="6"/>
  <c r="O399" i="6"/>
  <c r="N399" i="6"/>
  <c r="W398" i="6"/>
  <c r="V398" i="6"/>
  <c r="N398" i="6"/>
  <c r="O398" i="6" s="1"/>
  <c r="W397" i="6"/>
  <c r="V397" i="6"/>
  <c r="W396" i="6"/>
  <c r="V396" i="6"/>
  <c r="W395" i="6"/>
  <c r="V395" i="6"/>
  <c r="O395" i="6"/>
  <c r="N395" i="6"/>
  <c r="W394" i="6"/>
  <c r="V394" i="6"/>
  <c r="W393" i="6"/>
  <c r="V393" i="6"/>
  <c r="O393" i="6"/>
  <c r="N393" i="6"/>
  <c r="G393" i="6"/>
  <c r="W392" i="6"/>
  <c r="V392" i="6"/>
  <c r="O392" i="6"/>
  <c r="N392" i="6"/>
  <c r="G392" i="6"/>
  <c r="W391" i="6"/>
  <c r="V391" i="6"/>
  <c r="O391" i="6"/>
  <c r="N391" i="6"/>
  <c r="G391" i="6"/>
  <c r="W390" i="6"/>
  <c r="V390" i="6"/>
  <c r="W389" i="6"/>
  <c r="V389" i="6"/>
  <c r="W388" i="6"/>
  <c r="V388" i="6"/>
  <c r="W387" i="6"/>
  <c r="V387" i="6"/>
  <c r="N387" i="6"/>
  <c r="O387" i="6" s="1"/>
  <c r="W386" i="6"/>
  <c r="V386" i="6"/>
  <c r="W385" i="6"/>
  <c r="V385" i="6"/>
  <c r="O385" i="6"/>
  <c r="N385" i="6"/>
  <c r="W384" i="6"/>
  <c r="V384" i="6"/>
  <c r="N384" i="6"/>
  <c r="O384" i="6" s="1"/>
  <c r="W383" i="6"/>
  <c r="V383" i="6"/>
  <c r="N383" i="6"/>
  <c r="O383" i="6" s="1"/>
  <c r="W382" i="6"/>
  <c r="V382" i="6"/>
  <c r="W381" i="6"/>
  <c r="V381" i="6"/>
  <c r="O381" i="6"/>
  <c r="N381" i="6"/>
  <c r="W380" i="6"/>
  <c r="V380" i="6"/>
  <c r="N380" i="6"/>
  <c r="O380" i="6" s="1"/>
  <c r="W379" i="6"/>
  <c r="V379" i="6"/>
  <c r="W378" i="6"/>
  <c r="V378" i="6"/>
  <c r="O378" i="6"/>
  <c r="N378" i="6"/>
  <c r="W377" i="6"/>
  <c r="V377" i="6"/>
  <c r="O377" i="6"/>
  <c r="N377" i="6"/>
  <c r="W376" i="6"/>
  <c r="V376" i="6"/>
  <c r="O376" i="6"/>
  <c r="N376" i="6"/>
  <c r="W375" i="6"/>
  <c r="V375" i="6"/>
  <c r="W374" i="6"/>
  <c r="V374" i="6"/>
  <c r="W373" i="6"/>
  <c r="V373" i="6"/>
  <c r="W372" i="6"/>
  <c r="V372" i="6"/>
  <c r="N372" i="6"/>
  <c r="O372" i="6" s="1"/>
  <c r="W371" i="6"/>
  <c r="V371" i="6"/>
  <c r="W370" i="6"/>
  <c r="V370" i="6"/>
  <c r="O370" i="6"/>
  <c r="N370" i="6"/>
  <c r="W369" i="6"/>
  <c r="V369" i="6"/>
  <c r="W368" i="6"/>
  <c r="V368" i="6"/>
  <c r="W367" i="6"/>
  <c r="V367" i="6"/>
  <c r="W366" i="6"/>
  <c r="V366" i="6"/>
  <c r="W365" i="6"/>
  <c r="V365" i="6"/>
  <c r="W364" i="6"/>
  <c r="V364" i="6"/>
  <c r="W363" i="6"/>
  <c r="V363" i="6"/>
  <c r="O363" i="6"/>
  <c r="N363" i="6"/>
  <c r="W362" i="6"/>
  <c r="V362" i="6"/>
  <c r="W361" i="6"/>
  <c r="V361" i="6"/>
  <c r="W360" i="6"/>
  <c r="V360" i="6"/>
  <c r="W359" i="6"/>
  <c r="V359" i="6"/>
  <c r="N359" i="6"/>
  <c r="O359" i="6" s="1"/>
  <c r="W358" i="6"/>
  <c r="V358" i="6"/>
  <c r="O358" i="6"/>
  <c r="N358" i="6"/>
  <c r="W357" i="6"/>
  <c r="V357" i="6"/>
  <c r="W356" i="6"/>
  <c r="V356" i="6"/>
  <c r="N356" i="6"/>
  <c r="O356" i="6" s="1"/>
  <c r="W355" i="6"/>
  <c r="V355" i="6"/>
  <c r="O355" i="6"/>
  <c r="N355" i="6"/>
  <c r="W354" i="6"/>
  <c r="V354" i="6"/>
  <c r="W353" i="6"/>
  <c r="V353" i="6"/>
  <c r="W352" i="6"/>
  <c r="V352" i="6"/>
  <c r="W351" i="6"/>
  <c r="V351" i="6"/>
  <c r="O351" i="6"/>
  <c r="N351" i="6"/>
  <c r="W350" i="6"/>
  <c r="V350" i="6"/>
  <c r="O350" i="6"/>
  <c r="N350" i="6"/>
  <c r="W349" i="6"/>
  <c r="V349" i="6"/>
  <c r="W348" i="6"/>
  <c r="V348" i="6"/>
  <c r="N348" i="6"/>
  <c r="O348" i="6" s="1"/>
  <c r="W347" i="6"/>
  <c r="V347" i="6"/>
  <c r="W346" i="6"/>
  <c r="V346" i="6"/>
  <c r="N346" i="6"/>
  <c r="O346" i="6" s="1"/>
  <c r="W345" i="6"/>
  <c r="V345" i="6"/>
  <c r="W344" i="6"/>
  <c r="V344" i="6"/>
  <c r="O344" i="6"/>
  <c r="N344" i="6"/>
  <c r="G344" i="6"/>
  <c r="W343" i="6"/>
  <c r="V343" i="6"/>
  <c r="O343" i="6"/>
  <c r="N343" i="6"/>
  <c r="G343" i="6"/>
  <c r="W342" i="6"/>
  <c r="V342" i="6"/>
  <c r="O342" i="6"/>
  <c r="N342" i="6"/>
  <c r="G342" i="6"/>
  <c r="W341" i="6"/>
  <c r="V341" i="6"/>
  <c r="W340" i="6"/>
  <c r="V340" i="6"/>
  <c r="N340" i="6"/>
  <c r="O340" i="6" s="1"/>
  <c r="W339" i="6"/>
  <c r="V339" i="6"/>
  <c r="W338" i="6"/>
  <c r="V338" i="6"/>
  <c r="O338" i="6"/>
  <c r="N338" i="6"/>
  <c r="W337" i="6"/>
  <c r="V337" i="6"/>
  <c r="W336" i="6"/>
  <c r="V336" i="6"/>
  <c r="O336" i="6"/>
  <c r="N336" i="6"/>
  <c r="W335" i="6"/>
  <c r="V335" i="6"/>
  <c r="N335" i="6"/>
  <c r="O335" i="6" s="1"/>
  <c r="W334" i="6"/>
  <c r="V334" i="6"/>
  <c r="W333" i="6"/>
  <c r="V333" i="6"/>
  <c r="O333" i="6"/>
  <c r="N333" i="6"/>
  <c r="W332" i="6"/>
  <c r="V332" i="6"/>
  <c r="N332" i="6"/>
  <c r="O332" i="6" s="1"/>
  <c r="W331" i="6"/>
  <c r="V331" i="6"/>
  <c r="O331" i="6"/>
  <c r="N331" i="6"/>
  <c r="W330" i="6"/>
  <c r="V330" i="6"/>
  <c r="O330" i="6"/>
  <c r="N330" i="6"/>
  <c r="W329" i="6"/>
  <c r="V329" i="6"/>
  <c r="W328" i="6"/>
  <c r="V328" i="6"/>
  <c r="W327" i="6"/>
  <c r="V327" i="6"/>
  <c r="W326" i="6"/>
  <c r="V326" i="6"/>
  <c r="O326" i="6"/>
  <c r="N326" i="6"/>
  <c r="W325" i="6"/>
  <c r="V325" i="6"/>
  <c r="W324" i="6"/>
  <c r="V324" i="6"/>
  <c r="W323" i="6"/>
  <c r="V323" i="6"/>
  <c r="W322" i="6"/>
  <c r="V322" i="6"/>
  <c r="W321" i="6"/>
  <c r="V321" i="6"/>
  <c r="W320" i="6"/>
  <c r="V320" i="6"/>
  <c r="W319" i="6"/>
  <c r="V319" i="6"/>
  <c r="W318" i="6"/>
  <c r="V318" i="6"/>
  <c r="O318" i="6"/>
  <c r="N318" i="6"/>
  <c r="W317" i="6"/>
  <c r="V317" i="6"/>
  <c r="W316" i="6"/>
  <c r="V316" i="6"/>
  <c r="W315" i="6"/>
  <c r="V315" i="6"/>
  <c r="W314" i="6"/>
  <c r="V314" i="6"/>
  <c r="W313" i="6"/>
  <c r="V313" i="6"/>
  <c r="O313" i="6"/>
  <c r="N313" i="6"/>
  <c r="W312" i="6"/>
  <c r="V312" i="6"/>
  <c r="O312" i="6"/>
  <c r="N312" i="6"/>
  <c r="W311" i="6"/>
  <c r="V311" i="6"/>
  <c r="N311" i="6"/>
  <c r="O311" i="6" s="1"/>
  <c r="W310" i="6"/>
  <c r="V310" i="6"/>
  <c r="W309" i="6"/>
  <c r="V309" i="6"/>
  <c r="W308" i="6"/>
  <c r="V308" i="6"/>
  <c r="W307" i="6"/>
  <c r="V307" i="6"/>
  <c r="W306" i="6"/>
  <c r="V306" i="6"/>
  <c r="O306" i="6"/>
  <c r="N306" i="6"/>
  <c r="W305" i="6"/>
  <c r="V305" i="6"/>
  <c r="O305" i="6"/>
  <c r="N305" i="6"/>
  <c r="W304" i="6"/>
  <c r="V304" i="6"/>
  <c r="W303" i="6"/>
  <c r="V303" i="6"/>
  <c r="N303" i="6"/>
  <c r="O303" i="6" s="1"/>
  <c r="G303" i="6"/>
  <c r="W302" i="6"/>
  <c r="V302" i="6"/>
  <c r="O302" i="6"/>
  <c r="N302" i="6"/>
  <c r="G302" i="6"/>
  <c r="W301" i="6"/>
  <c r="V301" i="6"/>
  <c r="O301" i="6"/>
  <c r="N301" i="6"/>
  <c r="G301" i="6"/>
  <c r="W300" i="6"/>
  <c r="V300" i="6"/>
  <c r="W299" i="6"/>
  <c r="V299" i="6"/>
  <c r="W298" i="6"/>
  <c r="V298" i="6"/>
  <c r="W297" i="6"/>
  <c r="V297" i="6"/>
  <c r="O297" i="6"/>
  <c r="N297" i="6"/>
  <c r="W296" i="6"/>
  <c r="V296" i="6"/>
  <c r="W295" i="6"/>
  <c r="V295" i="6"/>
  <c r="N295" i="6"/>
  <c r="O295" i="6" s="1"/>
  <c r="W294" i="6"/>
  <c r="V294" i="6"/>
  <c r="W293" i="6"/>
  <c r="V293" i="6"/>
  <c r="O293" i="6"/>
  <c r="N293" i="6"/>
  <c r="W292" i="6"/>
  <c r="V292" i="6"/>
  <c r="W291" i="6"/>
  <c r="V291" i="6"/>
  <c r="N291" i="6"/>
  <c r="O291" i="6" s="1"/>
  <c r="W290" i="6"/>
  <c r="V290" i="6"/>
  <c r="O290" i="6"/>
  <c r="N290" i="6"/>
  <c r="W289" i="6"/>
  <c r="V289" i="6"/>
  <c r="O289" i="6"/>
  <c r="N289" i="6"/>
  <c r="W288" i="6"/>
  <c r="V288" i="6"/>
  <c r="W287" i="6"/>
  <c r="V287" i="6"/>
  <c r="W286" i="6"/>
  <c r="V286" i="6"/>
  <c r="O286" i="6"/>
  <c r="N286" i="6"/>
  <c r="W285" i="6"/>
  <c r="V285" i="6"/>
  <c r="W284" i="6"/>
  <c r="V284" i="6"/>
  <c r="O284" i="6"/>
  <c r="N284" i="6"/>
  <c r="W283" i="6"/>
  <c r="V283" i="6"/>
  <c r="W282" i="6"/>
  <c r="V282" i="6"/>
  <c r="W281" i="6"/>
  <c r="V281" i="6"/>
  <c r="O281" i="6"/>
  <c r="N281" i="6"/>
  <c r="W280" i="6"/>
  <c r="V280" i="6"/>
  <c r="W279" i="6"/>
  <c r="V279" i="6"/>
  <c r="W278" i="6"/>
  <c r="V278" i="6"/>
  <c r="O278" i="6"/>
  <c r="N278" i="6"/>
  <c r="W277" i="6"/>
  <c r="V277" i="6"/>
  <c r="W276" i="6"/>
  <c r="V276" i="6"/>
  <c r="W275" i="6"/>
  <c r="V275" i="6"/>
  <c r="W274" i="6"/>
  <c r="V274" i="6"/>
  <c r="W273" i="6"/>
  <c r="V273" i="6"/>
  <c r="W272" i="6"/>
  <c r="V272" i="6"/>
  <c r="W271" i="6"/>
  <c r="V271" i="6"/>
  <c r="W270" i="6"/>
  <c r="V270" i="6"/>
  <c r="O270" i="6"/>
  <c r="N270" i="6"/>
  <c r="W269" i="6"/>
  <c r="V269" i="6"/>
  <c r="W268" i="6"/>
  <c r="V268" i="6"/>
  <c r="O268" i="6"/>
  <c r="N268" i="6"/>
  <c r="W267" i="6"/>
  <c r="V267" i="6"/>
  <c r="W266" i="6"/>
  <c r="V266" i="6"/>
  <c r="O266" i="6"/>
  <c r="N266" i="6"/>
  <c r="W265" i="6"/>
  <c r="V265" i="6"/>
  <c r="O265" i="6"/>
  <c r="N265" i="6"/>
  <c r="W264" i="6"/>
  <c r="V264" i="6"/>
  <c r="O264" i="6"/>
  <c r="N264" i="6"/>
  <c r="G264" i="6"/>
  <c r="W263" i="6"/>
  <c r="V263" i="6"/>
  <c r="N263" i="6"/>
  <c r="O263" i="6" s="1"/>
  <c r="G263" i="6"/>
  <c r="W262" i="6"/>
  <c r="V262" i="6"/>
  <c r="O262" i="6"/>
  <c r="N262" i="6"/>
  <c r="G262" i="6"/>
  <c r="W261" i="6"/>
  <c r="V261" i="6"/>
  <c r="W260" i="6"/>
  <c r="V260" i="6"/>
  <c r="O260" i="6"/>
  <c r="N260" i="6"/>
  <c r="W259" i="6"/>
  <c r="V259" i="6"/>
  <c r="W258" i="6"/>
  <c r="V258" i="6"/>
  <c r="O258" i="6"/>
  <c r="N258" i="6"/>
  <c r="W257" i="6"/>
  <c r="V257" i="6"/>
  <c r="W256" i="6"/>
  <c r="V256" i="6"/>
  <c r="O256" i="6"/>
  <c r="N256" i="6"/>
  <c r="W255" i="6"/>
  <c r="V255" i="6"/>
  <c r="W254" i="6"/>
  <c r="V254" i="6"/>
  <c r="O254" i="6"/>
  <c r="N254" i="6"/>
  <c r="W253" i="6"/>
  <c r="V253" i="6"/>
  <c r="O253" i="6"/>
  <c r="N253" i="6"/>
  <c r="W252" i="6"/>
  <c r="V252" i="6"/>
  <c r="O252" i="6"/>
  <c r="N252" i="6"/>
  <c r="W251" i="6"/>
  <c r="V251" i="6"/>
  <c r="W250" i="6"/>
  <c r="V250" i="6"/>
  <c r="W249" i="6"/>
  <c r="V249" i="6"/>
  <c r="O249" i="6"/>
  <c r="N249" i="6"/>
  <c r="W248" i="6"/>
  <c r="V248" i="6"/>
  <c r="O248" i="6"/>
  <c r="N248" i="6"/>
  <c r="W247" i="6"/>
  <c r="V247" i="6"/>
  <c r="W246" i="6"/>
  <c r="V246" i="6"/>
  <c r="W245" i="6"/>
  <c r="V245" i="6"/>
  <c r="W244" i="6"/>
  <c r="V244" i="6"/>
  <c r="W243" i="6"/>
  <c r="V243" i="6"/>
  <c r="W242" i="6"/>
  <c r="V242" i="6"/>
  <c r="W241" i="6"/>
  <c r="V241" i="6"/>
  <c r="W240" i="6"/>
  <c r="V240" i="6"/>
  <c r="O240" i="6"/>
  <c r="N240" i="6"/>
  <c r="W239" i="6"/>
  <c r="V239" i="6"/>
  <c r="W238" i="6"/>
  <c r="V238" i="6"/>
  <c r="O238" i="6"/>
  <c r="N238" i="6"/>
  <c r="W237" i="6"/>
  <c r="V237" i="6"/>
  <c r="W236" i="6"/>
  <c r="V236" i="6"/>
  <c r="W235" i="6"/>
  <c r="V235" i="6"/>
  <c r="W234" i="6"/>
  <c r="V234" i="6"/>
  <c r="O234" i="6"/>
  <c r="N234" i="6"/>
  <c r="W233" i="6"/>
  <c r="V233" i="6"/>
  <c r="W232" i="6"/>
  <c r="V232" i="6"/>
  <c r="W231" i="6"/>
  <c r="V231" i="6"/>
  <c r="W230" i="6"/>
  <c r="V230" i="6"/>
  <c r="O230" i="6"/>
  <c r="N230" i="6"/>
  <c r="W229" i="6"/>
  <c r="V229" i="6"/>
  <c r="O229" i="6"/>
  <c r="N229" i="6"/>
  <c r="W228" i="6"/>
  <c r="V228" i="6"/>
  <c r="W227" i="6"/>
  <c r="V227" i="6"/>
  <c r="N227" i="6"/>
  <c r="O227" i="6" s="1"/>
  <c r="W226" i="6"/>
  <c r="V226" i="6"/>
  <c r="W225" i="6"/>
  <c r="V225" i="6"/>
  <c r="O225" i="6"/>
  <c r="N225" i="6"/>
  <c r="W224" i="6"/>
  <c r="V224" i="6"/>
  <c r="O224" i="6"/>
  <c r="N224" i="6"/>
  <c r="W223" i="6"/>
  <c r="V223" i="6"/>
  <c r="N223" i="6"/>
  <c r="O223" i="6" s="1"/>
  <c r="G223" i="6"/>
  <c r="W222" i="6"/>
  <c r="V222" i="6"/>
  <c r="O222" i="6"/>
  <c r="N222" i="6"/>
  <c r="G222" i="6"/>
  <c r="W221" i="6"/>
  <c r="V221" i="6"/>
  <c r="W220" i="6"/>
  <c r="V220" i="6"/>
  <c r="O220" i="6"/>
  <c r="N220" i="6"/>
  <c r="G220" i="6"/>
  <c r="W219" i="6"/>
  <c r="V219" i="6"/>
  <c r="W218" i="6"/>
  <c r="V218" i="6"/>
  <c r="W217" i="6"/>
  <c r="V217" i="6"/>
  <c r="W216" i="6"/>
  <c r="V216" i="6"/>
  <c r="O216" i="6"/>
  <c r="N216" i="6"/>
  <c r="W215" i="6"/>
  <c r="V215" i="6"/>
  <c r="N215" i="6"/>
  <c r="O215" i="6" s="1"/>
  <c r="W214" i="6"/>
  <c r="V214" i="6"/>
  <c r="O214" i="6"/>
  <c r="N214" i="6"/>
  <c r="W213" i="6"/>
  <c r="V213" i="6"/>
  <c r="O213" i="6"/>
  <c r="N213" i="6"/>
  <c r="W212" i="6"/>
  <c r="V212" i="6"/>
  <c r="O212" i="6"/>
  <c r="N212" i="6"/>
  <c r="W211" i="6"/>
  <c r="V211" i="6"/>
  <c r="W210" i="6"/>
  <c r="V210" i="6"/>
  <c r="O210" i="6"/>
  <c r="N210" i="6"/>
  <c r="W209" i="6"/>
  <c r="V209" i="6"/>
  <c r="O209" i="6"/>
  <c r="N209" i="6"/>
  <c r="W208" i="6"/>
  <c r="V208" i="6"/>
  <c r="O208" i="6"/>
  <c r="N208" i="6"/>
  <c r="W207" i="6"/>
  <c r="V207" i="6"/>
  <c r="N207" i="6"/>
  <c r="O207" i="6" s="1"/>
  <c r="W206" i="6"/>
  <c r="V206" i="6"/>
  <c r="O206" i="6"/>
  <c r="N206" i="6"/>
  <c r="W205" i="6"/>
  <c r="V205" i="6"/>
  <c r="W204" i="6"/>
  <c r="V204" i="6"/>
  <c r="W203" i="6"/>
  <c r="V203" i="6"/>
  <c r="N203" i="6"/>
  <c r="O203" i="6" s="1"/>
  <c r="W202" i="6"/>
  <c r="V202" i="6"/>
  <c r="O202" i="6"/>
  <c r="N202" i="6"/>
  <c r="W201" i="6"/>
  <c r="V201" i="6"/>
  <c r="W200" i="6"/>
  <c r="V200" i="6"/>
  <c r="W199" i="6"/>
  <c r="V199" i="6"/>
  <c r="W198" i="6"/>
  <c r="V198" i="6"/>
  <c r="W197" i="6"/>
  <c r="V197" i="6"/>
  <c r="W196" i="6"/>
  <c r="V196" i="6"/>
  <c r="W195" i="6"/>
  <c r="V195" i="6"/>
  <c r="W194" i="6"/>
  <c r="V194" i="6"/>
  <c r="N194" i="6"/>
  <c r="O194" i="6" s="1"/>
  <c r="W193" i="6"/>
  <c r="V193" i="6"/>
  <c r="O193" i="6"/>
  <c r="N193" i="6"/>
  <c r="W192" i="6"/>
  <c r="V192" i="6"/>
  <c r="W191" i="6"/>
  <c r="V191" i="6"/>
  <c r="W190" i="6"/>
  <c r="V190" i="6"/>
  <c r="N190" i="6"/>
  <c r="O190" i="6" s="1"/>
  <c r="W189" i="6"/>
  <c r="V189" i="6"/>
  <c r="N189" i="6"/>
  <c r="O189" i="6" s="1"/>
  <c r="W188" i="6"/>
  <c r="V188" i="6"/>
  <c r="W187" i="6"/>
  <c r="V187" i="6"/>
  <c r="W186" i="6"/>
  <c r="V186" i="6"/>
  <c r="W185" i="6"/>
  <c r="V185" i="6"/>
  <c r="O185" i="6"/>
  <c r="N185" i="6"/>
  <c r="W184" i="6"/>
  <c r="V184" i="6"/>
  <c r="W183" i="6"/>
  <c r="V183" i="6"/>
  <c r="N183" i="6"/>
  <c r="O183" i="6" s="1"/>
  <c r="W182" i="6"/>
  <c r="V182" i="6"/>
  <c r="N182" i="6"/>
  <c r="O182" i="6" s="1"/>
  <c r="W181" i="6"/>
  <c r="V181" i="6"/>
  <c r="W180" i="6"/>
  <c r="V180" i="6"/>
  <c r="O180" i="6"/>
  <c r="N180" i="6"/>
  <c r="W179" i="6"/>
  <c r="V179" i="6"/>
  <c r="N179" i="6"/>
  <c r="O179" i="6" s="1"/>
  <c r="W178" i="6"/>
  <c r="V178" i="6"/>
  <c r="N178" i="6"/>
  <c r="O178" i="6" s="1"/>
  <c r="G178" i="6"/>
  <c r="W177" i="6"/>
  <c r="V177" i="6"/>
  <c r="O177" i="6"/>
  <c r="N177" i="6"/>
  <c r="G177" i="6"/>
  <c r="W176" i="6"/>
  <c r="V176" i="6"/>
  <c r="W175" i="6"/>
  <c r="V175" i="6"/>
  <c r="N175" i="6"/>
  <c r="O175" i="6" s="1"/>
  <c r="G175" i="6"/>
  <c r="W174" i="6"/>
  <c r="V174" i="6"/>
  <c r="W173" i="6"/>
  <c r="V173" i="6"/>
  <c r="N173" i="6"/>
  <c r="O173" i="6" s="1"/>
  <c r="W172" i="6"/>
  <c r="V172" i="6"/>
  <c r="W171" i="6"/>
  <c r="V171" i="6"/>
  <c r="N171" i="6"/>
  <c r="O171" i="6" s="1"/>
  <c r="W170" i="6"/>
  <c r="V170" i="6"/>
  <c r="W169" i="6"/>
  <c r="V169" i="6"/>
  <c r="N169" i="6"/>
  <c r="O169" i="6" s="1"/>
  <c r="W168" i="6"/>
  <c r="V168" i="6"/>
  <c r="O168" i="6"/>
  <c r="N168" i="6"/>
  <c r="W167" i="6"/>
  <c r="V167" i="6"/>
  <c r="N167" i="6"/>
  <c r="O167" i="6" s="1"/>
  <c r="W166" i="6"/>
  <c r="V166" i="6"/>
  <c r="W165" i="6"/>
  <c r="V165" i="6"/>
  <c r="O165" i="6"/>
  <c r="N165" i="6"/>
  <c r="W164" i="6"/>
  <c r="V164" i="6"/>
  <c r="O164" i="6"/>
  <c r="N164" i="6"/>
  <c r="W163" i="6"/>
  <c r="V163" i="6"/>
  <c r="N163" i="6"/>
  <c r="O163" i="6" s="1"/>
  <c r="W162" i="6"/>
  <c r="V162" i="6"/>
  <c r="N162" i="6"/>
  <c r="O162" i="6" s="1"/>
  <c r="W161" i="6"/>
  <c r="V161" i="6"/>
  <c r="O161" i="6"/>
  <c r="N161" i="6"/>
  <c r="W160" i="6"/>
  <c r="V160" i="6"/>
  <c r="W159" i="6"/>
  <c r="V159" i="6"/>
  <c r="W158" i="6"/>
  <c r="V158" i="6"/>
  <c r="W157" i="6"/>
  <c r="V157" i="6"/>
  <c r="O157" i="6"/>
  <c r="N157" i="6"/>
  <c r="W156" i="6"/>
  <c r="V156" i="6"/>
  <c r="W155" i="6"/>
  <c r="V155" i="6"/>
  <c r="N155" i="6"/>
  <c r="O155" i="6" s="1"/>
  <c r="W154" i="6"/>
  <c r="V154" i="6"/>
  <c r="W153" i="6"/>
  <c r="V153" i="6"/>
  <c r="W152" i="6"/>
  <c r="V152" i="6"/>
  <c r="W151" i="6"/>
  <c r="V151" i="6"/>
  <c r="W150" i="6"/>
  <c r="V150" i="6"/>
  <c r="W149" i="6"/>
  <c r="V149" i="6"/>
  <c r="W148" i="6"/>
  <c r="V148" i="6"/>
  <c r="W147" i="6"/>
  <c r="V147" i="6"/>
  <c r="N147" i="6"/>
  <c r="O147" i="6" s="1"/>
  <c r="W146" i="6"/>
  <c r="V146" i="6"/>
  <c r="W145" i="6"/>
  <c r="V145" i="6"/>
  <c r="W144" i="6"/>
  <c r="V144" i="6"/>
  <c r="W143" i="6"/>
  <c r="V143" i="6"/>
  <c r="W142" i="6"/>
  <c r="V142" i="6"/>
  <c r="O142" i="6"/>
  <c r="N142" i="6"/>
  <c r="W141" i="6"/>
  <c r="V141" i="6"/>
  <c r="N141" i="6"/>
  <c r="O141" i="6" s="1"/>
  <c r="W140" i="6"/>
  <c r="V140" i="6"/>
  <c r="N140" i="6"/>
  <c r="O140" i="6" s="1"/>
  <c r="W139" i="6"/>
  <c r="V139" i="6"/>
  <c r="W138" i="6"/>
  <c r="V138" i="6"/>
  <c r="W137" i="6"/>
  <c r="V137" i="6"/>
  <c r="W136" i="6"/>
  <c r="V136" i="6"/>
  <c r="W135" i="6"/>
  <c r="V135" i="6"/>
  <c r="O135" i="6"/>
  <c r="N135" i="6"/>
  <c r="W134" i="6"/>
  <c r="V134" i="6"/>
  <c r="O134" i="6"/>
  <c r="N134" i="6"/>
  <c r="G134" i="6"/>
  <c r="W133" i="6"/>
  <c r="V133" i="6"/>
  <c r="N133" i="6"/>
  <c r="O133" i="6" s="1"/>
  <c r="G133" i="6"/>
  <c r="W132" i="6"/>
  <c r="V132" i="6"/>
  <c r="N132" i="6"/>
  <c r="O132" i="6" s="1"/>
  <c r="G132" i="6"/>
  <c r="W131" i="6"/>
  <c r="V131" i="6"/>
  <c r="O131" i="6"/>
  <c r="N131" i="6"/>
  <c r="G131" i="6"/>
  <c r="W130" i="6"/>
  <c r="V130" i="6"/>
  <c r="W129" i="6"/>
  <c r="V129" i="6"/>
  <c r="W128" i="6"/>
  <c r="V128" i="6"/>
  <c r="W127" i="6"/>
  <c r="V127" i="6"/>
  <c r="O127" i="6"/>
  <c r="N127" i="6"/>
  <c r="W126" i="6"/>
  <c r="V126" i="6"/>
  <c r="O126" i="6"/>
  <c r="N126" i="6"/>
  <c r="W125" i="6"/>
  <c r="V125" i="6"/>
  <c r="W124" i="6"/>
  <c r="V124" i="6"/>
  <c r="N124" i="6"/>
  <c r="O124" i="6" s="1"/>
  <c r="W123" i="6"/>
  <c r="V123" i="6"/>
  <c r="W122" i="6"/>
  <c r="V122" i="6"/>
  <c r="W121" i="6"/>
  <c r="V121" i="6"/>
  <c r="N121" i="6"/>
  <c r="O121" i="6" s="1"/>
  <c r="W120" i="6"/>
  <c r="V120" i="6"/>
  <c r="N120" i="6"/>
  <c r="O120" i="6" s="1"/>
  <c r="W119" i="6"/>
  <c r="V119" i="6"/>
  <c r="O119" i="6"/>
  <c r="N119" i="6"/>
  <c r="W118" i="6"/>
  <c r="V118" i="6"/>
  <c r="W117" i="6"/>
  <c r="V117" i="6"/>
  <c r="W116" i="6"/>
  <c r="V116" i="6"/>
  <c r="W115" i="6"/>
  <c r="V115" i="6"/>
  <c r="O115" i="6"/>
  <c r="N115" i="6"/>
  <c r="W114" i="6"/>
  <c r="V114" i="6"/>
  <c r="W113" i="6"/>
  <c r="V113" i="6"/>
  <c r="N113" i="6"/>
  <c r="O113" i="6" s="1"/>
  <c r="W112" i="6"/>
  <c r="V112" i="6"/>
  <c r="W111" i="6"/>
  <c r="V111" i="6"/>
  <c r="W110" i="6"/>
  <c r="V110" i="6"/>
  <c r="W109" i="6"/>
  <c r="V109" i="6"/>
  <c r="W108" i="6"/>
  <c r="V108" i="6"/>
  <c r="W107" i="6"/>
  <c r="V107" i="6"/>
  <c r="W106" i="6"/>
  <c r="V106" i="6"/>
  <c r="N106" i="6"/>
  <c r="O106" i="6" s="1"/>
  <c r="W105" i="6"/>
  <c r="V105" i="6"/>
  <c r="N105" i="6"/>
  <c r="O105" i="6" s="1"/>
  <c r="W104" i="6"/>
  <c r="V104" i="6"/>
  <c r="W103" i="6"/>
  <c r="V103" i="6"/>
  <c r="W102" i="6"/>
  <c r="V102" i="6"/>
  <c r="W101" i="6"/>
  <c r="V101" i="6"/>
  <c r="W100" i="6"/>
  <c r="V100" i="6"/>
  <c r="W99" i="6"/>
  <c r="V99" i="6"/>
  <c r="W98" i="6"/>
  <c r="V98" i="6"/>
  <c r="W97" i="6"/>
  <c r="V97" i="6"/>
  <c r="N97" i="6"/>
  <c r="O97" i="6" s="1"/>
  <c r="W96" i="6"/>
  <c r="V96" i="6"/>
  <c r="W95" i="6"/>
  <c r="V95" i="6"/>
  <c r="O95" i="6"/>
  <c r="N95" i="6"/>
  <c r="W94" i="6"/>
  <c r="V94" i="6"/>
  <c r="O94" i="6"/>
  <c r="N94" i="6"/>
  <c r="W93" i="6"/>
  <c r="V93" i="6"/>
  <c r="W92" i="6"/>
  <c r="V92" i="6"/>
  <c r="N92" i="6"/>
  <c r="O92" i="6" s="1"/>
  <c r="W91" i="6"/>
  <c r="V91" i="6"/>
  <c r="W90" i="6"/>
  <c r="V90" i="6"/>
  <c r="N90" i="6"/>
  <c r="O90" i="6" s="1"/>
  <c r="G90" i="6"/>
  <c r="W89" i="6"/>
  <c r="V89" i="6"/>
  <c r="N89" i="6"/>
  <c r="O89" i="6" s="1"/>
  <c r="G89" i="6"/>
  <c r="W88" i="6"/>
  <c r="V88" i="6"/>
  <c r="W87" i="6"/>
  <c r="V87" i="6"/>
  <c r="O87" i="6"/>
  <c r="N87" i="6"/>
  <c r="G87" i="6"/>
  <c r="W86" i="6"/>
  <c r="V86" i="6"/>
  <c r="W85" i="6"/>
  <c r="V85" i="6"/>
  <c r="W84" i="6"/>
  <c r="V84" i="6"/>
  <c r="W83" i="6"/>
  <c r="V83" i="6"/>
  <c r="O83" i="6"/>
  <c r="N83" i="6"/>
  <c r="W82" i="6"/>
  <c r="V82" i="6"/>
  <c r="N82" i="6"/>
  <c r="O82" i="6" s="1"/>
  <c r="W81" i="6"/>
  <c r="V81" i="6"/>
  <c r="W80" i="6"/>
  <c r="V80" i="6"/>
  <c r="N80" i="6"/>
  <c r="O80" i="6" s="1"/>
  <c r="W79" i="6"/>
  <c r="V79" i="6"/>
  <c r="O79" i="6"/>
  <c r="N79" i="6"/>
  <c r="W78" i="6"/>
  <c r="V78" i="6"/>
  <c r="W77" i="6"/>
  <c r="V77" i="6"/>
  <c r="N77" i="6"/>
  <c r="O77" i="6" s="1"/>
  <c r="W76" i="6"/>
  <c r="V76" i="6"/>
  <c r="N76" i="6"/>
  <c r="O76" i="6" s="1"/>
  <c r="W75" i="6"/>
  <c r="V75" i="6"/>
  <c r="W74" i="6"/>
  <c r="V74" i="6"/>
  <c r="N74" i="6"/>
  <c r="O74" i="6" s="1"/>
  <c r="W73" i="6"/>
  <c r="V73" i="6"/>
  <c r="N73" i="6"/>
  <c r="O73" i="6" s="1"/>
  <c r="W72" i="6"/>
  <c r="V72" i="6"/>
  <c r="N72" i="6"/>
  <c r="O72" i="6" s="1"/>
  <c r="W71" i="6"/>
  <c r="V71" i="6"/>
  <c r="W70" i="6"/>
  <c r="V70" i="6"/>
  <c r="W69" i="6"/>
  <c r="V69" i="6"/>
  <c r="G69" i="6"/>
  <c r="W68" i="6"/>
  <c r="V68" i="6"/>
  <c r="N68" i="6"/>
  <c r="O68" i="6" s="1"/>
  <c r="W67" i="6"/>
  <c r="V67" i="6"/>
  <c r="W66" i="6"/>
  <c r="V66" i="6"/>
  <c r="W65" i="6"/>
  <c r="V65" i="6"/>
  <c r="W64" i="6"/>
  <c r="V64" i="6"/>
  <c r="W63" i="6"/>
  <c r="V63" i="6"/>
  <c r="W62" i="6"/>
  <c r="V62" i="6"/>
  <c r="O62" i="6"/>
  <c r="N62" i="6"/>
  <c r="W61" i="6"/>
  <c r="V61" i="6"/>
  <c r="W60" i="6"/>
  <c r="V60" i="6"/>
  <c r="W59" i="6"/>
  <c r="V59" i="6"/>
  <c r="W58" i="6"/>
  <c r="V58" i="6"/>
  <c r="N58" i="6"/>
  <c r="O58" i="6" s="1"/>
  <c r="W57" i="6"/>
  <c r="V57" i="6"/>
  <c r="W56" i="6"/>
  <c r="V56" i="6"/>
  <c r="N56" i="6"/>
  <c r="O56" i="6" s="1"/>
  <c r="W55" i="6"/>
  <c r="V55" i="6"/>
  <c r="O55" i="6"/>
  <c r="N55" i="6"/>
  <c r="W54" i="6"/>
  <c r="V54" i="6"/>
  <c r="W53" i="6"/>
  <c r="V53" i="6"/>
  <c r="W52" i="6"/>
  <c r="V52" i="6"/>
  <c r="W51" i="6"/>
  <c r="V51" i="6"/>
  <c r="W50" i="6"/>
  <c r="V50" i="6"/>
  <c r="W49" i="6"/>
  <c r="V49" i="6"/>
  <c r="N49" i="6"/>
  <c r="O49" i="6" s="1"/>
  <c r="W48" i="6"/>
  <c r="V48" i="6"/>
  <c r="N48" i="6"/>
  <c r="O48" i="6" s="1"/>
  <c r="G48" i="6"/>
  <c r="W47" i="6"/>
  <c r="V47" i="6"/>
  <c r="O47" i="6"/>
  <c r="N47" i="6"/>
  <c r="G47" i="6"/>
  <c r="W46" i="6"/>
  <c r="V46" i="6"/>
  <c r="O46" i="6"/>
  <c r="N46" i="6"/>
  <c r="G46" i="6"/>
  <c r="W45" i="6"/>
  <c r="V45" i="6"/>
  <c r="N45" i="6"/>
  <c r="O45" i="6" s="1"/>
  <c r="G45" i="6"/>
  <c r="W44" i="6"/>
  <c r="V44" i="6"/>
  <c r="W43" i="6"/>
  <c r="V43" i="6"/>
  <c r="W42" i="6"/>
  <c r="V42" i="6"/>
  <c r="W41" i="6"/>
  <c r="V41" i="6"/>
  <c r="N41" i="6"/>
  <c r="O41" i="6" s="1"/>
  <c r="W40" i="6"/>
  <c r="V40" i="6"/>
  <c r="W39" i="6"/>
  <c r="V39" i="6"/>
  <c r="O39" i="6"/>
  <c r="N39" i="6"/>
  <c r="W38" i="6"/>
  <c r="V38" i="6"/>
  <c r="O38" i="6"/>
  <c r="N38" i="6"/>
  <c r="W37" i="6"/>
  <c r="V37" i="6"/>
  <c r="N37" i="6"/>
  <c r="O37" i="6" s="1"/>
  <c r="W36" i="6"/>
  <c r="V36" i="6"/>
  <c r="W35" i="6"/>
  <c r="V35" i="6"/>
  <c r="O35" i="6"/>
  <c r="N35" i="6"/>
  <c r="W34" i="6"/>
  <c r="V34" i="6"/>
  <c r="W33" i="6"/>
  <c r="V33" i="6"/>
  <c r="N33" i="6"/>
  <c r="O33" i="6" s="1"/>
  <c r="W32" i="6"/>
  <c r="V32" i="6"/>
  <c r="N32" i="6"/>
  <c r="O32" i="6" s="1"/>
  <c r="W31" i="6"/>
  <c r="V31" i="6"/>
  <c r="W30" i="6"/>
  <c r="V30" i="6"/>
  <c r="W29" i="6"/>
  <c r="V29" i="6"/>
  <c r="N29" i="6"/>
  <c r="O29" i="6" s="1"/>
  <c r="W28" i="6"/>
  <c r="V28" i="6"/>
  <c r="N28" i="6"/>
  <c r="O28" i="6" s="1"/>
  <c r="W27" i="6"/>
  <c r="V27" i="6"/>
  <c r="W26" i="6"/>
  <c r="V26" i="6"/>
  <c r="W25" i="6"/>
  <c r="V25" i="6"/>
  <c r="W24" i="6"/>
  <c r="V24" i="6"/>
  <c r="W23" i="6"/>
  <c r="V23" i="6"/>
  <c r="W22" i="6"/>
  <c r="V22" i="6"/>
  <c r="W21" i="6"/>
  <c r="V21" i="6"/>
  <c r="N21" i="6"/>
  <c r="O21" i="6" s="1"/>
  <c r="W20" i="6"/>
  <c r="V20" i="6"/>
  <c r="W19" i="6"/>
  <c r="V19" i="6"/>
  <c r="W18" i="6"/>
  <c r="V18" i="6"/>
  <c r="W17" i="6"/>
  <c r="V17" i="6"/>
  <c r="W16" i="6"/>
  <c r="V16" i="6"/>
  <c r="N16" i="6"/>
  <c r="O16" i="6" s="1"/>
  <c r="W15" i="6"/>
  <c r="V15" i="6"/>
  <c r="O15" i="6"/>
  <c r="N15" i="6"/>
  <c r="W14" i="6"/>
  <c r="V14" i="6"/>
  <c r="O14" i="6"/>
  <c r="N14" i="6"/>
  <c r="W13" i="6"/>
  <c r="V13" i="6"/>
  <c r="W12" i="6"/>
  <c r="V12" i="6"/>
  <c r="W11" i="6"/>
  <c r="V11" i="6"/>
  <c r="W10" i="6"/>
  <c r="V10" i="6"/>
  <c r="N10" i="6"/>
  <c r="O10" i="6" s="1"/>
  <c r="W9" i="6"/>
  <c r="V9" i="6"/>
  <c r="N9" i="6"/>
  <c r="O9" i="6" s="1"/>
  <c r="W8" i="6"/>
  <c r="V8" i="6"/>
  <c r="W7" i="6"/>
  <c r="V7" i="6"/>
  <c r="O7" i="6"/>
  <c r="N7" i="6"/>
  <c r="W6" i="6"/>
  <c r="V6" i="6"/>
  <c r="O6" i="6"/>
  <c r="N6" i="6"/>
  <c r="W5" i="6"/>
  <c r="V5" i="6"/>
  <c r="W4" i="6"/>
  <c r="V4" i="6"/>
  <c r="N4" i="6"/>
  <c r="O4" i="6" s="1"/>
  <c r="W3" i="6"/>
  <c r="V3" i="6"/>
  <c r="W2" i="6"/>
  <c r="V2" i="6"/>
  <c r="N2" i="6"/>
  <c r="O2" i="6" s="1"/>
  <c r="G2" i="6"/>
  <c r="O802" i="5"/>
  <c r="G802" i="5"/>
  <c r="O801" i="5"/>
  <c r="G801" i="5"/>
  <c r="O797" i="5"/>
  <c r="O795" i="5"/>
  <c r="O793" i="5"/>
  <c r="O792" i="5"/>
  <c r="O791" i="5"/>
  <c r="O789" i="5"/>
  <c r="O788" i="5"/>
  <c r="O787" i="5"/>
  <c r="O785" i="5"/>
  <c r="O784" i="5"/>
  <c r="O783" i="5"/>
  <c r="O782" i="5"/>
  <c r="O778" i="5"/>
  <c r="O776" i="5"/>
  <c r="O772" i="5"/>
  <c r="O769" i="5"/>
  <c r="O765" i="5"/>
  <c r="O764" i="5"/>
  <c r="O760" i="5"/>
  <c r="O759" i="5"/>
  <c r="O755" i="5"/>
  <c r="O751" i="5"/>
  <c r="O750" i="5"/>
  <c r="O748" i="5"/>
  <c r="O747" i="5"/>
  <c r="O745" i="5"/>
  <c r="O744" i="5"/>
  <c r="O742" i="5"/>
  <c r="G742" i="5"/>
  <c r="O741" i="5"/>
  <c r="G741" i="5"/>
  <c r="O740" i="5"/>
  <c r="G740" i="5"/>
  <c r="O739" i="5"/>
  <c r="G739" i="5"/>
  <c r="O735" i="5"/>
  <c r="O733" i="5"/>
  <c r="O731" i="5"/>
  <c r="O730" i="5"/>
  <c r="O729" i="5"/>
  <c r="O727" i="5"/>
  <c r="O726" i="5"/>
  <c r="O725" i="5"/>
  <c r="O723" i="5"/>
  <c r="O722" i="5"/>
  <c r="O721" i="5"/>
  <c r="O720" i="5"/>
  <c r="O716" i="5"/>
  <c r="O707" i="5"/>
  <c r="O703" i="5"/>
  <c r="O702" i="5"/>
  <c r="O698" i="5"/>
  <c r="O697" i="5"/>
  <c r="O695" i="5"/>
  <c r="O694" i="5"/>
  <c r="O693" i="5"/>
  <c r="O689" i="5"/>
  <c r="O688" i="5"/>
  <c r="O686" i="5"/>
  <c r="O685" i="5"/>
  <c r="O683" i="5"/>
  <c r="O682" i="5"/>
  <c r="O680" i="5"/>
  <c r="G680" i="5"/>
  <c r="O679" i="5"/>
  <c r="G679" i="5"/>
  <c r="O677" i="5"/>
  <c r="G677" i="5"/>
  <c r="O673" i="5"/>
  <c r="O671" i="5"/>
  <c r="O669" i="5"/>
  <c r="O668" i="5"/>
  <c r="O667" i="5"/>
  <c r="O665" i="5"/>
  <c r="O664" i="5"/>
  <c r="O663" i="5"/>
  <c r="O661" i="5"/>
  <c r="O660" i="5"/>
  <c r="O659" i="5"/>
  <c r="O658" i="5"/>
  <c r="O654" i="5"/>
  <c r="O648" i="5"/>
  <c r="O645" i="5"/>
  <c r="O641" i="5"/>
  <c r="O640" i="5"/>
  <c r="O636" i="5"/>
  <c r="O635" i="5"/>
  <c r="O633" i="5"/>
  <c r="O632" i="5"/>
  <c r="O631" i="5"/>
  <c r="O627" i="5"/>
  <c r="O626" i="5"/>
  <c r="O624" i="5"/>
  <c r="O623" i="5"/>
  <c r="O621" i="5"/>
  <c r="O620" i="5"/>
  <c r="O618" i="5"/>
  <c r="G618" i="5"/>
  <c r="O617" i="5"/>
  <c r="G617" i="5"/>
  <c r="O616" i="5"/>
  <c r="G616" i="5"/>
  <c r="O615" i="5"/>
  <c r="G615" i="5"/>
  <c r="O611" i="5"/>
  <c r="O609" i="5"/>
  <c r="O607" i="5"/>
  <c r="O606" i="5"/>
  <c r="O605" i="5"/>
  <c r="O603" i="5"/>
  <c r="O602" i="5"/>
  <c r="O601" i="5"/>
  <c r="O599" i="5"/>
  <c r="O598" i="5"/>
  <c r="O597" i="5"/>
  <c r="O596" i="5"/>
  <c r="O592" i="5"/>
  <c r="O590" i="5"/>
  <c r="O586" i="5"/>
  <c r="O583" i="5"/>
  <c r="O579" i="5"/>
  <c r="O578" i="5"/>
  <c r="O574" i="5"/>
  <c r="O573" i="5"/>
  <c r="O571" i="5"/>
  <c r="O570" i="5"/>
  <c r="O569" i="5"/>
  <c r="O565" i="5"/>
  <c r="O564" i="5"/>
  <c r="O562" i="5"/>
  <c r="O561" i="5"/>
  <c r="O559" i="5"/>
  <c r="O558" i="5"/>
  <c r="O556" i="5"/>
  <c r="G556" i="5"/>
  <c r="O555" i="5"/>
  <c r="G555" i="5"/>
  <c r="O554" i="5"/>
  <c r="G554" i="5"/>
  <c r="O550" i="5"/>
  <c r="O548" i="5"/>
  <c r="O546" i="5"/>
  <c r="O545" i="5"/>
  <c r="O544" i="5"/>
  <c r="O542" i="5"/>
  <c r="O541" i="5"/>
  <c r="O540" i="5"/>
  <c r="O538" i="5"/>
  <c r="O537" i="5"/>
  <c r="O536" i="5"/>
  <c r="O535" i="5"/>
  <c r="O531" i="5"/>
  <c r="O529" i="5"/>
  <c r="O522" i="5"/>
  <c r="O518" i="5"/>
  <c r="O517" i="5"/>
  <c r="O513" i="5"/>
  <c r="O512" i="5"/>
  <c r="O510" i="5"/>
  <c r="O509" i="5"/>
  <c r="O508" i="5"/>
  <c r="O504" i="5"/>
  <c r="O503" i="5"/>
  <c r="O501" i="5"/>
  <c r="O500" i="5"/>
  <c r="O498" i="5"/>
  <c r="O497" i="5"/>
  <c r="O495" i="5"/>
  <c r="G495" i="5"/>
  <c r="O494" i="5"/>
  <c r="G494" i="5"/>
  <c r="O493" i="5"/>
  <c r="G493" i="5"/>
  <c r="O491" i="5"/>
  <c r="O489" i="5"/>
  <c r="O487" i="5"/>
  <c r="O485" i="5"/>
  <c r="O484" i="5"/>
  <c r="O483" i="5"/>
  <c r="O481" i="5"/>
  <c r="O480" i="5"/>
  <c r="O479" i="5"/>
  <c r="O477" i="5"/>
  <c r="O476" i="5"/>
  <c r="O475" i="5"/>
  <c r="O474" i="5"/>
  <c r="O470" i="5"/>
  <c r="O468" i="5"/>
  <c r="O461" i="5"/>
  <c r="O457" i="5"/>
  <c r="O456" i="5"/>
  <c r="O452" i="5"/>
  <c r="O451" i="5"/>
  <c r="O449" i="5"/>
  <c r="O448" i="5"/>
  <c r="O447" i="5"/>
  <c r="O443" i="5"/>
  <c r="O442" i="5"/>
  <c r="O440" i="5"/>
  <c r="O439" i="5"/>
  <c r="O437" i="5"/>
  <c r="O436" i="5"/>
  <c r="O434" i="5"/>
  <c r="G434" i="5"/>
  <c r="O433" i="5"/>
  <c r="G433" i="5"/>
  <c r="O432" i="5"/>
  <c r="G432" i="5"/>
  <c r="O428" i="5"/>
  <c r="O426" i="5"/>
  <c r="O424" i="5"/>
  <c r="O423" i="5"/>
  <c r="O422" i="5"/>
  <c r="O420" i="5"/>
  <c r="O419" i="5"/>
  <c r="O418" i="5"/>
  <c r="O416" i="5"/>
  <c r="O415" i="5"/>
  <c r="O414" i="5"/>
  <c r="O413" i="5"/>
  <c r="O409" i="5"/>
  <c r="O407" i="5"/>
  <c r="O403" i="5"/>
  <c r="G402" i="5"/>
  <c r="O400" i="5"/>
  <c r="O396" i="5"/>
  <c r="O395" i="5"/>
  <c r="O391" i="5"/>
  <c r="O390" i="5"/>
  <c r="O388" i="5"/>
  <c r="O387" i="5"/>
  <c r="O386" i="5"/>
  <c r="O382" i="5"/>
  <c r="O381" i="5"/>
  <c r="O379" i="5"/>
  <c r="O378" i="5"/>
  <c r="O376" i="5"/>
  <c r="O375" i="5"/>
  <c r="O373" i="5"/>
  <c r="G373" i="5"/>
  <c r="O372" i="5"/>
  <c r="G372" i="5"/>
  <c r="O371" i="5"/>
  <c r="G371" i="5"/>
  <c r="O369" i="5"/>
  <c r="O367" i="5"/>
  <c r="O365" i="5"/>
  <c r="O363" i="5"/>
  <c r="O362" i="5"/>
  <c r="O361" i="5"/>
  <c r="O359" i="5"/>
  <c r="O358" i="5"/>
  <c r="O357" i="5"/>
  <c r="O355" i="5"/>
  <c r="O354" i="5"/>
  <c r="O353" i="5"/>
  <c r="O352" i="5"/>
  <c r="O348" i="5"/>
  <c r="O346" i="5"/>
  <c r="O339" i="5"/>
  <c r="O335" i="5"/>
  <c r="O334" i="5"/>
  <c r="O330" i="5"/>
  <c r="O329" i="5"/>
  <c r="O325" i="5"/>
  <c r="O321" i="5"/>
  <c r="O320" i="5"/>
  <c r="O318" i="5"/>
  <c r="O317" i="5"/>
  <c r="O315" i="5"/>
  <c r="O314" i="5"/>
  <c r="G314" i="5"/>
  <c r="O312" i="5"/>
  <c r="G312" i="5"/>
  <c r="O311" i="5"/>
  <c r="G311" i="5"/>
  <c r="O309" i="5"/>
  <c r="G309" i="5"/>
  <c r="O305" i="5"/>
  <c r="O303" i="5"/>
  <c r="O301" i="5"/>
  <c r="O300" i="5"/>
  <c r="O299" i="5"/>
  <c r="O297" i="5"/>
  <c r="O296" i="5"/>
  <c r="O295" i="5"/>
  <c r="O293" i="5"/>
  <c r="O292" i="5"/>
  <c r="O291" i="5"/>
  <c r="O290" i="5"/>
  <c r="O286" i="5"/>
  <c r="G286" i="5"/>
  <c r="O284" i="5"/>
  <c r="O277" i="5"/>
  <c r="O273" i="5"/>
  <c r="O272" i="5"/>
  <c r="O268" i="5"/>
  <c r="O267" i="5"/>
  <c r="G266" i="5"/>
  <c r="O265" i="5"/>
  <c r="O264" i="5"/>
  <c r="O263" i="5"/>
  <c r="O259" i="5"/>
  <c r="O258" i="5"/>
  <c r="O256" i="5"/>
  <c r="G256" i="5"/>
  <c r="O255" i="5"/>
  <c r="O253" i="5"/>
  <c r="O252" i="5"/>
  <c r="O250" i="5"/>
  <c r="G250" i="5"/>
  <c r="O249" i="5"/>
  <c r="G249" i="5"/>
  <c r="O247" i="5"/>
  <c r="G247" i="5"/>
  <c r="O245" i="5"/>
  <c r="G245" i="5"/>
  <c r="O243" i="5"/>
  <c r="O241" i="5"/>
  <c r="O239" i="5"/>
  <c r="O238" i="5"/>
  <c r="O237" i="5"/>
  <c r="O235" i="5"/>
  <c r="O234" i="5"/>
  <c r="O233" i="5"/>
  <c r="O231" i="5"/>
  <c r="O230" i="5"/>
  <c r="O229" i="5"/>
  <c r="O228" i="5"/>
  <c r="G225" i="5"/>
  <c r="O224" i="5"/>
  <c r="O222" i="5"/>
  <c r="O215" i="5"/>
  <c r="O211" i="5"/>
  <c r="G211" i="5"/>
  <c r="O210" i="5"/>
  <c r="O206" i="5"/>
  <c r="O205" i="5"/>
  <c r="O203" i="5"/>
  <c r="O202" i="5"/>
  <c r="O201" i="5"/>
  <c r="O197" i="5"/>
  <c r="O196" i="5"/>
  <c r="O194" i="5"/>
  <c r="O193" i="5"/>
  <c r="O191" i="5"/>
  <c r="O190" i="5"/>
  <c r="O188" i="5"/>
  <c r="G188" i="5"/>
  <c r="O187" i="5"/>
  <c r="G187" i="5"/>
  <c r="O186" i="5"/>
  <c r="G186" i="5"/>
  <c r="O185" i="5"/>
  <c r="G185" i="5"/>
  <c r="O181" i="5"/>
  <c r="O179" i="5"/>
  <c r="O177" i="5"/>
  <c r="O176" i="5"/>
  <c r="O175" i="5"/>
  <c r="O173" i="5"/>
  <c r="O172" i="5"/>
  <c r="O171" i="5"/>
  <c r="O169" i="5"/>
  <c r="O168" i="5"/>
  <c r="O167" i="5"/>
  <c r="O166" i="5"/>
  <c r="O162" i="5"/>
  <c r="O160" i="5"/>
  <c r="O153" i="5"/>
  <c r="O149" i="5"/>
  <c r="O148" i="5"/>
  <c r="O144" i="5"/>
  <c r="O143" i="5"/>
  <c r="O141" i="5"/>
  <c r="O140" i="5"/>
  <c r="O139" i="5"/>
  <c r="O135" i="5"/>
  <c r="O134" i="5"/>
  <c r="O132" i="5"/>
  <c r="O131" i="5"/>
  <c r="O129" i="5"/>
  <c r="O128" i="5"/>
  <c r="O126" i="5"/>
  <c r="G126" i="5"/>
  <c r="O125" i="5"/>
  <c r="G125" i="5"/>
  <c r="O123" i="5"/>
  <c r="G123" i="5"/>
  <c r="O119" i="5"/>
  <c r="O118" i="5"/>
  <c r="O117" i="5"/>
  <c r="O115" i="5"/>
  <c r="O114" i="5"/>
  <c r="O113" i="5"/>
  <c r="O111" i="5"/>
  <c r="O110" i="5"/>
  <c r="O109" i="5"/>
  <c r="O107" i="5"/>
  <c r="O106" i="5"/>
  <c r="O105" i="5"/>
  <c r="O104" i="5"/>
  <c r="O100" i="5"/>
  <c r="O98" i="5"/>
  <c r="O91" i="5"/>
  <c r="O87" i="5"/>
  <c r="O86" i="5"/>
  <c r="O82" i="5"/>
  <c r="O81" i="5"/>
  <c r="O79" i="5"/>
  <c r="O78" i="5"/>
  <c r="O77" i="5"/>
  <c r="O73" i="5"/>
  <c r="O72" i="5"/>
  <c r="O70" i="5"/>
  <c r="O69" i="5"/>
  <c r="O67" i="5"/>
  <c r="O66" i="5"/>
  <c r="O64" i="5"/>
  <c r="G64" i="5"/>
  <c r="O63" i="5"/>
  <c r="G63" i="5"/>
  <c r="O62" i="5"/>
  <c r="G62" i="5"/>
  <c r="O61" i="5"/>
  <c r="G61" i="5"/>
  <c r="O57" i="5"/>
  <c r="O55" i="5"/>
  <c r="O54" i="5"/>
  <c r="O53" i="5"/>
  <c r="O52" i="5"/>
  <c r="O51" i="5"/>
  <c r="O49" i="5"/>
  <c r="O48" i="5"/>
  <c r="O47" i="5"/>
  <c r="O46" i="5"/>
  <c r="O45" i="5"/>
  <c r="O44" i="5"/>
  <c r="O43" i="5"/>
  <c r="O42" i="5"/>
  <c r="O41" i="5"/>
  <c r="O38" i="5"/>
  <c r="O37" i="5"/>
  <c r="O36" i="5"/>
  <c r="O32" i="5"/>
  <c r="O30" i="5"/>
  <c r="O29" i="5"/>
  <c r="O28" i="5"/>
  <c r="O25" i="5"/>
  <c r="O24" i="5"/>
  <c r="O20" i="5"/>
  <c r="O19" i="5"/>
  <c r="O17" i="5"/>
  <c r="O16" i="5"/>
  <c r="O15" i="5"/>
  <c r="O14" i="5"/>
  <c r="O11" i="5"/>
  <c r="O10" i="5"/>
  <c r="O8" i="5"/>
  <c r="O7" i="5"/>
  <c r="O5" i="5"/>
  <c r="O4" i="5"/>
  <c r="O2" i="5"/>
  <c r="G2" i="5"/>
  <c r="F538" i="4"/>
  <c r="E538" i="4"/>
  <c r="F537" i="4"/>
  <c r="E537" i="4"/>
  <c r="F536" i="4"/>
  <c r="E536" i="4"/>
  <c r="F535" i="4"/>
  <c r="E535" i="4"/>
  <c r="F534" i="4"/>
  <c r="E534" i="4"/>
  <c r="F533" i="4"/>
  <c r="E533" i="4"/>
  <c r="F532" i="4"/>
  <c r="E532" i="4"/>
  <c r="F531" i="4"/>
  <c r="E531" i="4"/>
  <c r="F530" i="4"/>
  <c r="E530" i="4"/>
  <c r="F529" i="4"/>
  <c r="E529" i="4"/>
  <c r="F528" i="4"/>
  <c r="E528" i="4"/>
  <c r="F527" i="4"/>
  <c r="E527" i="4"/>
  <c r="F526" i="4"/>
  <c r="E526" i="4"/>
  <c r="F525" i="4"/>
  <c r="E525" i="4"/>
  <c r="F524" i="4"/>
  <c r="E524" i="4"/>
  <c r="F523" i="4"/>
  <c r="E523" i="4"/>
  <c r="F522" i="4"/>
  <c r="E522" i="4"/>
  <c r="F521" i="4"/>
  <c r="E521" i="4"/>
  <c r="F520" i="4"/>
  <c r="E520" i="4"/>
  <c r="F519" i="4"/>
  <c r="E519" i="4"/>
  <c r="F518" i="4"/>
  <c r="E518" i="4"/>
  <c r="F517" i="4"/>
  <c r="E517" i="4"/>
  <c r="F516" i="4"/>
  <c r="E516" i="4"/>
  <c r="F515" i="4"/>
  <c r="E515" i="4"/>
  <c r="F514" i="4"/>
  <c r="E514" i="4"/>
  <c r="F513" i="4"/>
  <c r="E513" i="4"/>
  <c r="F512" i="4"/>
  <c r="E512" i="4"/>
  <c r="F511" i="4"/>
  <c r="E511" i="4"/>
  <c r="F510" i="4"/>
  <c r="E510" i="4"/>
  <c r="F509" i="4"/>
  <c r="E509" i="4"/>
  <c r="F508" i="4"/>
  <c r="E508" i="4"/>
  <c r="F507" i="4"/>
  <c r="E507" i="4"/>
  <c r="F506" i="4"/>
  <c r="E506" i="4"/>
  <c r="F505" i="4"/>
  <c r="E505" i="4"/>
  <c r="F504" i="4"/>
  <c r="E504" i="4"/>
  <c r="F503" i="4"/>
  <c r="E503" i="4"/>
  <c r="F502" i="4"/>
  <c r="E502" i="4"/>
  <c r="F501" i="4"/>
  <c r="E501" i="4"/>
  <c r="F500" i="4"/>
  <c r="E500" i="4"/>
  <c r="F499" i="4"/>
  <c r="E499" i="4"/>
  <c r="F498" i="4"/>
  <c r="E498" i="4"/>
  <c r="F497" i="4"/>
  <c r="E497" i="4"/>
  <c r="F496" i="4"/>
  <c r="E496" i="4"/>
  <c r="F495" i="4"/>
  <c r="E495" i="4"/>
  <c r="F494" i="4"/>
  <c r="E494" i="4"/>
  <c r="F493" i="4"/>
  <c r="E493" i="4"/>
  <c r="F492" i="4"/>
  <c r="E492" i="4"/>
  <c r="F491" i="4"/>
  <c r="E491" i="4"/>
  <c r="F490" i="4"/>
  <c r="E490" i="4"/>
  <c r="F489" i="4"/>
  <c r="E489" i="4"/>
  <c r="F488" i="4"/>
  <c r="E488" i="4"/>
  <c r="F487" i="4"/>
  <c r="E487" i="4"/>
  <c r="F486" i="4"/>
  <c r="E486" i="4"/>
  <c r="F485" i="4"/>
  <c r="E485" i="4"/>
  <c r="F484" i="4"/>
  <c r="E484" i="4"/>
  <c r="F483" i="4"/>
  <c r="E483" i="4"/>
  <c r="F482" i="4"/>
  <c r="E482" i="4"/>
  <c r="F481" i="4"/>
  <c r="E481" i="4"/>
  <c r="F480" i="4"/>
  <c r="E480" i="4"/>
  <c r="F479" i="4"/>
  <c r="E479" i="4"/>
  <c r="F478" i="4"/>
  <c r="E478" i="4"/>
  <c r="F477" i="4"/>
  <c r="E477" i="4"/>
  <c r="F476" i="4"/>
  <c r="E476" i="4"/>
  <c r="F475" i="4"/>
  <c r="E475" i="4"/>
  <c r="F474" i="4"/>
  <c r="E474" i="4"/>
  <c r="F473" i="4"/>
  <c r="E473" i="4"/>
  <c r="F472" i="4"/>
  <c r="E472" i="4"/>
  <c r="F471" i="4"/>
  <c r="E471" i="4"/>
  <c r="F470" i="4"/>
  <c r="E470" i="4"/>
  <c r="F469" i="4"/>
  <c r="E469" i="4"/>
  <c r="F468" i="4"/>
  <c r="E468" i="4"/>
  <c r="F467" i="4"/>
  <c r="E467" i="4"/>
  <c r="F466" i="4"/>
  <c r="E466" i="4"/>
  <c r="F465" i="4"/>
  <c r="E465" i="4"/>
  <c r="F464" i="4"/>
  <c r="E464" i="4"/>
  <c r="F463" i="4"/>
  <c r="E463" i="4"/>
  <c r="F462" i="4"/>
  <c r="E462" i="4"/>
  <c r="F461" i="4"/>
  <c r="E461" i="4"/>
  <c r="F460" i="4"/>
  <c r="E460" i="4"/>
  <c r="F459" i="4"/>
  <c r="E459" i="4"/>
  <c r="F458" i="4"/>
  <c r="E458" i="4"/>
  <c r="F457" i="4"/>
  <c r="E457" i="4"/>
  <c r="F456" i="4"/>
  <c r="E456" i="4"/>
  <c r="F455" i="4"/>
  <c r="E455" i="4"/>
  <c r="F454" i="4"/>
  <c r="E454" i="4"/>
  <c r="F453" i="4"/>
  <c r="E453" i="4"/>
  <c r="F452" i="4"/>
  <c r="E452" i="4"/>
  <c r="F451" i="4"/>
  <c r="E451" i="4"/>
  <c r="F450" i="4"/>
  <c r="E450" i="4"/>
  <c r="F449" i="4"/>
  <c r="E449" i="4"/>
  <c r="F448" i="4"/>
  <c r="E448" i="4"/>
  <c r="F447" i="4"/>
  <c r="E447" i="4"/>
  <c r="F446" i="4"/>
  <c r="E446" i="4"/>
  <c r="F445" i="4"/>
  <c r="E445" i="4"/>
  <c r="F444" i="4"/>
  <c r="E444" i="4"/>
  <c r="F443" i="4"/>
  <c r="E443" i="4"/>
  <c r="F442" i="4"/>
  <c r="E442" i="4"/>
  <c r="F441" i="4"/>
  <c r="E441" i="4"/>
  <c r="F440" i="4"/>
  <c r="E440" i="4"/>
  <c r="F439" i="4"/>
  <c r="E439" i="4"/>
  <c r="F438" i="4"/>
  <c r="E438" i="4"/>
  <c r="F437" i="4"/>
  <c r="E437" i="4"/>
  <c r="F436" i="4"/>
  <c r="E436" i="4"/>
  <c r="F435" i="4"/>
  <c r="E435" i="4"/>
  <c r="F434" i="4"/>
  <c r="E434" i="4"/>
  <c r="F433" i="4"/>
  <c r="E433" i="4"/>
  <c r="F432" i="4"/>
  <c r="E432" i="4"/>
  <c r="F431" i="4"/>
  <c r="E431" i="4"/>
  <c r="F430" i="4"/>
  <c r="E430" i="4"/>
  <c r="F429" i="4"/>
  <c r="E429" i="4"/>
  <c r="F428" i="4"/>
  <c r="E428" i="4"/>
  <c r="F427" i="4"/>
  <c r="E427" i="4"/>
  <c r="F426" i="4"/>
  <c r="E426" i="4"/>
  <c r="F425" i="4"/>
  <c r="E425" i="4"/>
  <c r="F424" i="4"/>
  <c r="E424" i="4"/>
  <c r="F423" i="4"/>
  <c r="E423" i="4"/>
  <c r="F422" i="4"/>
  <c r="E422" i="4"/>
  <c r="F421" i="4"/>
  <c r="E421" i="4"/>
  <c r="F420" i="4"/>
  <c r="E420" i="4"/>
  <c r="F419" i="4"/>
  <c r="E419" i="4"/>
  <c r="F418" i="4"/>
  <c r="E418" i="4"/>
  <c r="F417" i="4"/>
  <c r="E417" i="4"/>
  <c r="F416" i="4"/>
  <c r="E416" i="4"/>
  <c r="F415" i="4"/>
  <c r="E415" i="4"/>
  <c r="F414" i="4"/>
  <c r="E414" i="4"/>
  <c r="F413" i="4"/>
  <c r="E413" i="4"/>
  <c r="F412" i="4"/>
  <c r="E412" i="4"/>
  <c r="F411" i="4"/>
  <c r="E411" i="4"/>
  <c r="F410" i="4"/>
  <c r="E410" i="4"/>
  <c r="F409" i="4"/>
  <c r="E409" i="4"/>
  <c r="F408" i="4"/>
  <c r="E408" i="4"/>
  <c r="F407" i="4"/>
  <c r="E407" i="4"/>
  <c r="F406" i="4"/>
  <c r="E406" i="4"/>
  <c r="F405" i="4"/>
  <c r="E405" i="4"/>
  <c r="F404" i="4"/>
  <c r="E404" i="4"/>
  <c r="F403" i="4"/>
  <c r="E403" i="4"/>
  <c r="F402" i="4"/>
  <c r="E402" i="4"/>
  <c r="F401" i="4"/>
  <c r="E401" i="4"/>
  <c r="F400" i="4"/>
  <c r="E400" i="4"/>
  <c r="F399" i="4"/>
  <c r="E399" i="4"/>
  <c r="F398" i="4"/>
  <c r="E398" i="4"/>
  <c r="F397" i="4"/>
  <c r="E397" i="4"/>
  <c r="F396" i="4"/>
  <c r="E396" i="4"/>
  <c r="F395" i="4"/>
  <c r="E395" i="4"/>
  <c r="F394" i="4"/>
  <c r="E394" i="4"/>
  <c r="F393" i="4"/>
  <c r="E393" i="4"/>
  <c r="F392" i="4"/>
  <c r="E392" i="4"/>
  <c r="F391" i="4"/>
  <c r="E391" i="4"/>
  <c r="F390" i="4"/>
  <c r="E390" i="4"/>
  <c r="F389" i="4"/>
  <c r="E389" i="4"/>
  <c r="F388" i="4"/>
  <c r="E388" i="4"/>
  <c r="F387" i="4"/>
  <c r="E387" i="4"/>
  <c r="F386" i="4"/>
  <c r="E386" i="4"/>
  <c r="F385" i="4"/>
  <c r="E385" i="4"/>
  <c r="F384" i="4"/>
  <c r="E384" i="4"/>
  <c r="F383" i="4"/>
  <c r="E383" i="4"/>
  <c r="F382" i="4"/>
  <c r="E382" i="4"/>
  <c r="F381" i="4"/>
  <c r="E381" i="4"/>
  <c r="F380" i="4"/>
  <c r="E380" i="4"/>
  <c r="F379" i="4"/>
  <c r="E379" i="4"/>
  <c r="F378" i="4"/>
  <c r="E378" i="4"/>
  <c r="F377" i="4"/>
  <c r="E377" i="4"/>
  <c r="F376" i="4"/>
  <c r="E376" i="4"/>
  <c r="F375" i="4"/>
  <c r="E375" i="4"/>
  <c r="F374" i="4"/>
  <c r="E374" i="4"/>
  <c r="F373" i="4"/>
  <c r="E373" i="4"/>
  <c r="F372" i="4"/>
  <c r="E372" i="4"/>
  <c r="F371" i="4"/>
  <c r="E371" i="4"/>
  <c r="F370" i="4"/>
  <c r="E370" i="4"/>
  <c r="F369" i="4"/>
  <c r="E369" i="4"/>
  <c r="F368" i="4"/>
  <c r="E368" i="4"/>
  <c r="F367" i="4"/>
  <c r="E367" i="4"/>
  <c r="F366" i="4"/>
  <c r="E366" i="4"/>
  <c r="F365" i="4"/>
  <c r="E365" i="4"/>
  <c r="F364" i="4"/>
  <c r="E364" i="4"/>
  <c r="F363" i="4"/>
  <c r="E363" i="4"/>
  <c r="F362" i="4"/>
  <c r="E362" i="4"/>
  <c r="F361" i="4"/>
  <c r="E361" i="4"/>
  <c r="F360" i="4"/>
  <c r="E360" i="4"/>
  <c r="F359" i="4"/>
  <c r="E359" i="4"/>
  <c r="F358" i="4"/>
  <c r="E358" i="4"/>
  <c r="F357" i="4"/>
  <c r="E357" i="4"/>
  <c r="F356" i="4"/>
  <c r="E356" i="4"/>
  <c r="F355" i="4"/>
  <c r="E355" i="4"/>
  <c r="F354" i="4"/>
  <c r="E354" i="4"/>
  <c r="F353" i="4"/>
  <c r="E353" i="4"/>
  <c r="F352" i="4"/>
  <c r="E352" i="4"/>
  <c r="F351" i="4"/>
  <c r="E351" i="4"/>
  <c r="F350" i="4"/>
  <c r="E350" i="4"/>
  <c r="F349" i="4"/>
  <c r="E349" i="4"/>
  <c r="F348" i="4"/>
  <c r="E348" i="4"/>
  <c r="F347" i="4"/>
  <c r="E347" i="4"/>
  <c r="F346" i="4"/>
  <c r="E346" i="4"/>
  <c r="F345" i="4"/>
  <c r="E345" i="4"/>
  <c r="F344" i="4"/>
  <c r="E344" i="4"/>
  <c r="F343" i="4"/>
  <c r="E343" i="4"/>
  <c r="F342" i="4"/>
  <c r="E342" i="4"/>
  <c r="F341" i="4"/>
  <c r="E341" i="4"/>
  <c r="F340" i="4"/>
  <c r="E340" i="4"/>
  <c r="F339" i="4"/>
  <c r="E339" i="4"/>
  <c r="F338" i="4"/>
  <c r="E338" i="4"/>
  <c r="F337" i="4"/>
  <c r="E337" i="4"/>
  <c r="F336" i="4"/>
  <c r="E336" i="4"/>
  <c r="F335" i="4"/>
  <c r="E335" i="4"/>
  <c r="F334" i="4"/>
  <c r="E334" i="4"/>
  <c r="F333" i="4"/>
  <c r="E333" i="4"/>
  <c r="F332" i="4"/>
  <c r="E332" i="4"/>
  <c r="F331" i="4"/>
  <c r="E331" i="4"/>
  <c r="F330" i="4"/>
  <c r="E330" i="4"/>
  <c r="F329" i="4"/>
  <c r="E329" i="4"/>
  <c r="F328" i="4"/>
  <c r="E328" i="4"/>
  <c r="F327" i="4"/>
  <c r="E327" i="4"/>
  <c r="F326" i="4"/>
  <c r="E326" i="4"/>
  <c r="F325" i="4"/>
  <c r="E325" i="4"/>
  <c r="F324" i="4"/>
  <c r="E324" i="4"/>
  <c r="F323" i="4"/>
  <c r="E323" i="4"/>
  <c r="F322" i="4"/>
  <c r="E322" i="4"/>
  <c r="F321" i="4"/>
  <c r="E321" i="4"/>
  <c r="F320" i="4"/>
  <c r="E320" i="4"/>
  <c r="F319" i="4"/>
  <c r="E319" i="4"/>
  <c r="F318" i="4"/>
  <c r="E318" i="4"/>
  <c r="F317" i="4"/>
  <c r="E317" i="4"/>
  <c r="F316" i="4"/>
  <c r="E316" i="4"/>
  <c r="F315" i="4"/>
  <c r="E315" i="4"/>
  <c r="F314" i="4"/>
  <c r="E314" i="4"/>
  <c r="F313" i="4"/>
  <c r="E313" i="4"/>
  <c r="F312" i="4"/>
  <c r="E312" i="4"/>
  <c r="F311" i="4"/>
  <c r="E311" i="4"/>
  <c r="F310" i="4"/>
  <c r="E310" i="4"/>
  <c r="F309" i="4"/>
  <c r="E309" i="4"/>
  <c r="F308" i="4"/>
  <c r="E308" i="4"/>
  <c r="F307" i="4"/>
  <c r="E307" i="4"/>
  <c r="F306" i="4"/>
  <c r="E306" i="4"/>
  <c r="F305" i="4"/>
  <c r="E305" i="4"/>
  <c r="F304" i="4"/>
  <c r="E304" i="4"/>
  <c r="F303" i="4"/>
  <c r="E303" i="4"/>
  <c r="F302" i="4"/>
  <c r="E302" i="4"/>
  <c r="F301" i="4"/>
  <c r="E301" i="4"/>
  <c r="F300" i="4"/>
  <c r="E300" i="4"/>
  <c r="F299" i="4"/>
  <c r="E299" i="4"/>
  <c r="F298" i="4"/>
  <c r="E298" i="4"/>
  <c r="F297" i="4"/>
  <c r="E297" i="4"/>
  <c r="F296" i="4"/>
  <c r="E296" i="4"/>
  <c r="F295" i="4"/>
  <c r="E295" i="4"/>
  <c r="F294" i="4"/>
  <c r="E294" i="4"/>
  <c r="F293" i="4"/>
  <c r="E293" i="4"/>
  <c r="F292" i="4"/>
  <c r="E292" i="4"/>
  <c r="F291" i="4"/>
  <c r="E291" i="4"/>
  <c r="F290" i="4"/>
  <c r="E290" i="4"/>
  <c r="F289" i="4"/>
  <c r="E289" i="4"/>
  <c r="F288" i="4"/>
  <c r="E288" i="4"/>
  <c r="F287" i="4"/>
  <c r="E287" i="4"/>
  <c r="F286" i="4"/>
  <c r="E286" i="4"/>
  <c r="F285" i="4"/>
  <c r="E285" i="4"/>
  <c r="F284" i="4"/>
  <c r="E284" i="4"/>
  <c r="F283" i="4"/>
  <c r="E283" i="4"/>
  <c r="F282" i="4"/>
  <c r="E282" i="4"/>
  <c r="F281" i="4"/>
  <c r="E281" i="4"/>
  <c r="F280" i="4"/>
  <c r="E280" i="4"/>
  <c r="F279" i="4"/>
  <c r="E279" i="4"/>
  <c r="F278" i="4"/>
  <c r="E278" i="4"/>
  <c r="F277" i="4"/>
  <c r="E277" i="4"/>
  <c r="F276" i="4"/>
  <c r="E276" i="4"/>
  <c r="F275" i="4"/>
  <c r="E275" i="4"/>
  <c r="F274" i="4"/>
  <c r="E274" i="4"/>
  <c r="F273" i="4"/>
  <c r="E273" i="4"/>
  <c r="F272" i="4"/>
  <c r="E272" i="4"/>
  <c r="F271" i="4"/>
  <c r="E271" i="4"/>
  <c r="F270" i="4"/>
  <c r="E270" i="4"/>
  <c r="F269" i="4"/>
  <c r="E269" i="4"/>
  <c r="F268" i="4"/>
  <c r="E268" i="4"/>
  <c r="F267" i="4"/>
  <c r="E267" i="4"/>
  <c r="F266" i="4"/>
  <c r="E266" i="4"/>
  <c r="F265" i="4"/>
  <c r="E265" i="4"/>
  <c r="F264" i="4"/>
  <c r="E264" i="4"/>
  <c r="F263" i="4"/>
  <c r="E263" i="4"/>
  <c r="F262" i="4"/>
  <c r="E262" i="4"/>
  <c r="F261" i="4"/>
  <c r="E261" i="4"/>
  <c r="F260" i="4"/>
  <c r="E260" i="4"/>
  <c r="F259" i="4"/>
  <c r="E259" i="4"/>
  <c r="F258" i="4"/>
  <c r="E258" i="4"/>
  <c r="F257" i="4"/>
  <c r="E257" i="4"/>
  <c r="F256" i="4"/>
  <c r="E256" i="4"/>
  <c r="F255" i="4"/>
  <c r="E255" i="4"/>
  <c r="F254" i="4"/>
  <c r="E254" i="4"/>
  <c r="F253" i="4"/>
  <c r="E253" i="4"/>
  <c r="F252" i="4"/>
  <c r="E252" i="4"/>
  <c r="F251" i="4"/>
  <c r="E251" i="4"/>
  <c r="F250" i="4"/>
  <c r="E250" i="4"/>
  <c r="F249" i="4"/>
  <c r="E249" i="4"/>
  <c r="F248" i="4"/>
  <c r="E248" i="4"/>
  <c r="F247" i="4"/>
  <c r="E247" i="4"/>
  <c r="F246" i="4"/>
  <c r="E246" i="4"/>
  <c r="F245" i="4"/>
  <c r="E245" i="4"/>
  <c r="F244" i="4"/>
  <c r="E244" i="4"/>
  <c r="F243" i="4"/>
  <c r="E243" i="4"/>
  <c r="F242" i="4"/>
  <c r="E242" i="4"/>
  <c r="F241" i="4"/>
  <c r="E241" i="4"/>
  <c r="F240" i="4"/>
  <c r="E240" i="4"/>
  <c r="F239" i="4"/>
  <c r="E239" i="4"/>
  <c r="F238" i="4"/>
  <c r="E238" i="4"/>
  <c r="F237" i="4"/>
  <c r="E237" i="4"/>
  <c r="F236" i="4"/>
  <c r="E236" i="4"/>
  <c r="F235" i="4"/>
  <c r="E235" i="4"/>
  <c r="F234" i="4"/>
  <c r="E234" i="4"/>
  <c r="F233" i="4"/>
  <c r="E233" i="4"/>
  <c r="F232" i="4"/>
  <c r="E232" i="4"/>
  <c r="F231" i="4"/>
  <c r="E231" i="4"/>
  <c r="F230" i="4"/>
  <c r="E230" i="4"/>
  <c r="F229" i="4"/>
  <c r="E229" i="4"/>
  <c r="F228" i="4"/>
  <c r="E228" i="4"/>
  <c r="F227" i="4"/>
  <c r="E227" i="4"/>
  <c r="F226" i="4"/>
  <c r="E226" i="4"/>
  <c r="F225" i="4"/>
  <c r="E225" i="4"/>
  <c r="F224" i="4"/>
  <c r="E224" i="4"/>
  <c r="F223" i="4"/>
  <c r="E223" i="4"/>
  <c r="F222" i="4"/>
  <c r="E222" i="4"/>
  <c r="F221" i="4"/>
  <c r="E221" i="4"/>
  <c r="F220" i="4"/>
  <c r="E220" i="4"/>
  <c r="F219" i="4"/>
  <c r="E219" i="4"/>
  <c r="F218" i="4"/>
  <c r="E218" i="4"/>
  <c r="F217" i="4"/>
  <c r="E217" i="4"/>
  <c r="F216" i="4"/>
  <c r="E216" i="4"/>
  <c r="F215" i="4"/>
  <c r="E215" i="4"/>
  <c r="F214" i="4"/>
  <c r="E214" i="4"/>
  <c r="F213" i="4"/>
  <c r="E213" i="4"/>
  <c r="F212" i="4"/>
  <c r="E212" i="4"/>
  <c r="F211" i="4"/>
  <c r="E211" i="4"/>
  <c r="F210" i="4"/>
  <c r="E210" i="4"/>
  <c r="F209" i="4"/>
  <c r="E209" i="4"/>
  <c r="F208" i="4"/>
  <c r="E208" i="4"/>
  <c r="F207" i="4"/>
  <c r="E207" i="4"/>
  <c r="F206" i="4"/>
  <c r="E206" i="4"/>
  <c r="F205" i="4"/>
  <c r="E205" i="4"/>
  <c r="F204" i="4"/>
  <c r="E204" i="4"/>
  <c r="F203" i="4"/>
  <c r="E203" i="4"/>
  <c r="F202" i="4"/>
  <c r="E202" i="4"/>
  <c r="F201" i="4"/>
  <c r="E201" i="4"/>
  <c r="F200" i="4"/>
  <c r="E200" i="4"/>
  <c r="F199" i="4"/>
  <c r="E199" i="4"/>
  <c r="F198" i="4"/>
  <c r="E198" i="4"/>
  <c r="F197" i="4"/>
  <c r="E197" i="4"/>
  <c r="F196" i="4"/>
  <c r="E196" i="4"/>
  <c r="F195" i="4"/>
  <c r="E195" i="4"/>
  <c r="F194" i="4"/>
  <c r="E194" i="4"/>
  <c r="F193" i="4"/>
  <c r="E193" i="4"/>
  <c r="F192" i="4"/>
  <c r="E192" i="4"/>
  <c r="F191" i="4"/>
  <c r="E191" i="4"/>
  <c r="F190" i="4"/>
  <c r="E190" i="4"/>
  <c r="F189" i="4"/>
  <c r="E189" i="4"/>
  <c r="F188" i="4"/>
  <c r="E188" i="4"/>
  <c r="F187" i="4"/>
  <c r="E187" i="4"/>
  <c r="F186" i="4"/>
  <c r="E186" i="4"/>
  <c r="F185" i="4"/>
  <c r="E185" i="4"/>
  <c r="F184" i="4"/>
  <c r="E184" i="4"/>
  <c r="F183" i="4"/>
  <c r="E183" i="4"/>
  <c r="F182" i="4"/>
  <c r="E182" i="4"/>
  <c r="F181" i="4"/>
  <c r="E181" i="4"/>
  <c r="F180" i="4"/>
  <c r="E180" i="4"/>
  <c r="F179" i="4"/>
  <c r="E179" i="4"/>
  <c r="F178" i="4"/>
  <c r="E178" i="4"/>
  <c r="F177" i="4"/>
  <c r="E177" i="4"/>
  <c r="F176" i="4"/>
  <c r="E176" i="4"/>
  <c r="F175" i="4"/>
  <c r="E175" i="4"/>
  <c r="F174" i="4"/>
  <c r="E174" i="4"/>
  <c r="F173" i="4"/>
  <c r="E173" i="4"/>
  <c r="F172" i="4"/>
  <c r="E172" i="4"/>
  <c r="F171" i="4"/>
  <c r="E171" i="4"/>
  <c r="F170" i="4"/>
  <c r="E170" i="4"/>
  <c r="F169" i="4"/>
  <c r="E169" i="4"/>
  <c r="F168" i="4"/>
  <c r="E168" i="4"/>
  <c r="F167" i="4"/>
  <c r="E167" i="4"/>
  <c r="F166" i="4"/>
  <c r="E166" i="4"/>
  <c r="F165" i="4"/>
  <c r="E165" i="4"/>
  <c r="F164" i="4"/>
  <c r="E164" i="4"/>
  <c r="F163" i="4"/>
  <c r="E163" i="4"/>
  <c r="F162" i="4"/>
  <c r="E162" i="4"/>
  <c r="F161" i="4"/>
  <c r="E161" i="4"/>
  <c r="F160" i="4"/>
  <c r="E160" i="4"/>
  <c r="F159" i="4"/>
  <c r="E159" i="4"/>
  <c r="F158" i="4"/>
  <c r="E158" i="4"/>
  <c r="F157" i="4"/>
  <c r="E157" i="4"/>
  <c r="F156" i="4"/>
  <c r="E156" i="4"/>
  <c r="F155" i="4"/>
  <c r="E155" i="4"/>
  <c r="F154" i="4"/>
  <c r="E154" i="4"/>
  <c r="F153" i="4"/>
  <c r="E153" i="4"/>
  <c r="F152" i="4"/>
  <c r="E152" i="4"/>
  <c r="F151" i="4"/>
  <c r="E151" i="4"/>
  <c r="F150" i="4"/>
  <c r="E150" i="4"/>
  <c r="F149" i="4"/>
  <c r="E149" i="4"/>
  <c r="F148" i="4"/>
  <c r="E148" i="4"/>
  <c r="F147" i="4"/>
  <c r="E147" i="4"/>
  <c r="F146" i="4"/>
  <c r="E146" i="4"/>
  <c r="F145" i="4"/>
  <c r="E145" i="4"/>
  <c r="F144" i="4"/>
  <c r="E144" i="4"/>
  <c r="F143" i="4"/>
  <c r="E143" i="4"/>
  <c r="F142" i="4"/>
  <c r="E142" i="4"/>
  <c r="F141" i="4"/>
  <c r="E141" i="4"/>
  <c r="F140" i="4"/>
  <c r="E140" i="4"/>
  <c r="F139" i="4"/>
  <c r="E139" i="4"/>
  <c r="F138" i="4"/>
  <c r="E138" i="4"/>
  <c r="F137" i="4"/>
  <c r="E137" i="4"/>
  <c r="F136" i="4"/>
  <c r="E136" i="4"/>
  <c r="F135" i="4"/>
  <c r="E135" i="4"/>
  <c r="F134" i="4"/>
  <c r="E134" i="4"/>
  <c r="F133" i="4"/>
  <c r="E133" i="4"/>
  <c r="F132" i="4"/>
  <c r="E132" i="4"/>
  <c r="F131" i="4"/>
  <c r="E131" i="4"/>
  <c r="F130" i="4"/>
  <c r="E130" i="4"/>
  <c r="F129" i="4"/>
  <c r="E129" i="4"/>
  <c r="F128" i="4"/>
  <c r="E128" i="4"/>
  <c r="F127" i="4"/>
  <c r="E127" i="4"/>
  <c r="F126" i="4"/>
  <c r="E126" i="4"/>
  <c r="F125" i="4"/>
  <c r="E125" i="4"/>
  <c r="F124" i="4"/>
  <c r="E124" i="4"/>
  <c r="F123" i="4"/>
  <c r="E123" i="4"/>
  <c r="F122" i="4"/>
  <c r="E122" i="4"/>
  <c r="F121" i="4"/>
  <c r="E121" i="4"/>
  <c r="F120" i="4"/>
  <c r="E120" i="4"/>
  <c r="F119" i="4"/>
  <c r="E119" i="4"/>
  <c r="F118" i="4"/>
  <c r="E118" i="4"/>
  <c r="F117" i="4"/>
  <c r="E117" i="4"/>
  <c r="F116" i="4"/>
  <c r="E116" i="4"/>
  <c r="F115" i="4"/>
  <c r="E115" i="4"/>
  <c r="F114" i="4"/>
  <c r="E114" i="4"/>
  <c r="F113" i="4"/>
  <c r="E113" i="4"/>
  <c r="F112" i="4"/>
  <c r="E112" i="4"/>
  <c r="F111" i="4"/>
  <c r="E111" i="4"/>
  <c r="F110" i="4"/>
  <c r="E110" i="4"/>
  <c r="F109" i="4"/>
  <c r="E109" i="4"/>
  <c r="F108" i="4"/>
  <c r="E108" i="4"/>
  <c r="F107" i="4"/>
  <c r="E107" i="4"/>
  <c r="F106" i="4"/>
  <c r="E106" i="4"/>
  <c r="F105" i="4"/>
  <c r="E105" i="4"/>
  <c r="F104" i="4"/>
  <c r="E104" i="4"/>
  <c r="F103" i="4"/>
  <c r="E103" i="4"/>
  <c r="F102" i="4"/>
  <c r="E102" i="4"/>
  <c r="F101" i="4"/>
  <c r="E101" i="4"/>
  <c r="F100" i="4"/>
  <c r="E100" i="4"/>
  <c r="F99" i="4"/>
  <c r="E99" i="4"/>
  <c r="F98" i="4"/>
  <c r="E98" i="4"/>
  <c r="F97" i="4"/>
  <c r="E97" i="4"/>
  <c r="F96" i="4"/>
  <c r="E96" i="4"/>
  <c r="F95" i="4"/>
  <c r="E95" i="4"/>
  <c r="F94" i="4"/>
  <c r="E94" i="4"/>
  <c r="F93" i="4"/>
  <c r="E93" i="4"/>
  <c r="F92" i="4"/>
  <c r="E92" i="4"/>
  <c r="F91" i="4"/>
  <c r="E91" i="4"/>
  <c r="F90" i="4"/>
  <c r="E90" i="4"/>
  <c r="F89" i="4"/>
  <c r="E89" i="4"/>
  <c r="F88" i="4"/>
  <c r="E88" i="4"/>
  <c r="F87" i="4"/>
  <c r="E87" i="4"/>
  <c r="F86" i="4"/>
  <c r="E86" i="4"/>
  <c r="F85" i="4"/>
  <c r="E85" i="4"/>
  <c r="F84" i="4"/>
  <c r="E84" i="4"/>
  <c r="F83" i="4"/>
  <c r="E83" i="4"/>
  <c r="F82" i="4"/>
  <c r="E82" i="4"/>
  <c r="F81" i="4"/>
  <c r="E81" i="4"/>
  <c r="F80" i="4"/>
  <c r="E80" i="4"/>
  <c r="F79" i="4"/>
  <c r="E79" i="4"/>
  <c r="F78" i="4"/>
  <c r="E78" i="4"/>
  <c r="F77" i="4"/>
  <c r="E77" i="4"/>
  <c r="F76" i="4"/>
  <c r="E76" i="4"/>
  <c r="F75" i="4"/>
  <c r="E75" i="4"/>
  <c r="F74" i="4"/>
  <c r="E74" i="4"/>
  <c r="F73" i="4"/>
  <c r="E73" i="4"/>
  <c r="F72" i="4"/>
  <c r="E72" i="4"/>
  <c r="F71" i="4"/>
  <c r="E71" i="4"/>
  <c r="F70" i="4"/>
  <c r="E70" i="4"/>
  <c r="F69" i="4"/>
  <c r="E69" i="4"/>
  <c r="F68" i="4"/>
  <c r="E68" i="4"/>
  <c r="F67" i="4"/>
  <c r="E67" i="4"/>
  <c r="F66" i="4"/>
  <c r="E66" i="4"/>
  <c r="F65" i="4"/>
  <c r="E65" i="4"/>
  <c r="F64" i="4"/>
  <c r="E64" i="4"/>
  <c r="F63" i="4"/>
  <c r="E63" i="4"/>
  <c r="F62" i="4"/>
  <c r="E62" i="4"/>
  <c r="F61" i="4"/>
  <c r="E61" i="4"/>
  <c r="F60" i="4"/>
  <c r="E60" i="4"/>
  <c r="F59" i="4"/>
  <c r="E59" i="4"/>
  <c r="F58" i="4"/>
  <c r="E58" i="4"/>
  <c r="F57" i="4"/>
  <c r="E57" i="4"/>
  <c r="F56" i="4"/>
  <c r="E56" i="4"/>
  <c r="F55" i="4"/>
  <c r="E55" i="4"/>
  <c r="F54" i="4"/>
  <c r="E54" i="4"/>
  <c r="F53" i="4"/>
  <c r="E53" i="4"/>
  <c r="F52" i="4"/>
  <c r="E52" i="4"/>
  <c r="F51" i="4"/>
  <c r="E51" i="4"/>
  <c r="F50" i="4"/>
  <c r="E50" i="4"/>
  <c r="F49" i="4"/>
  <c r="E49" i="4"/>
  <c r="F48" i="4"/>
  <c r="E48" i="4"/>
  <c r="F47" i="4"/>
  <c r="E47" i="4"/>
  <c r="F46" i="4"/>
  <c r="E46" i="4"/>
  <c r="F45" i="4"/>
  <c r="E45" i="4"/>
  <c r="F44" i="4"/>
  <c r="E44" i="4"/>
  <c r="F43" i="4"/>
  <c r="E43" i="4"/>
  <c r="F42" i="4"/>
  <c r="E42" i="4"/>
  <c r="F41" i="4"/>
  <c r="E41" i="4"/>
  <c r="F40" i="4"/>
  <c r="E40" i="4"/>
  <c r="F39" i="4"/>
  <c r="E39" i="4"/>
  <c r="F38" i="4"/>
  <c r="E38" i="4"/>
  <c r="F37" i="4"/>
  <c r="E37" i="4"/>
  <c r="F36" i="4"/>
  <c r="E36" i="4"/>
  <c r="F35" i="4"/>
  <c r="E35" i="4"/>
  <c r="F34" i="4"/>
  <c r="E34" i="4"/>
  <c r="F33" i="4"/>
  <c r="E33" i="4"/>
  <c r="F32" i="4"/>
  <c r="E32" i="4"/>
  <c r="F31" i="4"/>
  <c r="E31" i="4"/>
  <c r="F30" i="4"/>
  <c r="E30" i="4"/>
  <c r="F29" i="4"/>
  <c r="E29" i="4"/>
  <c r="F28" i="4"/>
  <c r="E28" i="4"/>
  <c r="F27" i="4"/>
  <c r="E27" i="4"/>
  <c r="F26" i="4"/>
  <c r="E26" i="4"/>
  <c r="F25" i="4"/>
  <c r="E25" i="4"/>
  <c r="F24" i="4"/>
  <c r="E24" i="4"/>
  <c r="F23" i="4"/>
  <c r="E23" i="4"/>
  <c r="F22" i="4"/>
  <c r="E22" i="4"/>
  <c r="F21" i="4"/>
  <c r="E21" i="4"/>
  <c r="F20" i="4"/>
  <c r="E20" i="4"/>
  <c r="F19" i="4"/>
  <c r="E19" i="4"/>
  <c r="F18" i="4"/>
  <c r="E18" i="4"/>
  <c r="F17" i="4"/>
  <c r="E17" i="4"/>
  <c r="F16" i="4"/>
  <c r="E16" i="4"/>
  <c r="F15" i="4"/>
  <c r="E15" i="4"/>
  <c r="F14" i="4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F4" i="4"/>
  <c r="E4" i="4"/>
  <c r="F3" i="4"/>
  <c r="E3" i="4"/>
  <c r="F2" i="4"/>
  <c r="E2" i="4"/>
  <c r="G308" i="2"/>
  <c r="G306" i="2"/>
  <c r="N304" i="2"/>
  <c r="G304" i="2"/>
  <c r="N303" i="2"/>
  <c r="G303" i="2"/>
  <c r="N302" i="2"/>
  <c r="G302" i="2"/>
  <c r="G299" i="2"/>
  <c r="I299" i="2" s="1"/>
  <c r="G295" i="2"/>
  <c r="I295" i="2" s="1"/>
  <c r="J293" i="2"/>
  <c r="G293" i="2"/>
  <c r="I293" i="2" s="1"/>
  <c r="I292" i="2"/>
  <c r="G292" i="2"/>
  <c r="J292" i="2" s="1"/>
  <c r="G289" i="2"/>
  <c r="I289" i="2" s="1"/>
  <c r="G285" i="2"/>
  <c r="I285" i="2" s="1"/>
  <c r="I284" i="2"/>
  <c r="G284" i="2"/>
  <c r="J284" i="2" s="1"/>
  <c r="G283" i="2"/>
  <c r="I283" i="2" s="1"/>
  <c r="G279" i="2"/>
  <c r="I279" i="2" s="1"/>
  <c r="I276" i="2"/>
  <c r="G276" i="2"/>
  <c r="J276" i="2" s="1"/>
  <c r="J275" i="2"/>
  <c r="G275" i="2"/>
  <c r="I275" i="2" s="1"/>
  <c r="G273" i="2"/>
  <c r="I273" i="2" s="1"/>
  <c r="G269" i="2"/>
  <c r="I269" i="2" s="1"/>
  <c r="G265" i="2"/>
  <c r="I265" i="2" s="1"/>
  <c r="G261" i="2"/>
  <c r="I261" i="2" s="1"/>
  <c r="G257" i="2"/>
  <c r="I257" i="2" s="1"/>
  <c r="J255" i="2"/>
  <c r="G255" i="2"/>
  <c r="I255" i="2" s="1"/>
  <c r="G253" i="2"/>
  <c r="I253" i="2" s="1"/>
  <c r="I252" i="2"/>
  <c r="G252" i="2"/>
  <c r="J252" i="2" s="1"/>
  <c r="N251" i="2"/>
  <c r="N250" i="2"/>
  <c r="N249" i="2"/>
  <c r="N248" i="2"/>
  <c r="N247" i="2"/>
  <c r="N246" i="2"/>
  <c r="N245" i="2"/>
  <c r="N244" i="2"/>
  <c r="G244" i="2"/>
  <c r="N243" i="2"/>
  <c r="N242" i="2"/>
  <c r="N241" i="2"/>
  <c r="N240" i="2"/>
  <c r="N239" i="2"/>
  <c r="N238" i="2"/>
  <c r="N237" i="2"/>
  <c r="N236" i="2"/>
  <c r="G236" i="2"/>
  <c r="N235" i="2"/>
  <c r="N234" i="2"/>
  <c r="N233" i="2"/>
  <c r="N232" i="2"/>
  <c r="G232" i="2"/>
  <c r="N231" i="2"/>
  <c r="N230" i="2"/>
  <c r="N229" i="2"/>
  <c r="N228" i="2"/>
  <c r="G228" i="2"/>
  <c r="N227" i="2"/>
  <c r="N226" i="2"/>
  <c r="N225" i="2"/>
  <c r="N224" i="2"/>
  <c r="N223" i="2"/>
  <c r="N222" i="2"/>
  <c r="N221" i="2"/>
  <c r="N220" i="2"/>
  <c r="N219" i="2"/>
  <c r="N218" i="2"/>
  <c r="N217" i="2"/>
  <c r="G217" i="2"/>
  <c r="N216" i="2"/>
  <c r="N215" i="2"/>
  <c r="N214" i="2"/>
  <c r="N213" i="2"/>
  <c r="G213" i="2"/>
  <c r="N212" i="2"/>
  <c r="N211" i="2"/>
  <c r="N210" i="2"/>
  <c r="N209" i="2"/>
  <c r="G209" i="2"/>
  <c r="N208" i="2"/>
  <c r="N207" i="2"/>
  <c r="N206" i="2"/>
  <c r="N205" i="2"/>
  <c r="G205" i="2"/>
  <c r="N204" i="2"/>
  <c r="N203" i="2"/>
  <c r="N202" i="2"/>
  <c r="N201" i="2"/>
  <c r="G201" i="2"/>
  <c r="N200" i="2"/>
  <c r="N199" i="2"/>
  <c r="N198" i="2"/>
  <c r="N197" i="2"/>
  <c r="N196" i="2"/>
  <c r="N195" i="2"/>
  <c r="N194" i="2"/>
  <c r="N193" i="2"/>
  <c r="G193" i="2"/>
  <c r="N192" i="2"/>
  <c r="N191" i="2"/>
  <c r="N190" i="2"/>
  <c r="N189" i="2"/>
  <c r="G189" i="2"/>
  <c r="N188" i="2"/>
  <c r="N187" i="2"/>
  <c r="N186" i="2"/>
  <c r="N185" i="2"/>
  <c r="N184" i="2"/>
  <c r="N183" i="2"/>
  <c r="N182" i="2"/>
  <c r="N181" i="2"/>
  <c r="G181" i="2"/>
  <c r="N180" i="2"/>
  <c r="G180" i="2"/>
  <c r="N179" i="2"/>
  <c r="G179" i="2"/>
  <c r="N178" i="2"/>
  <c r="G178" i="2"/>
  <c r="N177" i="2"/>
  <c r="G177" i="2"/>
  <c r="N176" i="2"/>
  <c r="N175" i="2"/>
  <c r="N174" i="2"/>
  <c r="N173" i="2"/>
  <c r="G173" i="2"/>
  <c r="N172" i="2"/>
  <c r="N171" i="2"/>
  <c r="N170" i="2"/>
  <c r="N169" i="2"/>
  <c r="G169" i="2"/>
  <c r="N168" i="2"/>
  <c r="N167" i="2"/>
  <c r="N166" i="2"/>
  <c r="N165" i="2"/>
  <c r="G165" i="2"/>
  <c r="N164" i="2"/>
  <c r="N163" i="2"/>
  <c r="N162" i="2"/>
  <c r="N161" i="2"/>
  <c r="N160" i="2"/>
  <c r="N159" i="2"/>
  <c r="N158" i="2"/>
  <c r="N157" i="2"/>
  <c r="G157" i="2"/>
  <c r="N156" i="2"/>
  <c r="N155" i="2"/>
  <c r="N154" i="2"/>
  <c r="N153" i="2"/>
  <c r="G153" i="2"/>
  <c r="N152" i="2"/>
  <c r="N151" i="2"/>
  <c r="N150" i="2"/>
  <c r="N149" i="2"/>
  <c r="G149" i="2"/>
  <c r="N148" i="2"/>
  <c r="N147" i="2"/>
  <c r="N146" i="2"/>
  <c r="N145" i="2"/>
  <c r="N144" i="2"/>
  <c r="N143" i="2"/>
  <c r="N142" i="2"/>
  <c r="N141" i="2"/>
  <c r="G141" i="2"/>
  <c r="N140" i="2"/>
  <c r="N139" i="2"/>
  <c r="N138" i="2"/>
  <c r="N137" i="2"/>
  <c r="G137" i="2"/>
  <c r="N136" i="2"/>
  <c r="N135" i="2"/>
  <c r="N134" i="2"/>
  <c r="N133" i="2"/>
  <c r="G133" i="2"/>
  <c r="N132" i="2"/>
  <c r="N131" i="2"/>
  <c r="N130" i="2"/>
  <c r="N129" i="2"/>
  <c r="N128" i="2"/>
  <c r="N127" i="2"/>
  <c r="N126" i="2"/>
  <c r="N125" i="2"/>
  <c r="G125" i="2"/>
  <c r="N124" i="2"/>
  <c r="N123" i="2"/>
  <c r="N122" i="2"/>
  <c r="N121" i="2"/>
  <c r="N120" i="2"/>
  <c r="N119" i="2"/>
  <c r="N118" i="2"/>
  <c r="N117" i="2"/>
  <c r="G117" i="2"/>
  <c r="N116" i="2"/>
  <c r="N115" i="2"/>
  <c r="N114" i="2"/>
  <c r="N113" i="2"/>
  <c r="G113" i="2"/>
  <c r="N112" i="2"/>
  <c r="N111" i="2"/>
  <c r="N110" i="2"/>
  <c r="N109" i="2"/>
  <c r="G109" i="2"/>
  <c r="N108" i="2"/>
  <c r="N107" i="2"/>
  <c r="N106" i="2"/>
  <c r="N105" i="2"/>
  <c r="N104" i="2"/>
  <c r="N103" i="2"/>
  <c r="N102" i="2"/>
  <c r="N101" i="2"/>
  <c r="G101" i="2"/>
  <c r="N100" i="2"/>
  <c r="N99" i="2"/>
  <c r="N98" i="2"/>
  <c r="N97" i="2"/>
  <c r="N96" i="2"/>
  <c r="N95" i="2"/>
  <c r="N94" i="2"/>
  <c r="N93" i="2"/>
  <c r="G93" i="2"/>
  <c r="N92" i="2"/>
  <c r="N91" i="2"/>
  <c r="N90" i="2"/>
  <c r="N89" i="2"/>
  <c r="G89" i="2"/>
  <c r="N88" i="2"/>
  <c r="N87" i="2"/>
  <c r="N86" i="2"/>
  <c r="N85" i="2"/>
  <c r="G85" i="2"/>
  <c r="N84" i="2"/>
  <c r="N83" i="2"/>
  <c r="N82" i="2"/>
  <c r="N81" i="2"/>
  <c r="N80" i="2"/>
  <c r="N79" i="2"/>
  <c r="N78" i="2"/>
  <c r="N77" i="2"/>
  <c r="G77" i="2"/>
  <c r="N76" i="2"/>
  <c r="N75" i="2"/>
  <c r="N74" i="2"/>
  <c r="N73" i="2"/>
  <c r="G73" i="2"/>
  <c r="N72" i="2"/>
  <c r="N71" i="2"/>
  <c r="N70" i="2"/>
  <c r="N69" i="2"/>
  <c r="N68" i="2"/>
  <c r="N67" i="2"/>
  <c r="N66" i="2"/>
  <c r="G66" i="2"/>
  <c r="N65" i="2"/>
  <c r="N64" i="2"/>
  <c r="N63" i="2"/>
  <c r="N62" i="2"/>
  <c r="N61" i="2"/>
  <c r="N60" i="2"/>
  <c r="G60" i="2"/>
  <c r="N59" i="2"/>
  <c r="N58" i="2"/>
  <c r="G58" i="2"/>
  <c r="N57" i="2"/>
  <c r="N56" i="2"/>
  <c r="N55" i="2"/>
  <c r="N54" i="2"/>
  <c r="G54" i="2"/>
  <c r="N53" i="2"/>
  <c r="N52" i="2"/>
  <c r="N51" i="2"/>
  <c r="N50" i="2"/>
  <c r="G50" i="2"/>
  <c r="N49" i="2"/>
  <c r="N48" i="2"/>
  <c r="N47" i="2"/>
  <c r="N46" i="2"/>
  <c r="N45" i="2"/>
  <c r="N44" i="2"/>
  <c r="N43" i="2"/>
  <c r="N42" i="2"/>
  <c r="N41" i="2"/>
  <c r="N40" i="2"/>
  <c r="G40" i="2"/>
  <c r="N39" i="2"/>
  <c r="N38" i="2"/>
  <c r="G38" i="2"/>
  <c r="N37" i="2"/>
  <c r="N36" i="2"/>
  <c r="N35" i="2"/>
  <c r="N34" i="2"/>
  <c r="G34" i="2"/>
  <c r="N33" i="2"/>
  <c r="N32" i="2"/>
  <c r="N31" i="2"/>
  <c r="N30" i="2"/>
  <c r="G30" i="2"/>
  <c r="N29" i="2"/>
  <c r="N28" i="2"/>
  <c r="G28" i="2"/>
  <c r="N27" i="2"/>
  <c r="N26" i="2"/>
  <c r="N25" i="2"/>
  <c r="N24" i="2"/>
  <c r="N23" i="2"/>
  <c r="N22" i="2"/>
  <c r="N21" i="2"/>
  <c r="N20" i="2"/>
  <c r="G20" i="2"/>
  <c r="N19" i="2"/>
  <c r="G19" i="2"/>
  <c r="N18" i="2"/>
  <c r="G18" i="2"/>
  <c r="N17" i="2"/>
  <c r="N16" i="2"/>
  <c r="N15" i="2"/>
  <c r="N14" i="2"/>
  <c r="G14" i="2"/>
  <c r="N13" i="2"/>
  <c r="N12" i="2"/>
  <c r="N11" i="2"/>
  <c r="G11" i="2"/>
  <c r="N10" i="2"/>
  <c r="G10" i="2"/>
  <c r="N9" i="2"/>
  <c r="G9" i="2"/>
  <c r="N8" i="2"/>
  <c r="G8" i="2"/>
  <c r="N7" i="2"/>
  <c r="G7" i="2"/>
  <c r="N6" i="2"/>
  <c r="G6" i="2"/>
  <c r="N5" i="2"/>
  <c r="G5" i="2"/>
  <c r="N4" i="2"/>
  <c r="G4" i="2"/>
  <c r="N3" i="2"/>
  <c r="G3" i="2"/>
  <c r="N2" i="2"/>
  <c r="G2" i="2"/>
  <c r="E59" i="1"/>
  <c r="G308" i="5" s="1"/>
  <c r="E58" i="1"/>
  <c r="G129" i="6" s="1"/>
  <c r="E57" i="1"/>
  <c r="E56" i="1"/>
  <c r="E55" i="1"/>
  <c r="E54" i="1"/>
  <c r="G117" i="5" s="1"/>
  <c r="E53" i="1"/>
  <c r="G271" i="2" s="1"/>
  <c r="E52" i="1"/>
  <c r="G263" i="2" s="1"/>
  <c r="E51" i="1"/>
  <c r="G300" i="5" s="1"/>
  <c r="E50" i="1"/>
  <c r="G175" i="5" s="1"/>
  <c r="E49" i="1"/>
  <c r="E48" i="1"/>
  <c r="E47" i="1"/>
  <c r="E46" i="1"/>
  <c r="G233" i="5" s="1"/>
  <c r="E45" i="1"/>
  <c r="E44" i="1"/>
  <c r="E43" i="1"/>
  <c r="G230" i="5" s="1"/>
  <c r="E42" i="1"/>
  <c r="G167" i="5" s="1"/>
  <c r="E41" i="1"/>
  <c r="E40" i="1"/>
  <c r="E39" i="1"/>
  <c r="E38" i="1"/>
  <c r="G410" i="5" s="1"/>
  <c r="E37" i="1"/>
  <c r="E36" i="1"/>
  <c r="E35" i="1"/>
  <c r="E34" i="1"/>
  <c r="G406" i="5" s="1"/>
  <c r="E33" i="1"/>
  <c r="E32" i="1"/>
  <c r="E31" i="1"/>
  <c r="E30" i="1"/>
  <c r="G93" i="5" s="1"/>
  <c r="E29" i="1"/>
  <c r="E28" i="1"/>
  <c r="E27" i="1"/>
  <c r="E26" i="1"/>
  <c r="G151" i="5" s="1"/>
  <c r="E25" i="1"/>
  <c r="E24" i="1"/>
  <c r="E23" i="1"/>
  <c r="E22" i="1"/>
  <c r="G85" i="5" s="1"/>
  <c r="E21" i="1"/>
  <c r="E20" i="1"/>
  <c r="G105" i="2" s="1"/>
  <c r="E19" i="1"/>
  <c r="G330" i="5" s="1"/>
  <c r="E18" i="1"/>
  <c r="G143" i="5" s="1"/>
  <c r="E17" i="1"/>
  <c r="E16" i="1"/>
  <c r="E15" i="1"/>
  <c r="E14" i="1"/>
  <c r="G201" i="5" s="1"/>
  <c r="E13" i="1"/>
  <c r="E12" i="1"/>
  <c r="G62" i="2" s="1"/>
  <c r="I11" i="1"/>
  <c r="E11" i="1"/>
  <c r="G322" i="5" s="1"/>
  <c r="I10" i="1"/>
  <c r="E10" i="1"/>
  <c r="I9" i="1"/>
  <c r="E9" i="1"/>
  <c r="G258" i="5" s="1"/>
  <c r="I8" i="1"/>
  <c r="E8" i="1"/>
  <c r="G42" i="2" s="1"/>
  <c r="I7" i="1"/>
  <c r="E7" i="1"/>
  <c r="I6" i="1"/>
  <c r="O154" i="5" s="1"/>
  <c r="E6" i="1"/>
  <c r="I5" i="1"/>
  <c r="E5" i="1"/>
  <c r="G254" i="5" s="1"/>
  <c r="I4" i="1"/>
  <c r="O138" i="5" s="1"/>
  <c r="E4" i="1"/>
  <c r="G376" i="5" s="1"/>
  <c r="I3" i="1"/>
  <c r="O74" i="5" s="1"/>
  <c r="E3" i="1"/>
  <c r="G252" i="5" s="1"/>
  <c r="I2" i="1"/>
  <c r="O22" i="5" s="1"/>
  <c r="E2" i="1"/>
  <c r="I263" i="2" l="1"/>
  <c r="J263" i="2"/>
  <c r="I271" i="2"/>
  <c r="J271" i="2"/>
  <c r="G454" i="6"/>
  <c r="G409" i="6"/>
  <c r="G278" i="6"/>
  <c r="G62" i="6"/>
  <c r="G707" i="5"/>
  <c r="G583" i="5"/>
  <c r="G769" i="5"/>
  <c r="G461" i="5"/>
  <c r="G277" i="5"/>
  <c r="G645" i="5"/>
  <c r="G400" i="5"/>
  <c r="G339" i="5"/>
  <c r="G146" i="2"/>
  <c r="G142" i="2"/>
  <c r="G153" i="5"/>
  <c r="G29" i="5"/>
  <c r="G522" i="5"/>
  <c r="G144" i="2"/>
  <c r="G91" i="5"/>
  <c r="G143" i="2"/>
  <c r="N447" i="6"/>
  <c r="O447" i="6" s="1"/>
  <c r="N546" i="6"/>
  <c r="O546" i="6" s="1"/>
  <c r="N493" i="6"/>
  <c r="O493" i="6" s="1"/>
  <c r="N472" i="6"/>
  <c r="O472" i="6" s="1"/>
  <c r="N539" i="6"/>
  <c r="O539" i="6" s="1"/>
  <c r="N459" i="6"/>
  <c r="O459" i="6" s="1"/>
  <c r="N566" i="6"/>
  <c r="O566" i="6" s="1"/>
  <c r="N550" i="6"/>
  <c r="O550" i="6" s="1"/>
  <c r="N502" i="6"/>
  <c r="O502" i="6" s="1"/>
  <c r="N521" i="6"/>
  <c r="O521" i="6" s="1"/>
  <c r="N497" i="6"/>
  <c r="O497" i="6" s="1"/>
  <c r="N401" i="6"/>
  <c r="O401" i="6" s="1"/>
  <c r="N329" i="6"/>
  <c r="O329" i="6" s="1"/>
  <c r="N508" i="6"/>
  <c r="O508" i="6" s="1"/>
  <c r="N476" i="6"/>
  <c r="O476" i="6" s="1"/>
  <c r="N452" i="6"/>
  <c r="O452" i="6" s="1"/>
  <c r="N426" i="6"/>
  <c r="O426" i="6" s="1"/>
  <c r="N375" i="6"/>
  <c r="O375" i="6" s="1"/>
  <c r="N368" i="6"/>
  <c r="O368" i="6" s="1"/>
  <c r="N237" i="6"/>
  <c r="O237" i="6" s="1"/>
  <c r="N413" i="6"/>
  <c r="O413" i="6" s="1"/>
  <c r="N388" i="6"/>
  <c r="O388" i="6" s="1"/>
  <c r="N272" i="6"/>
  <c r="O272" i="6" s="1"/>
  <c r="N200" i="6"/>
  <c r="O200" i="6" s="1"/>
  <c r="N160" i="6"/>
  <c r="O160" i="6" s="1"/>
  <c r="N364" i="6"/>
  <c r="O364" i="6" s="1"/>
  <c r="N323" i="6"/>
  <c r="O323" i="6" s="1"/>
  <c r="N259" i="6"/>
  <c r="O259" i="6" s="1"/>
  <c r="N357" i="6"/>
  <c r="O357" i="6" s="1"/>
  <c r="N246" i="6"/>
  <c r="O246" i="6" s="1"/>
  <c r="N407" i="6"/>
  <c r="O407" i="6" s="1"/>
  <c r="N241" i="6"/>
  <c r="O241" i="6" s="1"/>
  <c r="N217" i="6"/>
  <c r="O217" i="6" s="1"/>
  <c r="N276" i="6"/>
  <c r="O276" i="6" s="1"/>
  <c r="N172" i="6"/>
  <c r="O172" i="6" s="1"/>
  <c r="N339" i="6"/>
  <c r="O339" i="6" s="1"/>
  <c r="N314" i="6"/>
  <c r="O314" i="6" s="1"/>
  <c r="N298" i="6"/>
  <c r="O298" i="6" s="1"/>
  <c r="N282" i="6"/>
  <c r="O282" i="6" s="1"/>
  <c r="N319" i="6"/>
  <c r="O319" i="6" s="1"/>
  <c r="N118" i="6"/>
  <c r="O118" i="6" s="1"/>
  <c r="N54" i="6"/>
  <c r="O54" i="6" s="1"/>
  <c r="N22" i="6"/>
  <c r="O22" i="6" s="1"/>
  <c r="O781" i="5"/>
  <c r="N81" i="6"/>
  <c r="O81" i="6" s="1"/>
  <c r="N65" i="6"/>
  <c r="O65" i="6" s="1"/>
  <c r="N17" i="6"/>
  <c r="O17" i="6" s="1"/>
  <c r="N148" i="6"/>
  <c r="O148" i="6" s="1"/>
  <c r="N143" i="6"/>
  <c r="O143" i="6" s="1"/>
  <c r="N111" i="6"/>
  <c r="O111" i="6" s="1"/>
  <c r="N71" i="6"/>
  <c r="O71" i="6" s="1"/>
  <c r="N153" i="6"/>
  <c r="O153" i="6" s="1"/>
  <c r="N42" i="6"/>
  <c r="O42" i="6" s="1"/>
  <c r="N26" i="6"/>
  <c r="O26" i="6" s="1"/>
  <c r="O719" i="5"/>
  <c r="N430" i="6"/>
  <c r="O430" i="6" s="1"/>
  <c r="N125" i="6"/>
  <c r="O125" i="6" s="1"/>
  <c r="N101" i="6"/>
  <c r="O101" i="6" s="1"/>
  <c r="O798" i="5"/>
  <c r="O774" i="5"/>
  <c r="O732" i="5"/>
  <c r="O712" i="5"/>
  <c r="N128" i="6"/>
  <c r="O128" i="6" s="1"/>
  <c r="N107" i="6"/>
  <c r="O107" i="6" s="1"/>
  <c r="O766" i="5"/>
  <c r="O595" i="5"/>
  <c r="O551" i="5"/>
  <c r="O547" i="5"/>
  <c r="O527" i="5"/>
  <c r="O519" i="5"/>
  <c r="O511" i="5"/>
  <c r="N84" i="6"/>
  <c r="O84" i="6" s="1"/>
  <c r="O736" i="5"/>
  <c r="N195" i="6"/>
  <c r="O195" i="6" s="1"/>
  <c r="O758" i="5"/>
  <c r="O674" i="5"/>
  <c r="O670" i="5"/>
  <c r="O650" i="5"/>
  <c r="O642" i="5"/>
  <c r="O634" i="5"/>
  <c r="O534" i="5"/>
  <c r="O490" i="5"/>
  <c r="O486" i="5"/>
  <c r="O466" i="5"/>
  <c r="N59" i="6"/>
  <c r="O59" i="6" s="1"/>
  <c r="O704" i="5"/>
  <c r="O696" i="5"/>
  <c r="O612" i="5"/>
  <c r="O608" i="5"/>
  <c r="O588" i="5"/>
  <c r="O580" i="5"/>
  <c r="O572" i="5"/>
  <c r="O657" i="5"/>
  <c r="O412" i="5"/>
  <c r="O368" i="5"/>
  <c r="O364" i="5"/>
  <c r="O344" i="5"/>
  <c r="O336" i="5"/>
  <c r="O328" i="5"/>
  <c r="O244" i="5"/>
  <c r="O473" i="5"/>
  <c r="O351" i="5"/>
  <c r="O227" i="5"/>
  <c r="O458" i="5"/>
  <c r="O450" i="5"/>
  <c r="O306" i="5"/>
  <c r="O302" i="5"/>
  <c r="O282" i="5"/>
  <c r="O274" i="5"/>
  <c r="O266" i="5"/>
  <c r="O794" i="5"/>
  <c r="O429" i="5"/>
  <c r="O425" i="5"/>
  <c r="O405" i="5"/>
  <c r="O397" i="5"/>
  <c r="O389" i="5"/>
  <c r="O289" i="5"/>
  <c r="O165" i="5"/>
  <c r="O204" i="5"/>
  <c r="O120" i="5"/>
  <c r="O116" i="5"/>
  <c r="O96" i="5"/>
  <c r="O88" i="5"/>
  <c r="O80" i="5"/>
  <c r="O212" i="5"/>
  <c r="O240" i="5"/>
  <c r="O103" i="5"/>
  <c r="O220" i="5"/>
  <c r="G480" i="6"/>
  <c r="G537" i="6"/>
  <c r="G399" i="6"/>
  <c r="G221" i="6"/>
  <c r="G312" i="6"/>
  <c r="G235" i="6"/>
  <c r="G756" i="5"/>
  <c r="G15" i="6"/>
  <c r="G632" i="5"/>
  <c r="G141" i="6"/>
  <c r="G88" i="6"/>
  <c r="G694" i="5"/>
  <c r="G678" i="5"/>
  <c r="G570" i="5"/>
  <c r="G448" i="5"/>
  <c r="G387" i="5"/>
  <c r="G509" i="5"/>
  <c r="G202" i="5"/>
  <c r="G78" i="5"/>
  <c r="G78" i="2"/>
  <c r="G326" i="5"/>
  <c r="G264" i="5"/>
  <c r="G310" i="5"/>
  <c r="G140" i="5"/>
  <c r="G124" i="5"/>
  <c r="G16" i="5"/>
  <c r="G80" i="2"/>
  <c r="G79" i="2"/>
  <c r="G496" i="6"/>
  <c r="G193" i="6"/>
  <c r="G764" i="5"/>
  <c r="G105" i="6"/>
  <c r="G640" i="5"/>
  <c r="G240" i="6"/>
  <c r="G21" i="6"/>
  <c r="G702" i="5"/>
  <c r="G578" i="5"/>
  <c r="G456" i="5"/>
  <c r="G395" i="5"/>
  <c r="G517" i="5"/>
  <c r="G86" i="5"/>
  <c r="G118" i="2"/>
  <c r="G210" i="5"/>
  <c r="G272" i="5"/>
  <c r="G334" i="5"/>
  <c r="G148" i="5"/>
  <c r="G24" i="5"/>
  <c r="G120" i="2"/>
  <c r="G119" i="2"/>
  <c r="G501" i="6"/>
  <c r="G457" i="6"/>
  <c r="G198" i="6"/>
  <c r="G281" i="6"/>
  <c r="G152" i="6"/>
  <c r="G244" i="6"/>
  <c r="G772" i="5"/>
  <c r="G412" i="6"/>
  <c r="G648" i="5"/>
  <c r="G710" i="5"/>
  <c r="G586" i="5"/>
  <c r="G525" i="5"/>
  <c r="G464" i="5"/>
  <c r="G403" i="5"/>
  <c r="G94" i="5"/>
  <c r="G158" i="2"/>
  <c r="G218" i="5"/>
  <c r="G280" i="5"/>
  <c r="G156" i="5"/>
  <c r="G32" i="5"/>
  <c r="G160" i="2"/>
  <c r="G342" i="5"/>
  <c r="G159" i="2"/>
  <c r="G464" i="6"/>
  <c r="G555" i="6"/>
  <c r="G507" i="6"/>
  <c r="G374" i="6"/>
  <c r="G205" i="6"/>
  <c r="G288" i="6"/>
  <c r="G328" i="6"/>
  <c r="G251" i="6"/>
  <c r="G418" i="6"/>
  <c r="G70" i="6"/>
  <c r="G159" i="6"/>
  <c r="G780" i="5"/>
  <c r="G31" i="6"/>
  <c r="G117" i="6"/>
  <c r="G656" i="5"/>
  <c r="G594" i="5"/>
  <c r="G718" i="5"/>
  <c r="G533" i="5"/>
  <c r="G411" i="5"/>
  <c r="G472" i="5"/>
  <c r="G102" i="5"/>
  <c r="G198" i="2"/>
  <c r="G164" i="5"/>
  <c r="G40" i="5"/>
  <c r="G200" i="2"/>
  <c r="G288" i="5"/>
  <c r="G226" i="5"/>
  <c r="G199" i="2"/>
  <c r="G513" i="6"/>
  <c r="G209" i="6"/>
  <c r="G423" i="6"/>
  <c r="G35" i="6"/>
  <c r="G788" i="5"/>
  <c r="G664" i="5"/>
  <c r="G480" i="5"/>
  <c r="G726" i="5"/>
  <c r="G602" i="5"/>
  <c r="G419" i="5"/>
  <c r="G234" i="5"/>
  <c r="G110" i="5"/>
  <c r="G241" i="2"/>
  <c r="G237" i="2"/>
  <c r="G240" i="2"/>
  <c r="G541" i="5"/>
  <c r="G296" i="5"/>
  <c r="G172" i="5"/>
  <c r="G48" i="5"/>
  <c r="G239" i="2"/>
  <c r="G358" i="5"/>
  <c r="G238" i="2"/>
  <c r="G564" i="6"/>
  <c r="G519" i="6"/>
  <c r="G474" i="6"/>
  <c r="G337" i="6"/>
  <c r="G296" i="6"/>
  <c r="G386" i="6"/>
  <c r="G257" i="6"/>
  <c r="G428" i="6"/>
  <c r="G170" i="6"/>
  <c r="G796" i="5"/>
  <c r="G672" i="5"/>
  <c r="G488" i="5"/>
  <c r="G40" i="6"/>
  <c r="G610" i="5"/>
  <c r="G549" i="5"/>
  <c r="G734" i="5"/>
  <c r="G427" i="5"/>
  <c r="G118" i="5"/>
  <c r="G304" i="5"/>
  <c r="G242" i="5"/>
  <c r="G366" i="5"/>
  <c r="G180" i="5"/>
  <c r="G56" i="5"/>
  <c r="G278" i="2"/>
  <c r="G280" i="2"/>
  <c r="J257" i="2"/>
  <c r="J273" i="2"/>
  <c r="J283" i="2"/>
  <c r="O34" i="5"/>
  <c r="O102" i="5"/>
  <c r="O142" i="5"/>
  <c r="O170" i="5"/>
  <c r="O178" i="5"/>
  <c r="O158" i="5"/>
  <c r="N567" i="6"/>
  <c r="O567" i="6" s="1"/>
  <c r="N559" i="6"/>
  <c r="O559" i="6" s="1"/>
  <c r="N543" i="6"/>
  <c r="O543" i="6" s="1"/>
  <c r="N522" i="6"/>
  <c r="O522" i="6" s="1"/>
  <c r="N450" i="6"/>
  <c r="O450" i="6" s="1"/>
  <c r="N501" i="6"/>
  <c r="O501" i="6" s="1"/>
  <c r="N477" i="6"/>
  <c r="O477" i="6" s="1"/>
  <c r="N469" i="6"/>
  <c r="O469" i="6" s="1"/>
  <c r="N461" i="6"/>
  <c r="O461" i="6" s="1"/>
  <c r="N544" i="6"/>
  <c r="O544" i="6" s="1"/>
  <c r="N504" i="6"/>
  <c r="O504" i="6" s="1"/>
  <c r="N448" i="6"/>
  <c r="O448" i="6" s="1"/>
  <c r="N515" i="6"/>
  <c r="O515" i="6" s="1"/>
  <c r="N542" i="6"/>
  <c r="O542" i="6" s="1"/>
  <c r="N534" i="6"/>
  <c r="O534" i="6" s="1"/>
  <c r="N489" i="6"/>
  <c r="O489" i="6" s="1"/>
  <c r="N449" i="6"/>
  <c r="O449" i="6" s="1"/>
  <c r="N361" i="6"/>
  <c r="O361" i="6" s="1"/>
  <c r="N353" i="6"/>
  <c r="O353" i="6" s="1"/>
  <c r="N406" i="6"/>
  <c r="O406" i="6" s="1"/>
  <c r="N404" i="6"/>
  <c r="O404" i="6" s="1"/>
  <c r="N325" i="6"/>
  <c r="O325" i="6" s="1"/>
  <c r="N317" i="6"/>
  <c r="O317" i="6" s="1"/>
  <c r="N309" i="6"/>
  <c r="O309" i="6" s="1"/>
  <c r="N285" i="6"/>
  <c r="O285" i="6" s="1"/>
  <c r="N232" i="6"/>
  <c r="O232" i="6" s="1"/>
  <c r="N192" i="6"/>
  <c r="O192" i="6" s="1"/>
  <c r="N152" i="6"/>
  <c r="O152" i="6" s="1"/>
  <c r="N431" i="6"/>
  <c r="O431" i="6" s="1"/>
  <c r="N424" i="6"/>
  <c r="O424" i="6" s="1"/>
  <c r="N371" i="6"/>
  <c r="O371" i="6" s="1"/>
  <c r="N315" i="6"/>
  <c r="O315" i="6" s="1"/>
  <c r="N299" i="6"/>
  <c r="O299" i="6" s="1"/>
  <c r="N275" i="6"/>
  <c r="O275" i="6" s="1"/>
  <c r="N444" i="6"/>
  <c r="O444" i="6" s="1"/>
  <c r="N294" i="6"/>
  <c r="O294" i="6" s="1"/>
  <c r="N405" i="6"/>
  <c r="O405" i="6" s="1"/>
  <c r="N362" i="6"/>
  <c r="O362" i="6" s="1"/>
  <c r="N273" i="6"/>
  <c r="O273" i="6" s="1"/>
  <c r="N389" i="6"/>
  <c r="O389" i="6" s="1"/>
  <c r="N360" i="6"/>
  <c r="O360" i="6" s="1"/>
  <c r="N316" i="6"/>
  <c r="O316" i="6" s="1"/>
  <c r="N244" i="6"/>
  <c r="O244" i="6" s="1"/>
  <c r="N236" i="6"/>
  <c r="O236" i="6" s="1"/>
  <c r="N156" i="6"/>
  <c r="O156" i="6" s="1"/>
  <c r="N382" i="6"/>
  <c r="O382" i="6" s="1"/>
  <c r="N334" i="6"/>
  <c r="O334" i="6" s="1"/>
  <c r="N274" i="6"/>
  <c r="O274" i="6" s="1"/>
  <c r="N218" i="6"/>
  <c r="O218" i="6" s="1"/>
  <c r="N191" i="6"/>
  <c r="O191" i="6" s="1"/>
  <c r="N102" i="6"/>
  <c r="O102" i="6" s="1"/>
  <c r="N78" i="6"/>
  <c r="O78" i="6" s="1"/>
  <c r="O777" i="5"/>
  <c r="O761" i="5"/>
  <c r="O753" i="5"/>
  <c r="O737" i="5"/>
  <c r="N239" i="6"/>
  <c r="O239" i="6" s="1"/>
  <c r="N145" i="6"/>
  <c r="O145" i="6" s="1"/>
  <c r="N129" i="6"/>
  <c r="O129" i="6" s="1"/>
  <c r="N57" i="6"/>
  <c r="O57" i="6" s="1"/>
  <c r="N211" i="6"/>
  <c r="O211" i="6" s="1"/>
  <c r="N166" i="6"/>
  <c r="O166" i="6" s="1"/>
  <c r="N103" i="6"/>
  <c r="O103" i="6" s="1"/>
  <c r="N146" i="6"/>
  <c r="O146" i="6" s="1"/>
  <c r="N138" i="6"/>
  <c r="O138" i="6" s="1"/>
  <c r="N114" i="6"/>
  <c r="O114" i="6" s="1"/>
  <c r="N18" i="6"/>
  <c r="O18" i="6" s="1"/>
  <c r="O799" i="5"/>
  <c r="O763" i="5"/>
  <c r="O715" i="5"/>
  <c r="N235" i="6"/>
  <c r="O235" i="6" s="1"/>
  <c r="N198" i="6"/>
  <c r="O198" i="6" s="1"/>
  <c r="N85" i="6"/>
  <c r="O85" i="6" s="1"/>
  <c r="N144" i="6"/>
  <c r="O144" i="6" s="1"/>
  <c r="N187" i="6"/>
  <c r="O187" i="6" s="1"/>
  <c r="N43" i="6"/>
  <c r="O43" i="6" s="1"/>
  <c r="O699" i="5"/>
  <c r="O691" i="5"/>
  <c r="O675" i="5"/>
  <c r="O639" i="5"/>
  <c r="O591" i="5"/>
  <c r="O575" i="5"/>
  <c r="O567" i="5"/>
  <c r="O543" i="5"/>
  <c r="O515" i="5"/>
  <c r="N36" i="6"/>
  <c r="O36" i="6" s="1"/>
  <c r="N104" i="6"/>
  <c r="O104" i="6" s="1"/>
  <c r="N19" i="6"/>
  <c r="O19" i="6" s="1"/>
  <c r="N12" i="6"/>
  <c r="O12" i="6" s="1"/>
  <c r="O710" i="5"/>
  <c r="O666" i="5"/>
  <c r="O638" i="5"/>
  <c r="O530" i="5"/>
  <c r="O514" i="5"/>
  <c r="O506" i="5"/>
  <c r="O482" i="5"/>
  <c r="N123" i="6"/>
  <c r="O123" i="6" s="1"/>
  <c r="N99" i="6"/>
  <c r="O99" i="6" s="1"/>
  <c r="O790" i="5"/>
  <c r="O714" i="5"/>
  <c r="N20" i="6"/>
  <c r="O20" i="6" s="1"/>
  <c r="O700" i="5"/>
  <c r="O652" i="5"/>
  <c r="O604" i="5"/>
  <c r="O576" i="5"/>
  <c r="O552" i="5"/>
  <c r="O516" i="5"/>
  <c r="O464" i="5"/>
  <c r="O613" i="5"/>
  <c r="O577" i="5"/>
  <c r="O408" i="5"/>
  <c r="O392" i="5"/>
  <c r="O384" i="5"/>
  <c r="O360" i="5"/>
  <c r="O332" i="5"/>
  <c r="O280" i="5"/>
  <c r="O728" i="5"/>
  <c r="O525" i="5"/>
  <c r="O469" i="5"/>
  <c r="O653" i="5"/>
  <c r="O455" i="5"/>
  <c r="O347" i="5"/>
  <c r="O331" i="5"/>
  <c r="O327" i="5"/>
  <c r="O323" i="5"/>
  <c r="O307" i="5"/>
  <c r="O271" i="5"/>
  <c r="O223" i="5"/>
  <c r="O207" i="5"/>
  <c r="N67" i="6"/>
  <c r="O67" i="6" s="1"/>
  <c r="N52" i="6"/>
  <c r="O52" i="6" s="1"/>
  <c r="O762" i="5"/>
  <c r="O637" i="5"/>
  <c r="O629" i="5"/>
  <c r="O454" i="5"/>
  <c r="O430" i="5"/>
  <c r="O394" i="5"/>
  <c r="O342" i="5"/>
  <c r="O326" i="5"/>
  <c r="O298" i="5"/>
  <c r="O270" i="5"/>
  <c r="O701" i="5"/>
  <c r="O453" i="5"/>
  <c r="O445" i="5"/>
  <c r="O421" i="5"/>
  <c r="O393" i="5"/>
  <c r="O333" i="5"/>
  <c r="O285" i="5"/>
  <c r="O269" i="5"/>
  <c r="O218" i="5"/>
  <c r="O161" i="5"/>
  <c r="O145" i="5"/>
  <c r="O137" i="5"/>
  <c r="O121" i="5"/>
  <c r="O85" i="5"/>
  <c r="O21" i="5"/>
  <c r="O13" i="5"/>
  <c r="O209" i="5"/>
  <c r="O156" i="5"/>
  <c r="O112" i="5"/>
  <c r="O84" i="5"/>
  <c r="O236" i="5"/>
  <c r="O208" i="5"/>
  <c r="O199" i="5"/>
  <c r="O183" i="5"/>
  <c r="O147" i="5"/>
  <c r="O99" i="5"/>
  <c r="O83" i="5"/>
  <c r="O75" i="5"/>
  <c r="O59" i="5"/>
  <c r="O23" i="5"/>
  <c r="O261" i="5"/>
  <c r="N455" i="6"/>
  <c r="O455" i="6" s="1"/>
  <c r="N538" i="6"/>
  <c r="O538" i="6" s="1"/>
  <c r="N568" i="6"/>
  <c r="O568" i="6" s="1"/>
  <c r="N480" i="6"/>
  <c r="O480" i="6" s="1"/>
  <c r="N464" i="6"/>
  <c r="O464" i="6" s="1"/>
  <c r="N456" i="6"/>
  <c r="O456" i="6" s="1"/>
  <c r="N555" i="6"/>
  <c r="O555" i="6" s="1"/>
  <c r="N523" i="6"/>
  <c r="O523" i="6" s="1"/>
  <c r="N507" i="6"/>
  <c r="O507" i="6" s="1"/>
  <c r="N411" i="6"/>
  <c r="O411" i="6" s="1"/>
  <c r="N478" i="6"/>
  <c r="O478" i="6" s="1"/>
  <c r="N537" i="6"/>
  <c r="O537" i="6" s="1"/>
  <c r="N548" i="6"/>
  <c r="O548" i="6" s="1"/>
  <c r="N500" i="6"/>
  <c r="O500" i="6" s="1"/>
  <c r="N261" i="6"/>
  <c r="O261" i="6" s="1"/>
  <c r="N221" i="6"/>
  <c r="O221" i="6" s="1"/>
  <c r="N205" i="6"/>
  <c r="O205" i="6" s="1"/>
  <c r="N390" i="6"/>
  <c r="O390" i="6" s="1"/>
  <c r="N288" i="6"/>
  <c r="O288" i="6" s="1"/>
  <c r="N280" i="6"/>
  <c r="O280" i="6" s="1"/>
  <c r="N176" i="6"/>
  <c r="O176" i="6" s="1"/>
  <c r="N366" i="6"/>
  <c r="O366" i="6" s="1"/>
  <c r="N328" i="6"/>
  <c r="O328" i="6" s="1"/>
  <c r="N251" i="6"/>
  <c r="O251" i="6" s="1"/>
  <c r="N418" i="6"/>
  <c r="O418" i="6" s="1"/>
  <c r="N321" i="6"/>
  <c r="O321" i="6" s="1"/>
  <c r="N374" i="6"/>
  <c r="O374" i="6" s="1"/>
  <c r="N300" i="6"/>
  <c r="O300" i="6" s="1"/>
  <c r="N432" i="6"/>
  <c r="O432" i="6" s="1"/>
  <c r="N174" i="6"/>
  <c r="O174" i="6" s="1"/>
  <c r="N86" i="6"/>
  <c r="O86" i="6" s="1"/>
  <c r="N70" i="6"/>
  <c r="O70" i="6" s="1"/>
  <c r="O757" i="5"/>
  <c r="N410" i="6"/>
  <c r="O410" i="6" s="1"/>
  <c r="N197" i="6"/>
  <c r="O197" i="6" s="1"/>
  <c r="N159" i="6"/>
  <c r="O159" i="6" s="1"/>
  <c r="N151" i="6"/>
  <c r="O151" i="6" s="1"/>
  <c r="N63" i="6"/>
  <c r="O63" i="6" s="1"/>
  <c r="N31" i="6"/>
  <c r="O31" i="6" s="1"/>
  <c r="N243" i="6"/>
  <c r="O243" i="6" s="1"/>
  <c r="N130" i="6"/>
  <c r="O130" i="6" s="1"/>
  <c r="O771" i="5"/>
  <c r="N341" i="6"/>
  <c r="O341" i="6" s="1"/>
  <c r="N279" i="6"/>
  <c r="O279" i="6" s="1"/>
  <c r="N117" i="6"/>
  <c r="O117" i="6" s="1"/>
  <c r="N109" i="6"/>
  <c r="O109" i="6" s="1"/>
  <c r="N24" i="6"/>
  <c r="O24" i="6" s="1"/>
  <c r="O647" i="5"/>
  <c r="O523" i="5"/>
  <c r="N219" i="6"/>
  <c r="O219" i="6" s="1"/>
  <c r="N88" i="6"/>
  <c r="O88" i="6" s="1"/>
  <c r="O780" i="5"/>
  <c r="O678" i="5"/>
  <c r="O646" i="5"/>
  <c r="O614" i="5"/>
  <c r="O594" i="5"/>
  <c r="O462" i="5"/>
  <c r="O770" i="5"/>
  <c r="O800" i="5"/>
  <c r="O738" i="5"/>
  <c r="O708" i="5"/>
  <c r="O676" i="5"/>
  <c r="O656" i="5"/>
  <c r="O584" i="5"/>
  <c r="O524" i="5"/>
  <c r="O492" i="5"/>
  <c r="O472" i="5"/>
  <c r="O709" i="5"/>
  <c r="N44" i="6"/>
  <c r="O44" i="6" s="1"/>
  <c r="O756" i="5"/>
  <c r="O585" i="5"/>
  <c r="O533" i="5"/>
  <c r="O340" i="5"/>
  <c r="O308" i="5"/>
  <c r="O288" i="5"/>
  <c r="O248" i="5"/>
  <c r="N64" i="6"/>
  <c r="O64" i="6" s="1"/>
  <c r="O431" i="5"/>
  <c r="O411" i="5"/>
  <c r="O279" i="5"/>
  <c r="O718" i="5"/>
  <c r="O553" i="5"/>
  <c r="O463" i="5"/>
  <c r="O402" i="5"/>
  <c r="O370" i="5"/>
  <c r="O350" i="5"/>
  <c r="O310" i="5"/>
  <c r="O278" i="5"/>
  <c r="O246" i="5"/>
  <c r="O401" i="5"/>
  <c r="O341" i="5"/>
  <c r="O93" i="5"/>
  <c r="O217" i="5"/>
  <c r="O184" i="5"/>
  <c r="O164" i="5"/>
  <c r="O124" i="5"/>
  <c r="O92" i="5"/>
  <c r="O60" i="5"/>
  <c r="O40" i="5"/>
  <c r="O226" i="5"/>
  <c r="O216" i="5"/>
  <c r="O155" i="5"/>
  <c r="O31" i="5"/>
  <c r="G447" i="6"/>
  <c r="G493" i="6"/>
  <c r="G539" i="6"/>
  <c r="G314" i="6"/>
  <c r="G237" i="6"/>
  <c r="G272" i="6"/>
  <c r="G357" i="6"/>
  <c r="G401" i="6"/>
  <c r="G54" i="6"/>
  <c r="G143" i="6"/>
  <c r="G17" i="6"/>
  <c r="G696" i="5"/>
  <c r="G572" i="5"/>
  <c r="G758" i="5"/>
  <c r="G634" i="5"/>
  <c r="G389" i="5"/>
  <c r="G101" i="6"/>
  <c r="G511" i="5"/>
  <c r="G142" i="5"/>
  <c r="G18" i="5"/>
  <c r="G90" i="2"/>
  <c r="G328" i="5"/>
  <c r="G204" i="5"/>
  <c r="G80" i="5"/>
  <c r="G88" i="2"/>
  <c r="G450" i="5"/>
  <c r="G91" i="2"/>
  <c r="G87" i="2"/>
  <c r="G452" i="6"/>
  <c r="G546" i="6"/>
  <c r="G497" i="6"/>
  <c r="G364" i="6"/>
  <c r="G407" i="6"/>
  <c r="G241" i="6"/>
  <c r="G319" i="6"/>
  <c r="G195" i="6"/>
  <c r="G107" i="6"/>
  <c r="G59" i="6"/>
  <c r="G22" i="6"/>
  <c r="G148" i="6"/>
  <c r="G704" i="5"/>
  <c r="G580" i="5"/>
  <c r="G766" i="5"/>
  <c r="G642" i="5"/>
  <c r="G397" i="5"/>
  <c r="G519" i="5"/>
  <c r="G276" i="6"/>
  <c r="G458" i="5"/>
  <c r="G150" i="5"/>
  <c r="G26" i="5"/>
  <c r="G130" i="2"/>
  <c r="G336" i="5"/>
  <c r="G88" i="5"/>
  <c r="G128" i="2"/>
  <c r="G212" i="5"/>
  <c r="G131" i="2"/>
  <c r="G127" i="2"/>
  <c r="G459" i="6"/>
  <c r="G550" i="6"/>
  <c r="G502" i="6"/>
  <c r="G282" i="6"/>
  <c r="G368" i="6"/>
  <c r="G413" i="6"/>
  <c r="G323" i="6"/>
  <c r="G246" i="6"/>
  <c r="G153" i="6"/>
  <c r="G111" i="6"/>
  <c r="G200" i="6"/>
  <c r="G26" i="6"/>
  <c r="G588" i="5"/>
  <c r="G774" i="5"/>
  <c r="G712" i="5"/>
  <c r="G65" i="6"/>
  <c r="G650" i="5"/>
  <c r="G527" i="5"/>
  <c r="G466" i="5"/>
  <c r="G405" i="5"/>
  <c r="G158" i="5"/>
  <c r="G34" i="5"/>
  <c r="G170" i="2"/>
  <c r="G282" i="5"/>
  <c r="G344" i="5"/>
  <c r="G96" i="5"/>
  <c r="G168" i="2"/>
  <c r="G171" i="2"/>
  <c r="G167" i="2"/>
  <c r="G509" i="6"/>
  <c r="G419" i="6"/>
  <c r="G330" i="6"/>
  <c r="G376" i="6"/>
  <c r="G206" i="6"/>
  <c r="G289" i="6"/>
  <c r="G720" i="5"/>
  <c r="G596" i="5"/>
  <c r="G782" i="5"/>
  <c r="G658" i="5"/>
  <c r="G413" i="5"/>
  <c r="G474" i="5"/>
  <c r="G535" i="5"/>
  <c r="G166" i="5"/>
  <c r="G42" i="5"/>
  <c r="G210" i="2"/>
  <c r="G228" i="5"/>
  <c r="G290" i="5"/>
  <c r="G104" i="5"/>
  <c r="G208" i="2"/>
  <c r="G352" i="5"/>
  <c r="G211" i="2"/>
  <c r="G207" i="2"/>
  <c r="G559" i="6"/>
  <c r="G469" i="6"/>
  <c r="G424" i="6"/>
  <c r="G515" i="6"/>
  <c r="G382" i="6"/>
  <c r="G334" i="6"/>
  <c r="G211" i="6"/>
  <c r="G294" i="6"/>
  <c r="G123" i="6"/>
  <c r="G78" i="6"/>
  <c r="G36" i="6"/>
  <c r="G728" i="5"/>
  <c r="G166" i="6"/>
  <c r="G604" i="5"/>
  <c r="G666" i="5"/>
  <c r="G421" i="5"/>
  <c r="G543" i="5"/>
  <c r="G790" i="5"/>
  <c r="G482" i="5"/>
  <c r="G174" i="5"/>
  <c r="G50" i="5"/>
  <c r="G249" i="2"/>
  <c r="G298" i="5"/>
  <c r="G248" i="2"/>
  <c r="G360" i="5"/>
  <c r="G112" i="5"/>
  <c r="G251" i="2"/>
  <c r="G247" i="2"/>
  <c r="G236" i="5"/>
  <c r="G250" i="2"/>
  <c r="G476" i="6"/>
  <c r="G566" i="6"/>
  <c r="G430" i="6"/>
  <c r="G521" i="6"/>
  <c r="G339" i="6"/>
  <c r="G298" i="6"/>
  <c r="G388" i="6"/>
  <c r="G259" i="6"/>
  <c r="G217" i="6"/>
  <c r="G172" i="6"/>
  <c r="G84" i="6"/>
  <c r="G736" i="5"/>
  <c r="G42" i="6"/>
  <c r="G612" i="5"/>
  <c r="G798" i="5"/>
  <c r="G128" i="6"/>
  <c r="G674" i="5"/>
  <c r="G429" i="5"/>
  <c r="G490" i="5"/>
  <c r="G306" i="5"/>
  <c r="G244" i="5"/>
  <c r="G182" i="5"/>
  <c r="G58" i="5"/>
  <c r="G290" i="2"/>
  <c r="G551" i="5"/>
  <c r="G368" i="5"/>
  <c r="G120" i="5"/>
  <c r="G288" i="2"/>
  <c r="G81" i="2"/>
  <c r="G145" i="2"/>
  <c r="J253" i="2"/>
  <c r="G259" i="2"/>
  <c r="J269" i="2"/>
  <c r="J279" i="2"/>
  <c r="J289" i="2"/>
  <c r="J299" i="2"/>
  <c r="O198" i="5"/>
  <c r="G476" i="5"/>
  <c r="O26" i="5"/>
  <c r="O90" i="5"/>
  <c r="O146" i="5"/>
  <c r="O182" i="5"/>
  <c r="G215" i="5"/>
  <c r="N551" i="6"/>
  <c r="O551" i="6" s="1"/>
  <c r="N519" i="6"/>
  <c r="O519" i="6" s="1"/>
  <c r="N503" i="6"/>
  <c r="O503" i="6" s="1"/>
  <c r="N530" i="6"/>
  <c r="O530" i="6" s="1"/>
  <c r="N474" i="6"/>
  <c r="O474" i="6" s="1"/>
  <c r="N533" i="6"/>
  <c r="O533" i="6" s="1"/>
  <c r="N485" i="6"/>
  <c r="O485" i="6" s="1"/>
  <c r="N488" i="6"/>
  <c r="O488" i="6" s="1"/>
  <c r="N483" i="6"/>
  <c r="O483" i="6" s="1"/>
  <c r="N443" i="6"/>
  <c r="O443" i="6" s="1"/>
  <c r="N438" i="6"/>
  <c r="O438" i="6" s="1"/>
  <c r="N369" i="6"/>
  <c r="O369" i="6" s="1"/>
  <c r="N345" i="6"/>
  <c r="O345" i="6" s="1"/>
  <c r="N337" i="6"/>
  <c r="O337" i="6" s="1"/>
  <c r="N564" i="6"/>
  <c r="O564" i="6" s="1"/>
  <c r="N460" i="6"/>
  <c r="O460" i="6" s="1"/>
  <c r="N347" i="6"/>
  <c r="O347" i="6" s="1"/>
  <c r="N304" i="6"/>
  <c r="O304" i="6" s="1"/>
  <c r="N296" i="6"/>
  <c r="O296" i="6" s="1"/>
  <c r="N352" i="6"/>
  <c r="O352" i="6" s="1"/>
  <c r="N283" i="6"/>
  <c r="O283" i="6" s="1"/>
  <c r="N267" i="6"/>
  <c r="O267" i="6" s="1"/>
  <c r="N386" i="6"/>
  <c r="O386" i="6" s="1"/>
  <c r="N257" i="6"/>
  <c r="O257" i="6" s="1"/>
  <c r="N201" i="6"/>
  <c r="O201" i="6" s="1"/>
  <c r="N414" i="6"/>
  <c r="O414" i="6" s="1"/>
  <c r="N394" i="6"/>
  <c r="O394" i="6" s="1"/>
  <c r="N324" i="6"/>
  <c r="O324" i="6" s="1"/>
  <c r="N308" i="6"/>
  <c r="O308" i="6" s="1"/>
  <c r="N397" i="6"/>
  <c r="O397" i="6" s="1"/>
  <c r="N226" i="6"/>
  <c r="O226" i="6" s="1"/>
  <c r="N247" i="6"/>
  <c r="O247" i="6" s="1"/>
  <c r="N231" i="6"/>
  <c r="O231" i="6" s="1"/>
  <c r="N181" i="6"/>
  <c r="O181" i="6" s="1"/>
  <c r="N170" i="6"/>
  <c r="O170" i="6" s="1"/>
  <c r="N137" i="6"/>
  <c r="O137" i="6" s="1"/>
  <c r="N437" i="6"/>
  <c r="O437" i="6" s="1"/>
  <c r="N271" i="6"/>
  <c r="O271" i="6" s="1"/>
  <c r="N428" i="6"/>
  <c r="O428" i="6" s="1"/>
  <c r="N186" i="6"/>
  <c r="O186" i="6" s="1"/>
  <c r="N98" i="6"/>
  <c r="O98" i="6" s="1"/>
  <c r="N66" i="6"/>
  <c r="O66" i="6" s="1"/>
  <c r="O775" i="5"/>
  <c r="O743" i="5"/>
  <c r="N93" i="6"/>
  <c r="O93" i="6" s="1"/>
  <c r="N5" i="6"/>
  <c r="O5" i="6" s="1"/>
  <c r="N112" i="6"/>
  <c r="O112" i="6" s="1"/>
  <c r="N91" i="6"/>
  <c r="O91" i="6" s="1"/>
  <c r="N27" i="6"/>
  <c r="O27" i="6" s="1"/>
  <c r="O651" i="5"/>
  <c r="O619" i="5"/>
  <c r="O499" i="5"/>
  <c r="N51" i="6"/>
  <c r="O51" i="6" s="1"/>
  <c r="N40" i="6"/>
  <c r="O40" i="6" s="1"/>
  <c r="O746" i="5"/>
  <c r="O752" i="5"/>
  <c r="O690" i="5"/>
  <c r="O622" i="5"/>
  <c r="O610" i="5"/>
  <c r="O566" i="5"/>
  <c r="O796" i="5"/>
  <c r="O734" i="5"/>
  <c r="N11" i="6"/>
  <c r="O11" i="6" s="1"/>
  <c r="O684" i="5"/>
  <c r="O672" i="5"/>
  <c r="O628" i="5"/>
  <c r="O560" i="5"/>
  <c r="O528" i="5"/>
  <c r="O496" i="5"/>
  <c r="O488" i="5"/>
  <c r="O681" i="5"/>
  <c r="O549" i="5"/>
  <c r="O444" i="5"/>
  <c r="O316" i="5"/>
  <c r="O304" i="5"/>
  <c r="O260" i="5"/>
  <c r="N154" i="6"/>
  <c r="O154" i="6" s="1"/>
  <c r="O505" i="5"/>
  <c r="O435" i="5"/>
  <c r="O427" i="5"/>
  <c r="O383" i="5"/>
  <c r="O283" i="5"/>
  <c r="O251" i="5"/>
  <c r="N3" i="6"/>
  <c r="O3" i="6" s="1"/>
  <c r="O557" i="5"/>
  <c r="O438" i="5"/>
  <c r="O406" i="5"/>
  <c r="O374" i="5"/>
  <c r="O366" i="5"/>
  <c r="O322" i="5"/>
  <c r="O254" i="5"/>
  <c r="O242" i="5"/>
  <c r="O713" i="5"/>
  <c r="O377" i="5"/>
  <c r="O345" i="5"/>
  <c r="O313" i="5"/>
  <c r="O189" i="5"/>
  <c r="O97" i="5"/>
  <c r="O65" i="5"/>
  <c r="O192" i="5"/>
  <c r="O180" i="5"/>
  <c r="O136" i="5"/>
  <c r="O68" i="5"/>
  <c r="O56" i="5"/>
  <c r="O12" i="5"/>
  <c r="O589" i="5"/>
  <c r="O221" i="5"/>
  <c r="O467" i="5"/>
  <c r="O159" i="5"/>
  <c r="O127" i="5"/>
  <c r="O35" i="5"/>
  <c r="O3" i="5"/>
  <c r="G495" i="6"/>
  <c r="G541" i="6"/>
  <c r="G359" i="6"/>
  <c r="G190" i="6"/>
  <c r="G760" i="5"/>
  <c r="G403" i="6"/>
  <c r="G636" i="5"/>
  <c r="G56" i="6"/>
  <c r="G698" i="5"/>
  <c r="G574" i="5"/>
  <c r="G513" i="5"/>
  <c r="G452" i="5"/>
  <c r="G391" i="5"/>
  <c r="G206" i="5"/>
  <c r="G82" i="5"/>
  <c r="G98" i="2"/>
  <c r="G144" i="5"/>
  <c r="G20" i="5"/>
  <c r="G100" i="2"/>
  <c r="G268" i="5"/>
  <c r="G99" i="2"/>
  <c r="G499" i="6"/>
  <c r="G150" i="6"/>
  <c r="G768" i="5"/>
  <c r="G61" i="6"/>
  <c r="G644" i="5"/>
  <c r="G706" i="5"/>
  <c r="G582" i="5"/>
  <c r="G521" i="5"/>
  <c r="G460" i="5"/>
  <c r="G399" i="5"/>
  <c r="G338" i="5"/>
  <c r="G90" i="5"/>
  <c r="G138" i="2"/>
  <c r="G214" i="5"/>
  <c r="G152" i="5"/>
  <c r="G28" i="5"/>
  <c r="G140" i="2"/>
  <c r="G276" i="5"/>
  <c r="G139" i="2"/>
  <c r="G461" i="6"/>
  <c r="G552" i="6"/>
  <c r="G504" i="6"/>
  <c r="G370" i="6"/>
  <c r="G415" i="6"/>
  <c r="G155" i="6"/>
  <c r="G28" i="6"/>
  <c r="G776" i="5"/>
  <c r="G284" i="6"/>
  <c r="G652" i="5"/>
  <c r="G202" i="6"/>
  <c r="G590" i="5"/>
  <c r="G248" i="6"/>
  <c r="G407" i="5"/>
  <c r="G468" i="5"/>
  <c r="G529" i="5"/>
  <c r="G98" i="5"/>
  <c r="G714" i="5"/>
  <c r="G284" i="5"/>
  <c r="G113" i="6"/>
  <c r="G346" i="5"/>
  <c r="G222" i="5"/>
  <c r="G160" i="5"/>
  <c r="G36" i="5"/>
  <c r="G556" i="6"/>
  <c r="G510" i="6"/>
  <c r="G465" i="6"/>
  <c r="G290" i="6"/>
  <c r="G253" i="6"/>
  <c r="G331" i="6"/>
  <c r="G421" i="6"/>
  <c r="G377" i="6"/>
  <c r="G208" i="6"/>
  <c r="G784" i="5"/>
  <c r="G32" i="6"/>
  <c r="G660" i="5"/>
  <c r="G73" i="6"/>
  <c r="G722" i="5"/>
  <c r="G162" i="6"/>
  <c r="G598" i="5"/>
  <c r="G120" i="6"/>
  <c r="G537" i="5"/>
  <c r="G415" i="5"/>
  <c r="G106" i="5"/>
  <c r="G218" i="2"/>
  <c r="G292" i="5"/>
  <c r="G354" i="5"/>
  <c r="G168" i="5"/>
  <c r="G44" i="5"/>
  <c r="G220" i="2"/>
  <c r="G219" i="2"/>
  <c r="G561" i="6"/>
  <c r="G213" i="6"/>
  <c r="G168" i="6"/>
  <c r="G792" i="5"/>
  <c r="G80" i="6"/>
  <c r="G668" i="5"/>
  <c r="G484" i="5"/>
  <c r="G730" i="5"/>
  <c r="G606" i="5"/>
  <c r="G37" i="6"/>
  <c r="G545" i="5"/>
  <c r="G423" i="5"/>
  <c r="G114" i="5"/>
  <c r="G258" i="2"/>
  <c r="G362" i="5"/>
  <c r="G238" i="5"/>
  <c r="G260" i="2"/>
  <c r="G176" i="5"/>
  <c r="G52" i="5"/>
  <c r="G568" i="6"/>
  <c r="G432" i="6"/>
  <c r="G523" i="6"/>
  <c r="G478" i="6"/>
  <c r="G390" i="6"/>
  <c r="G261" i="6"/>
  <c r="G219" i="6"/>
  <c r="G341" i="6"/>
  <c r="G174" i="6"/>
  <c r="G86" i="6"/>
  <c r="G44" i="6"/>
  <c r="G800" i="5"/>
  <c r="G300" i="6"/>
  <c r="G130" i="6"/>
  <c r="G738" i="5"/>
  <c r="G676" i="5"/>
  <c r="G492" i="5"/>
  <c r="G614" i="5"/>
  <c r="G431" i="5"/>
  <c r="G553" i="5"/>
  <c r="G370" i="5"/>
  <c r="G122" i="5"/>
  <c r="G298" i="2"/>
  <c r="G300" i="2"/>
  <c r="G184" i="5"/>
  <c r="G60" i="5"/>
  <c r="G246" i="5"/>
  <c r="G26" i="2"/>
  <c r="G121" i="2"/>
  <c r="G221" i="2"/>
  <c r="J265" i="2"/>
  <c r="G281" i="2"/>
  <c r="J285" i="2"/>
  <c r="G291" i="2"/>
  <c r="J295" i="2"/>
  <c r="G301" i="2"/>
  <c r="O6" i="5"/>
  <c r="O58" i="5"/>
  <c r="O174" i="5"/>
  <c r="G484" i="6"/>
  <c r="G529" i="6"/>
  <c r="G266" i="6"/>
  <c r="G225" i="6"/>
  <c r="G346" i="6"/>
  <c r="G92" i="6"/>
  <c r="G4" i="6"/>
  <c r="G683" i="5"/>
  <c r="G180" i="6"/>
  <c r="G437" i="5"/>
  <c r="G745" i="5"/>
  <c r="G559" i="5"/>
  <c r="G315" i="5"/>
  <c r="G23" i="2"/>
  <c r="G498" i="5"/>
  <c r="G129" i="5"/>
  <c r="G5" i="5"/>
  <c r="G253" i="5"/>
  <c r="G621" i="5"/>
  <c r="G25" i="2"/>
  <c r="G191" i="5"/>
  <c r="G67" i="5"/>
  <c r="G24" i="2"/>
  <c r="G444" i="6"/>
  <c r="G534" i="6"/>
  <c r="G489" i="6"/>
  <c r="G309" i="6"/>
  <c r="G187" i="6"/>
  <c r="G99" i="6"/>
  <c r="G52" i="6"/>
  <c r="G12" i="6"/>
  <c r="G353" i="6"/>
  <c r="G138" i="6"/>
  <c r="G753" i="5"/>
  <c r="G691" i="5"/>
  <c r="G232" i="6"/>
  <c r="G445" i="5"/>
  <c r="G567" i="5"/>
  <c r="G506" i="5"/>
  <c r="G323" i="5"/>
  <c r="G63" i="2"/>
  <c r="G137" i="5"/>
  <c r="G13" i="5"/>
  <c r="G65" i="2"/>
  <c r="G629" i="5"/>
  <c r="G384" i="5"/>
  <c r="G199" i="5"/>
  <c r="G75" i="5"/>
  <c r="G64" i="2"/>
  <c r="G448" i="6"/>
  <c r="G542" i="6"/>
  <c r="G404" i="6"/>
  <c r="G315" i="6"/>
  <c r="G273" i="6"/>
  <c r="G239" i="6"/>
  <c r="G360" i="6"/>
  <c r="G191" i="6"/>
  <c r="G102" i="6"/>
  <c r="G18" i="6"/>
  <c r="G761" i="5"/>
  <c r="G144" i="6"/>
  <c r="G699" i="5"/>
  <c r="G575" i="5"/>
  <c r="G453" i="5"/>
  <c r="G269" i="5"/>
  <c r="G331" i="5"/>
  <c r="G514" i="5"/>
  <c r="G637" i="5"/>
  <c r="G106" i="2"/>
  <c r="G102" i="2"/>
  <c r="G145" i="5"/>
  <c r="G21" i="5"/>
  <c r="G104" i="2"/>
  <c r="G392" i="5"/>
  <c r="G207" i="5"/>
  <c r="G83" i="5"/>
  <c r="G103" i="2"/>
  <c r="G471" i="6"/>
  <c r="G562" i="6"/>
  <c r="G517" i="6"/>
  <c r="G214" i="6"/>
  <c r="G38" i="6"/>
  <c r="G384" i="6"/>
  <c r="G731" i="5"/>
  <c r="G793" i="5"/>
  <c r="G607" i="5"/>
  <c r="G485" i="5"/>
  <c r="G301" i="5"/>
  <c r="G424" i="5"/>
  <c r="G669" i="5"/>
  <c r="G363" i="5"/>
  <c r="G239" i="5"/>
  <c r="G266" i="2"/>
  <c r="G177" i="5"/>
  <c r="G53" i="5"/>
  <c r="G262" i="2"/>
  <c r="G546" i="5"/>
  <c r="G115" i="5"/>
  <c r="G264" i="2"/>
  <c r="O18" i="5"/>
  <c r="O50" i="5"/>
  <c r="O94" i="5"/>
  <c r="G220" i="5"/>
  <c r="G261" i="5"/>
  <c r="G325" i="6"/>
  <c r="G285" i="6"/>
  <c r="G371" i="6"/>
  <c r="G176" i="6"/>
  <c r="G67" i="6"/>
  <c r="G114" i="6"/>
  <c r="G591" i="5"/>
  <c r="G715" i="5"/>
  <c r="G156" i="6"/>
  <c r="G285" i="5"/>
  <c r="G408" i="5"/>
  <c r="G469" i="5"/>
  <c r="G653" i="5"/>
  <c r="G347" i="5"/>
  <c r="G223" i="5"/>
  <c r="G530" i="5"/>
  <c r="G186" i="2"/>
  <c r="G182" i="2"/>
  <c r="G248" i="5"/>
  <c r="G161" i="5"/>
  <c r="G37" i="5"/>
  <c r="G777" i="5"/>
  <c r="G184" i="2"/>
  <c r="G99" i="5"/>
  <c r="G183" i="2"/>
  <c r="N535" i="6"/>
  <c r="O535" i="6" s="1"/>
  <c r="N463" i="6"/>
  <c r="O463" i="6" s="1"/>
  <c r="N554" i="6"/>
  <c r="O554" i="6" s="1"/>
  <c r="N506" i="6"/>
  <c r="O506" i="6" s="1"/>
  <c r="N498" i="6"/>
  <c r="O498" i="6" s="1"/>
  <c r="N490" i="6"/>
  <c r="O490" i="6" s="1"/>
  <c r="N458" i="6"/>
  <c r="O458" i="6" s="1"/>
  <c r="N549" i="6"/>
  <c r="O549" i="6" s="1"/>
  <c r="N453" i="6"/>
  <c r="O453" i="6" s="1"/>
  <c r="N512" i="6"/>
  <c r="O512" i="6" s="1"/>
  <c r="N547" i="6"/>
  <c r="O547" i="6" s="1"/>
  <c r="N531" i="6"/>
  <c r="O531" i="6" s="1"/>
  <c r="N499" i="6"/>
  <c r="O499" i="6" s="1"/>
  <c r="N467" i="6"/>
  <c r="O467" i="6" s="1"/>
  <c r="N486" i="6"/>
  <c r="O486" i="6" s="1"/>
  <c r="N417" i="6"/>
  <c r="O417" i="6" s="1"/>
  <c r="N445" i="6"/>
  <c r="O445" i="6" s="1"/>
  <c r="N408" i="6"/>
  <c r="O408" i="6" s="1"/>
  <c r="N349" i="6"/>
  <c r="O349" i="6" s="1"/>
  <c r="N277" i="6"/>
  <c r="O277" i="6" s="1"/>
  <c r="N269" i="6"/>
  <c r="O269" i="6" s="1"/>
  <c r="N245" i="6"/>
  <c r="O245" i="6" s="1"/>
  <c r="N373" i="6"/>
  <c r="O373" i="6" s="1"/>
  <c r="N354" i="6"/>
  <c r="O354" i="6" s="1"/>
  <c r="N320" i="6"/>
  <c r="O320" i="6" s="1"/>
  <c r="N184" i="6"/>
  <c r="O184" i="6" s="1"/>
  <c r="N307" i="6"/>
  <c r="O307" i="6" s="1"/>
  <c r="N440" i="6"/>
  <c r="O440" i="6" s="1"/>
  <c r="N396" i="6"/>
  <c r="O396" i="6" s="1"/>
  <c r="N310" i="6"/>
  <c r="O310" i="6" s="1"/>
  <c r="N379" i="6"/>
  <c r="O379" i="6" s="1"/>
  <c r="N233" i="6"/>
  <c r="O233" i="6" s="1"/>
  <c r="N367" i="6"/>
  <c r="O367" i="6" s="1"/>
  <c r="N292" i="6"/>
  <c r="O292" i="6" s="1"/>
  <c r="N228" i="6"/>
  <c r="O228" i="6" s="1"/>
  <c r="N204" i="6"/>
  <c r="O204" i="6" s="1"/>
  <c r="N196" i="6"/>
  <c r="O196" i="6" s="1"/>
  <c r="N188" i="6"/>
  <c r="O188" i="6" s="1"/>
  <c r="N327" i="6"/>
  <c r="O327" i="6" s="1"/>
  <c r="N322" i="6"/>
  <c r="O322" i="6" s="1"/>
  <c r="N250" i="6"/>
  <c r="O250" i="6" s="1"/>
  <c r="N242" i="6"/>
  <c r="O242" i="6" s="1"/>
  <c r="N199" i="6"/>
  <c r="O199" i="6" s="1"/>
  <c r="N150" i="6"/>
  <c r="O150" i="6" s="1"/>
  <c r="N110" i="6"/>
  <c r="O110" i="6" s="1"/>
  <c r="N30" i="6"/>
  <c r="O30" i="6" s="1"/>
  <c r="O773" i="5"/>
  <c r="O749" i="5"/>
  <c r="N25" i="6"/>
  <c r="O25" i="6" s="1"/>
  <c r="N365" i="6"/>
  <c r="O365" i="6" s="1"/>
  <c r="N255" i="6"/>
  <c r="O255" i="6" s="1"/>
  <c r="N23" i="6"/>
  <c r="O23" i="6" s="1"/>
  <c r="N287" i="6"/>
  <c r="O287" i="6" s="1"/>
  <c r="N122" i="6"/>
  <c r="O122" i="6" s="1"/>
  <c r="N50" i="6"/>
  <c r="O50" i="6" s="1"/>
  <c r="N34" i="6"/>
  <c r="O34" i="6" s="1"/>
  <c r="O779" i="5"/>
  <c r="O767" i="5"/>
  <c r="O711" i="5"/>
  <c r="N149" i="6"/>
  <c r="O149" i="6" s="1"/>
  <c r="N69" i="6"/>
  <c r="O69" i="6" s="1"/>
  <c r="N61" i="6"/>
  <c r="O61" i="6" s="1"/>
  <c r="N53" i="6"/>
  <c r="O53" i="6" s="1"/>
  <c r="N13" i="6"/>
  <c r="O13" i="6" s="1"/>
  <c r="N100" i="6"/>
  <c r="O100" i="6" s="1"/>
  <c r="O768" i="5"/>
  <c r="O754" i="5"/>
  <c r="O717" i="5"/>
  <c r="N8" i="6"/>
  <c r="O8" i="6" s="1"/>
  <c r="O687" i="5"/>
  <c r="O655" i="5"/>
  <c r="O643" i="5"/>
  <c r="O587" i="5"/>
  <c r="O563" i="5"/>
  <c r="O539" i="5"/>
  <c r="O507" i="5"/>
  <c r="N139" i="6"/>
  <c r="O139" i="6" s="1"/>
  <c r="N136" i="6"/>
  <c r="O136" i="6" s="1"/>
  <c r="N75" i="6"/>
  <c r="O75" i="6" s="1"/>
  <c r="O786" i="5"/>
  <c r="N116" i="6"/>
  <c r="O116" i="6" s="1"/>
  <c r="N60" i="6"/>
  <c r="O60" i="6" s="1"/>
  <c r="O706" i="5"/>
  <c r="O662" i="5"/>
  <c r="O630" i="5"/>
  <c r="O582" i="5"/>
  <c r="O526" i="5"/>
  <c r="O502" i="5"/>
  <c r="O478" i="5"/>
  <c r="O692" i="5"/>
  <c r="O644" i="5"/>
  <c r="O600" i="5"/>
  <c r="O568" i="5"/>
  <c r="O532" i="5"/>
  <c r="O520" i="5"/>
  <c r="N108" i="6"/>
  <c r="O108" i="6" s="1"/>
  <c r="O625" i="5"/>
  <c r="O465" i="5"/>
  <c r="O460" i="5"/>
  <c r="O404" i="5"/>
  <c r="O380" i="5"/>
  <c r="O356" i="5"/>
  <c r="O324" i="5"/>
  <c r="O276" i="5"/>
  <c r="O593" i="5"/>
  <c r="O705" i="5"/>
  <c r="O459" i="5"/>
  <c r="O399" i="5"/>
  <c r="O343" i="5"/>
  <c r="O319" i="5"/>
  <c r="O287" i="5"/>
  <c r="O275" i="5"/>
  <c r="O219" i="5"/>
  <c r="N158" i="6"/>
  <c r="O158" i="6" s="1"/>
  <c r="O581" i="5"/>
  <c r="O649" i="5"/>
  <c r="O446" i="5"/>
  <c r="O410" i="5"/>
  <c r="O398" i="5"/>
  <c r="O338" i="5"/>
  <c r="O294" i="5"/>
  <c r="O262" i="5"/>
  <c r="O521" i="5"/>
  <c r="O441" i="5"/>
  <c r="O417" i="5"/>
  <c r="O385" i="5"/>
  <c r="O349" i="5"/>
  <c r="O337" i="5"/>
  <c r="O281" i="5"/>
  <c r="O214" i="5"/>
  <c r="N96" i="6"/>
  <c r="O96" i="6" s="1"/>
  <c r="O157" i="5"/>
  <c r="O133" i="5"/>
  <c r="O101" i="5"/>
  <c r="O89" i="5"/>
  <c r="O33" i="5"/>
  <c r="O9" i="5"/>
  <c r="O471" i="5"/>
  <c r="O213" i="5"/>
  <c r="O724" i="5"/>
  <c r="O232" i="5"/>
  <c r="O200" i="5"/>
  <c r="O152" i="5"/>
  <c r="O108" i="5"/>
  <c r="O76" i="5"/>
  <c r="O257" i="5"/>
  <c r="O195" i="5"/>
  <c r="O163" i="5"/>
  <c r="O151" i="5"/>
  <c r="O95" i="5"/>
  <c r="O71" i="5"/>
  <c r="O39" i="5"/>
  <c r="O27" i="5"/>
  <c r="O225" i="5"/>
  <c r="G535" i="6"/>
  <c r="G490" i="6"/>
  <c r="G445" i="6"/>
  <c r="G354" i="6"/>
  <c r="G310" i="6"/>
  <c r="G233" i="6"/>
  <c r="G139" i="6"/>
  <c r="G100" i="6"/>
  <c r="G188" i="6"/>
  <c r="G692" i="5"/>
  <c r="G568" i="5"/>
  <c r="G754" i="5"/>
  <c r="G53" i="6"/>
  <c r="G630" i="5"/>
  <c r="G13" i="6"/>
  <c r="G385" i="5"/>
  <c r="G507" i="5"/>
  <c r="G138" i="5"/>
  <c r="G14" i="5"/>
  <c r="G71" i="2"/>
  <c r="G69" i="2"/>
  <c r="G67" i="2"/>
  <c r="G446" i="5"/>
  <c r="G324" i="5"/>
  <c r="G200" i="5"/>
  <c r="G76" i="5"/>
  <c r="G70" i="2"/>
  <c r="G68" i="2"/>
  <c r="G262" i="5"/>
  <c r="G543" i="6"/>
  <c r="G449" i="6"/>
  <c r="G274" i="6"/>
  <c r="G361" i="6"/>
  <c r="G405" i="6"/>
  <c r="G19" i="6"/>
  <c r="G316" i="6"/>
  <c r="G145" i="6"/>
  <c r="G103" i="6"/>
  <c r="G700" i="5"/>
  <c r="G576" i="5"/>
  <c r="G638" i="5"/>
  <c r="G762" i="5"/>
  <c r="G393" i="5"/>
  <c r="G146" i="5"/>
  <c r="G22" i="5"/>
  <c r="G110" i="2"/>
  <c r="G454" i="5"/>
  <c r="G270" i="5"/>
  <c r="G84" i="5"/>
  <c r="G108" i="2"/>
  <c r="G332" i="5"/>
  <c r="G208" i="5"/>
  <c r="G111" i="2"/>
  <c r="G107" i="2"/>
  <c r="G455" i="6"/>
  <c r="G410" i="6"/>
  <c r="G279" i="6"/>
  <c r="G63" i="6"/>
  <c r="G708" i="5"/>
  <c r="G584" i="5"/>
  <c r="G646" i="5"/>
  <c r="G401" i="5"/>
  <c r="G770" i="5"/>
  <c r="G523" i="5"/>
  <c r="G154" i="5"/>
  <c r="G30" i="5"/>
  <c r="G150" i="2"/>
  <c r="G278" i="5"/>
  <c r="G92" i="5"/>
  <c r="G148" i="2"/>
  <c r="G216" i="5"/>
  <c r="G462" i="5"/>
  <c r="G340" i="5"/>
  <c r="G151" i="2"/>
  <c r="G147" i="2"/>
  <c r="G416" i="6"/>
  <c r="G462" i="6"/>
  <c r="G326" i="6"/>
  <c r="G553" i="6"/>
  <c r="G505" i="6"/>
  <c r="G157" i="6"/>
  <c r="G203" i="6"/>
  <c r="G286" i="6"/>
  <c r="G249" i="6"/>
  <c r="G115" i="6"/>
  <c r="G372" i="6"/>
  <c r="G68" i="6"/>
  <c r="G716" i="5"/>
  <c r="G592" i="5"/>
  <c r="G29" i="6"/>
  <c r="G654" i="5"/>
  <c r="G409" i="5"/>
  <c r="G470" i="5"/>
  <c r="G531" i="5"/>
  <c r="G778" i="5"/>
  <c r="G162" i="5"/>
  <c r="G38" i="5"/>
  <c r="G190" i="2"/>
  <c r="G348" i="5"/>
  <c r="G224" i="5"/>
  <c r="G100" i="5"/>
  <c r="G188" i="2"/>
  <c r="G191" i="2"/>
  <c r="G187" i="2"/>
  <c r="G512" i="6"/>
  <c r="G467" i="6"/>
  <c r="G379" i="6"/>
  <c r="G255" i="6"/>
  <c r="G75" i="6"/>
  <c r="G724" i="5"/>
  <c r="G292" i="6"/>
  <c r="G122" i="6"/>
  <c r="G34" i="6"/>
  <c r="G600" i="5"/>
  <c r="G786" i="5"/>
  <c r="G662" i="5"/>
  <c r="G539" i="5"/>
  <c r="G417" i="5"/>
  <c r="G478" i="5"/>
  <c r="G356" i="5"/>
  <c r="G170" i="5"/>
  <c r="G46" i="5"/>
  <c r="G229" i="2"/>
  <c r="G232" i="5"/>
  <c r="G108" i="5"/>
  <c r="G231" i="2"/>
  <c r="G227" i="2"/>
  <c r="G294" i="5"/>
  <c r="G230" i="2"/>
  <c r="G472" i="6"/>
  <c r="G426" i="6"/>
  <c r="G732" i="5"/>
  <c r="G608" i="5"/>
  <c r="G81" i="6"/>
  <c r="G670" i="5"/>
  <c r="G794" i="5"/>
  <c r="G425" i="5"/>
  <c r="G125" i="6"/>
  <c r="G547" i="5"/>
  <c r="G178" i="5"/>
  <c r="G54" i="5"/>
  <c r="G268" i="2"/>
  <c r="G302" i="5"/>
  <c r="G116" i="5"/>
  <c r="G270" i="2"/>
  <c r="G486" i="5"/>
  <c r="G364" i="5"/>
  <c r="G240" i="5"/>
  <c r="G97" i="2"/>
  <c r="G129" i="2"/>
  <c r="G161" i="2"/>
  <c r="G197" i="2"/>
  <c r="J261" i="2"/>
  <c r="G267" i="2"/>
  <c r="G277" i="2"/>
  <c r="G287" i="2"/>
  <c r="G297" i="2"/>
  <c r="O122" i="5"/>
  <c r="O150" i="5"/>
  <c r="G274" i="5"/>
  <c r="G440" i="6"/>
  <c r="G531" i="6"/>
  <c r="G486" i="6"/>
  <c r="G349" i="6"/>
  <c r="G269" i="6"/>
  <c r="G307" i="6"/>
  <c r="G396" i="6"/>
  <c r="G228" i="6"/>
  <c r="G184" i="6"/>
  <c r="G50" i="6"/>
  <c r="G8" i="6"/>
  <c r="G687" i="5"/>
  <c r="G136" i="6"/>
  <c r="G749" i="5"/>
  <c r="G502" i="5"/>
  <c r="G441" i="5"/>
  <c r="G625" i="5"/>
  <c r="G319" i="5"/>
  <c r="G563" i="5"/>
  <c r="G96" i="6"/>
  <c r="G43" i="2"/>
  <c r="G380" i="5"/>
  <c r="G133" i="5"/>
  <c r="G9" i="5"/>
  <c r="G45" i="2"/>
  <c r="G257" i="5"/>
  <c r="G195" i="5"/>
  <c r="G71" i="5"/>
  <c r="G44" i="2"/>
  <c r="G511" i="6"/>
  <c r="G466" i="6"/>
  <c r="G557" i="6"/>
  <c r="G422" i="6"/>
  <c r="G332" i="6"/>
  <c r="G378" i="6"/>
  <c r="G291" i="6"/>
  <c r="G254" i="6"/>
  <c r="G163" i="6"/>
  <c r="G74" i="6"/>
  <c r="G121" i="6"/>
  <c r="G599" i="5"/>
  <c r="G33" i="6"/>
  <c r="G723" i="5"/>
  <c r="G785" i="5"/>
  <c r="G293" i="5"/>
  <c r="G538" i="5"/>
  <c r="G416" i="5"/>
  <c r="G661" i="5"/>
  <c r="G477" i="5"/>
  <c r="G355" i="5"/>
  <c r="G231" i="5"/>
  <c r="G226" i="2"/>
  <c r="G224" i="2"/>
  <c r="G222" i="2"/>
  <c r="G169" i="5"/>
  <c r="G45" i="5"/>
  <c r="G225" i="2"/>
  <c r="G223" i="2"/>
  <c r="G107" i="5"/>
  <c r="G22" i="2"/>
  <c r="G46" i="2"/>
  <c r="G185" i="2"/>
  <c r="O130" i="5"/>
  <c r="G350" i="5"/>
  <c r="G515" i="5"/>
  <c r="G483" i="6"/>
  <c r="G304" i="6"/>
  <c r="G345" i="6"/>
  <c r="G437" i="6"/>
  <c r="G91" i="6"/>
  <c r="G3" i="6"/>
  <c r="G394" i="6"/>
  <c r="G743" i="5"/>
  <c r="G496" i="5"/>
  <c r="G619" i="5"/>
  <c r="G313" i="5"/>
  <c r="G681" i="5"/>
  <c r="G435" i="5"/>
  <c r="G251" i="5"/>
  <c r="G557" i="5"/>
  <c r="G439" i="6"/>
  <c r="G227" i="6"/>
  <c r="G182" i="6"/>
  <c r="G348" i="6"/>
  <c r="G305" i="6"/>
  <c r="G94" i="6"/>
  <c r="G268" i="6"/>
  <c r="G747" i="5"/>
  <c r="G500" i="5"/>
  <c r="G623" i="5"/>
  <c r="G6" i="6"/>
  <c r="G561" i="5"/>
  <c r="G317" i="5"/>
  <c r="G439" i="5"/>
  <c r="G255" i="5"/>
  <c r="G685" i="5"/>
  <c r="G532" i="6"/>
  <c r="G487" i="6"/>
  <c r="G351" i="6"/>
  <c r="G442" i="6"/>
  <c r="G270" i="6"/>
  <c r="G230" i="6"/>
  <c r="G185" i="6"/>
  <c r="G10" i="6"/>
  <c r="G751" i="5"/>
  <c r="G504" i="5"/>
  <c r="G97" i="6"/>
  <c r="G627" i="5"/>
  <c r="G321" i="5"/>
  <c r="G689" i="5"/>
  <c r="G565" i="5"/>
  <c r="G443" i="5"/>
  <c r="G259" i="5"/>
  <c r="G492" i="6"/>
  <c r="G538" i="6"/>
  <c r="G400" i="6"/>
  <c r="G446" i="6"/>
  <c r="G356" i="6"/>
  <c r="G313" i="6"/>
  <c r="G142" i="6"/>
  <c r="G236" i="6"/>
  <c r="G695" i="5"/>
  <c r="G571" i="5"/>
  <c r="G16" i="6"/>
  <c r="G757" i="5"/>
  <c r="G449" i="5"/>
  <c r="G633" i="5"/>
  <c r="G327" i="5"/>
  <c r="G510" i="5"/>
  <c r="G451" i="6"/>
  <c r="G545" i="6"/>
  <c r="G363" i="6"/>
  <c r="G318" i="6"/>
  <c r="G147" i="6"/>
  <c r="G194" i="6"/>
  <c r="G106" i="6"/>
  <c r="G58" i="6"/>
  <c r="G703" i="5"/>
  <c r="G579" i="5"/>
  <c r="G765" i="5"/>
  <c r="G457" i="5"/>
  <c r="G273" i="5"/>
  <c r="G396" i="5"/>
  <c r="G641" i="5"/>
  <c r="G518" i="5"/>
  <c r="G335" i="5"/>
  <c r="G458" i="6"/>
  <c r="G549" i="6"/>
  <c r="G322" i="6"/>
  <c r="G245" i="6"/>
  <c r="G199" i="6"/>
  <c r="G110" i="6"/>
  <c r="G773" i="5"/>
  <c r="G711" i="5"/>
  <c r="G587" i="5"/>
  <c r="G367" i="6"/>
  <c r="G281" i="5"/>
  <c r="G526" i="5"/>
  <c r="G465" i="5"/>
  <c r="G404" i="5"/>
  <c r="G343" i="5"/>
  <c r="G219" i="5"/>
  <c r="G25" i="6"/>
  <c r="G508" i="6"/>
  <c r="G375" i="6"/>
  <c r="G118" i="6"/>
  <c r="G71" i="6"/>
  <c r="G329" i="6"/>
  <c r="G160" i="6"/>
  <c r="G781" i="5"/>
  <c r="G595" i="5"/>
  <c r="G534" i="5"/>
  <c r="G289" i="5"/>
  <c r="G657" i="5"/>
  <c r="G412" i="5"/>
  <c r="G719" i="5"/>
  <c r="G473" i="5"/>
  <c r="G351" i="5"/>
  <c r="G227" i="5"/>
  <c r="G514" i="6"/>
  <c r="G558" i="6"/>
  <c r="G210" i="6"/>
  <c r="G165" i="6"/>
  <c r="G381" i="6"/>
  <c r="G727" i="5"/>
  <c r="G603" i="5"/>
  <c r="G77" i="6"/>
  <c r="G789" i="5"/>
  <c r="G665" i="5"/>
  <c r="G297" i="5"/>
  <c r="G420" i="5"/>
  <c r="G542" i="5"/>
  <c r="G359" i="5"/>
  <c r="G235" i="5"/>
  <c r="G565" i="6"/>
  <c r="G520" i="6"/>
  <c r="G475" i="6"/>
  <c r="G258" i="6"/>
  <c r="G429" i="6"/>
  <c r="G338" i="6"/>
  <c r="G297" i="6"/>
  <c r="G387" i="6"/>
  <c r="G216" i="6"/>
  <c r="G83" i="6"/>
  <c r="G127" i="6"/>
  <c r="G171" i="6"/>
  <c r="G735" i="5"/>
  <c r="G611" i="5"/>
  <c r="G797" i="5"/>
  <c r="G41" i="6"/>
  <c r="G550" i="5"/>
  <c r="G305" i="5"/>
  <c r="G673" i="5"/>
  <c r="G428" i="5"/>
  <c r="G489" i="5"/>
  <c r="G367" i="5"/>
  <c r="G243" i="5"/>
  <c r="G12" i="2"/>
  <c r="G16" i="2"/>
  <c r="G32" i="2"/>
  <c r="G36" i="2"/>
  <c r="G48" i="2"/>
  <c r="G52" i="2"/>
  <c r="G56" i="2"/>
  <c r="G75" i="2"/>
  <c r="G83" i="2"/>
  <c r="G95" i="2"/>
  <c r="G115" i="2"/>
  <c r="G123" i="2"/>
  <c r="G135" i="2"/>
  <c r="G155" i="2"/>
  <c r="G163" i="2"/>
  <c r="G175" i="2"/>
  <c r="G195" i="2"/>
  <c r="G203" i="2"/>
  <c r="G215" i="2"/>
  <c r="G234" i="2"/>
  <c r="G242" i="2"/>
  <c r="G246" i="2"/>
  <c r="G256" i="2"/>
  <c r="G272" i="2"/>
  <c r="G296" i="2"/>
  <c r="G305" i="2"/>
  <c r="G3" i="5"/>
  <c r="G7" i="5"/>
  <c r="G11" i="5"/>
  <c r="G15" i="5"/>
  <c r="G19" i="5"/>
  <c r="G23" i="5"/>
  <c r="G27" i="5"/>
  <c r="G31" i="5"/>
  <c r="G35" i="5"/>
  <c r="G39" i="5"/>
  <c r="G43" i="5"/>
  <c r="G47" i="5"/>
  <c r="G51" i="5"/>
  <c r="G55" i="5"/>
  <c r="G59" i="5"/>
  <c r="G79" i="5"/>
  <c r="G87" i="5"/>
  <c r="G95" i="5"/>
  <c r="G103" i="5"/>
  <c r="G111" i="5"/>
  <c r="G119" i="5"/>
  <c r="G127" i="5"/>
  <c r="G131" i="5"/>
  <c r="G135" i="5"/>
  <c r="G139" i="5"/>
  <c r="G147" i="5"/>
  <c r="G155" i="5"/>
  <c r="G159" i="5"/>
  <c r="G163" i="5"/>
  <c r="G171" i="5"/>
  <c r="G179" i="5"/>
  <c r="G183" i="5"/>
  <c r="G203" i="5"/>
  <c r="G221" i="5"/>
  <c r="G378" i="5"/>
  <c r="G386" i="5"/>
  <c r="G442" i="5"/>
  <c r="G528" i="6"/>
  <c r="G265" i="6"/>
  <c r="G179" i="6"/>
  <c r="G224" i="6"/>
  <c r="G744" i="5"/>
  <c r="G135" i="6"/>
  <c r="G49" i="6"/>
  <c r="G620" i="5"/>
  <c r="G682" i="5"/>
  <c r="G558" i="5"/>
  <c r="G497" i="5"/>
  <c r="G436" i="5"/>
  <c r="G375" i="5"/>
  <c r="G306" i="6"/>
  <c r="G395" i="6"/>
  <c r="G183" i="6"/>
  <c r="G748" i="5"/>
  <c r="G95" i="6"/>
  <c r="G7" i="6"/>
  <c r="G624" i="5"/>
  <c r="G686" i="5"/>
  <c r="G562" i="5"/>
  <c r="G501" i="5"/>
  <c r="G440" i="5"/>
  <c r="G379" i="5"/>
  <c r="G533" i="6"/>
  <c r="G488" i="6"/>
  <c r="G443" i="6"/>
  <c r="G397" i="6"/>
  <c r="G352" i="6"/>
  <c r="G271" i="6"/>
  <c r="G231" i="6"/>
  <c r="G308" i="6"/>
  <c r="G51" i="6"/>
  <c r="G11" i="6"/>
  <c r="G752" i="5"/>
  <c r="G186" i="6"/>
  <c r="G98" i="6"/>
  <c r="G628" i="5"/>
  <c r="G690" i="5"/>
  <c r="G566" i="5"/>
  <c r="G137" i="6"/>
  <c r="G444" i="5"/>
  <c r="G505" i="5"/>
  <c r="G383" i="5"/>
  <c r="G540" i="6"/>
  <c r="G494" i="6"/>
  <c r="G358" i="6"/>
  <c r="G189" i="6"/>
  <c r="G402" i="6"/>
  <c r="G238" i="6"/>
  <c r="G55" i="6"/>
  <c r="G759" i="5"/>
  <c r="G512" i="5"/>
  <c r="G635" i="5"/>
  <c r="G329" i="5"/>
  <c r="G697" i="5"/>
  <c r="G573" i="5"/>
  <c r="G451" i="5"/>
  <c r="G267" i="5"/>
  <c r="G498" i="6"/>
  <c r="G453" i="6"/>
  <c r="G408" i="6"/>
  <c r="G547" i="6"/>
  <c r="G242" i="6"/>
  <c r="G277" i="6"/>
  <c r="G320" i="6"/>
  <c r="G365" i="6"/>
  <c r="G108" i="6"/>
  <c r="G60" i="6"/>
  <c r="G196" i="6"/>
  <c r="G23" i="6"/>
  <c r="G767" i="5"/>
  <c r="G520" i="5"/>
  <c r="G643" i="5"/>
  <c r="G149" i="6"/>
  <c r="G337" i="5"/>
  <c r="G705" i="5"/>
  <c r="G459" i="5"/>
  <c r="G275" i="5"/>
  <c r="G581" i="5"/>
  <c r="G460" i="6"/>
  <c r="G551" i="6"/>
  <c r="G503" i="6"/>
  <c r="G414" i="6"/>
  <c r="G283" i="6"/>
  <c r="G369" i="6"/>
  <c r="G201" i="6"/>
  <c r="G247" i="6"/>
  <c r="G154" i="6"/>
  <c r="G27" i="6"/>
  <c r="G324" i="6"/>
  <c r="G66" i="6"/>
  <c r="G775" i="5"/>
  <c r="G528" i="5"/>
  <c r="G112" i="6"/>
  <c r="G651" i="5"/>
  <c r="G713" i="5"/>
  <c r="G345" i="5"/>
  <c r="G283" i="5"/>
  <c r="G589" i="5"/>
  <c r="G467" i="5"/>
  <c r="G420" i="6"/>
  <c r="G161" i="6"/>
  <c r="G252" i="6"/>
  <c r="G207" i="6"/>
  <c r="G119" i="6"/>
  <c r="G783" i="5"/>
  <c r="G536" i="5"/>
  <c r="G659" i="5"/>
  <c r="G721" i="5"/>
  <c r="G597" i="5"/>
  <c r="G475" i="5"/>
  <c r="G353" i="5"/>
  <c r="G291" i="5"/>
  <c r="G72" i="6"/>
  <c r="G516" i="6"/>
  <c r="G560" i="6"/>
  <c r="G470" i="6"/>
  <c r="G383" i="6"/>
  <c r="G335" i="6"/>
  <c r="G212" i="6"/>
  <c r="G124" i="6"/>
  <c r="G79" i="6"/>
  <c r="G791" i="5"/>
  <c r="G544" i="5"/>
  <c r="G425" i="6"/>
  <c r="G167" i="6"/>
  <c r="G667" i="5"/>
  <c r="G605" i="5"/>
  <c r="G361" i="5"/>
  <c r="G729" i="5"/>
  <c r="G483" i="5"/>
  <c r="G299" i="5"/>
  <c r="G567" i="6"/>
  <c r="G522" i="6"/>
  <c r="G477" i="6"/>
  <c r="G218" i="6"/>
  <c r="G173" i="6"/>
  <c r="G431" i="6"/>
  <c r="G340" i="6"/>
  <c r="G299" i="6"/>
  <c r="G43" i="6"/>
  <c r="G260" i="6"/>
  <c r="G389" i="6"/>
  <c r="G799" i="5"/>
  <c r="G552" i="5"/>
  <c r="G737" i="5"/>
  <c r="G675" i="5"/>
  <c r="G85" i="6"/>
  <c r="G491" i="5"/>
  <c r="G369" i="5"/>
  <c r="G613" i="5"/>
  <c r="G307" i="5"/>
  <c r="G13" i="2"/>
  <c r="G17" i="2"/>
  <c r="G21" i="2"/>
  <c r="G29" i="2"/>
  <c r="G33" i="2"/>
  <c r="G37" i="2"/>
  <c r="G41" i="2"/>
  <c r="G49" i="2"/>
  <c r="G53" i="2"/>
  <c r="G57" i="2"/>
  <c r="G61" i="2"/>
  <c r="G72" i="2"/>
  <c r="G76" i="2"/>
  <c r="G84" i="2"/>
  <c r="G92" i="2"/>
  <c r="G96" i="2"/>
  <c r="G112" i="2"/>
  <c r="G116" i="2"/>
  <c r="G124" i="2"/>
  <c r="G132" i="2"/>
  <c r="G136" i="2"/>
  <c r="G152" i="2"/>
  <c r="G156" i="2"/>
  <c r="G164" i="2"/>
  <c r="G172" i="2"/>
  <c r="G176" i="2"/>
  <c r="G192" i="2"/>
  <c r="G196" i="2"/>
  <c r="G204" i="2"/>
  <c r="G212" i="2"/>
  <c r="G216" i="2"/>
  <c r="G235" i="2"/>
  <c r="G243" i="2"/>
  <c r="G254" i="2"/>
  <c r="G286" i="2"/>
  <c r="G294" i="2"/>
  <c r="G307" i="2"/>
  <c r="G4" i="5"/>
  <c r="G8" i="5"/>
  <c r="G12" i="5"/>
  <c r="G68" i="5"/>
  <c r="G72" i="5"/>
  <c r="G128" i="5"/>
  <c r="G132" i="5"/>
  <c r="G136" i="5"/>
  <c r="G192" i="5"/>
  <c r="G196" i="5"/>
  <c r="G241" i="5"/>
  <c r="G316" i="5"/>
  <c r="G394" i="5"/>
  <c r="G418" i="5"/>
  <c r="G426" i="5"/>
  <c r="G209" i="5"/>
  <c r="G213" i="5"/>
  <c r="G217" i="5"/>
  <c r="G237" i="5"/>
  <c r="G649" i="5"/>
  <c r="G17" i="5"/>
  <c r="G25" i="5"/>
  <c r="G33" i="5"/>
  <c r="G41" i="5"/>
  <c r="G49" i="5"/>
  <c r="G57" i="5"/>
  <c r="G65" i="5"/>
  <c r="G69" i="5"/>
  <c r="G73" i="5"/>
  <c r="G77" i="5"/>
  <c r="G81" i="5"/>
  <c r="G89" i="5"/>
  <c r="G97" i="5"/>
  <c r="G101" i="5"/>
  <c r="G105" i="5"/>
  <c r="G109" i="5"/>
  <c r="G113" i="5"/>
  <c r="G121" i="5"/>
  <c r="G141" i="5"/>
  <c r="G149" i="5"/>
  <c r="G157" i="5"/>
  <c r="G165" i="5"/>
  <c r="G173" i="5"/>
  <c r="G181" i="5"/>
  <c r="G189" i="5"/>
  <c r="G193" i="5"/>
  <c r="G197" i="5"/>
  <c r="G205" i="5"/>
  <c r="G318" i="5"/>
  <c r="G388" i="5"/>
  <c r="G481" i="5"/>
  <c r="G229" i="5"/>
  <c r="G265" i="5"/>
  <c r="G374" i="5"/>
  <c r="G398" i="5"/>
  <c r="G430" i="5"/>
  <c r="G530" i="6"/>
  <c r="G485" i="6"/>
  <c r="G438" i="6"/>
  <c r="G226" i="6"/>
  <c r="G181" i="6"/>
  <c r="G347" i="6"/>
  <c r="G267" i="6"/>
  <c r="G684" i="5"/>
  <c r="G560" i="5"/>
  <c r="G93" i="6"/>
  <c r="G746" i="5"/>
  <c r="G622" i="5"/>
  <c r="G377" i="5"/>
  <c r="G499" i="5"/>
  <c r="G5" i="6"/>
  <c r="G350" i="6"/>
  <c r="G229" i="6"/>
  <c r="G441" i="6"/>
  <c r="G688" i="5"/>
  <c r="G564" i="5"/>
  <c r="G626" i="5"/>
  <c r="G9" i="6"/>
  <c r="G381" i="5"/>
  <c r="G750" i="5"/>
  <c r="G503" i="5"/>
  <c r="G536" i="6"/>
  <c r="G491" i="6"/>
  <c r="G398" i="6"/>
  <c r="G234" i="6"/>
  <c r="G355" i="6"/>
  <c r="G311" i="6"/>
  <c r="G14" i="6"/>
  <c r="G140" i="6"/>
  <c r="G755" i="5"/>
  <c r="G508" i="5"/>
  <c r="G631" i="5"/>
  <c r="G569" i="5"/>
  <c r="G325" i="5"/>
  <c r="G447" i="5"/>
  <c r="G263" i="5"/>
  <c r="G693" i="5"/>
  <c r="G450" i="6"/>
  <c r="G544" i="6"/>
  <c r="G406" i="6"/>
  <c r="G317" i="6"/>
  <c r="G275" i="6"/>
  <c r="G362" i="6"/>
  <c r="G20" i="6"/>
  <c r="G192" i="6"/>
  <c r="G146" i="6"/>
  <c r="G763" i="5"/>
  <c r="G516" i="5"/>
  <c r="G639" i="5"/>
  <c r="G104" i="6"/>
  <c r="G701" i="5"/>
  <c r="G333" i="5"/>
  <c r="G577" i="5"/>
  <c r="G455" i="5"/>
  <c r="G271" i="5"/>
  <c r="G57" i="6"/>
  <c r="G548" i="6"/>
  <c r="G500" i="6"/>
  <c r="G456" i="6"/>
  <c r="G366" i="6"/>
  <c r="G197" i="6"/>
  <c r="G411" i="6"/>
  <c r="G280" i="6"/>
  <c r="G243" i="6"/>
  <c r="G321" i="6"/>
  <c r="G151" i="6"/>
  <c r="G771" i="5"/>
  <c r="G524" i="5"/>
  <c r="G109" i="6"/>
  <c r="G24" i="6"/>
  <c r="G647" i="5"/>
  <c r="G341" i="5"/>
  <c r="G709" i="5"/>
  <c r="G585" i="5"/>
  <c r="G64" i="6"/>
  <c r="G279" i="5"/>
  <c r="G463" i="5"/>
  <c r="G463" i="6"/>
  <c r="G554" i="6"/>
  <c r="G506" i="6"/>
  <c r="G327" i="6"/>
  <c r="G250" i="6"/>
  <c r="G417" i="6"/>
  <c r="G373" i="6"/>
  <c r="G287" i="6"/>
  <c r="G30" i="6"/>
  <c r="G116" i="6"/>
  <c r="G779" i="5"/>
  <c r="G532" i="5"/>
  <c r="G717" i="5"/>
  <c r="G655" i="5"/>
  <c r="G204" i="6"/>
  <c r="G158" i="6"/>
  <c r="G349" i="5"/>
  <c r="G593" i="5"/>
  <c r="G287" i="5"/>
  <c r="G471" i="5"/>
  <c r="G468" i="6"/>
  <c r="G380" i="6"/>
  <c r="G293" i="6"/>
  <c r="G333" i="6"/>
  <c r="G76" i="6"/>
  <c r="G164" i="6"/>
  <c r="G787" i="5"/>
  <c r="G540" i="5"/>
  <c r="G663" i="5"/>
  <c r="G725" i="5"/>
  <c r="G357" i="5"/>
  <c r="G479" i="5"/>
  <c r="G601" i="5"/>
  <c r="G295" i="5"/>
  <c r="G563" i="6"/>
  <c r="G518" i="6"/>
  <c r="G473" i="6"/>
  <c r="G385" i="6"/>
  <c r="G256" i="6"/>
  <c r="G427" i="6"/>
  <c r="G169" i="6"/>
  <c r="G295" i="6"/>
  <c r="G215" i="6"/>
  <c r="G126" i="6"/>
  <c r="G39" i="6"/>
  <c r="G82" i="6"/>
  <c r="G795" i="5"/>
  <c r="G548" i="5"/>
  <c r="G336" i="6"/>
  <c r="G671" i="5"/>
  <c r="G733" i="5"/>
  <c r="G365" i="5"/>
  <c r="G609" i="5"/>
  <c r="G303" i="5"/>
  <c r="G487" i="5"/>
  <c r="G15" i="2"/>
  <c r="G27" i="2"/>
  <c r="G31" i="2"/>
  <c r="G35" i="2"/>
  <c r="G39" i="2"/>
  <c r="G47" i="2"/>
  <c r="G51" i="2"/>
  <c r="G55" i="2"/>
  <c r="G59" i="2"/>
  <c r="G74" i="2"/>
  <c r="G82" i="2"/>
  <c r="G86" i="2"/>
  <c r="G94" i="2"/>
  <c r="G114" i="2"/>
  <c r="G122" i="2"/>
  <c r="G126" i="2"/>
  <c r="G134" i="2"/>
  <c r="G154" i="2"/>
  <c r="G162" i="2"/>
  <c r="G166" i="2"/>
  <c r="G174" i="2"/>
  <c r="G194" i="2"/>
  <c r="G202" i="2"/>
  <c r="G206" i="2"/>
  <c r="G214" i="2"/>
  <c r="G233" i="2"/>
  <c r="G245" i="2"/>
  <c r="G274" i="2"/>
  <c r="G282" i="2"/>
  <c r="G6" i="5"/>
  <c r="G10" i="5"/>
  <c r="G66" i="5"/>
  <c r="G70" i="5"/>
  <c r="G74" i="5"/>
  <c r="G130" i="5"/>
  <c r="G134" i="5"/>
  <c r="G190" i="5"/>
  <c r="G194" i="5"/>
  <c r="G198" i="5"/>
  <c r="G260" i="5"/>
  <c r="G320" i="5"/>
  <c r="G382" i="5"/>
  <c r="G390" i="5"/>
  <c r="G414" i="5"/>
  <c r="G422" i="5"/>
  <c r="G438" i="5"/>
  <c r="J294" i="2" l="1"/>
  <c r="I294" i="2"/>
  <c r="J260" i="2"/>
  <c r="I260" i="2"/>
  <c r="J280" i="2"/>
  <c r="I280" i="2"/>
  <c r="J286" i="2"/>
  <c r="I286" i="2"/>
  <c r="J226" i="2"/>
  <c r="I226" i="2"/>
  <c r="I287" i="2"/>
  <c r="J287" i="2"/>
  <c r="J68" i="2"/>
  <c r="I68" i="2"/>
  <c r="J71" i="2"/>
  <c r="I71" i="2"/>
  <c r="J278" i="2"/>
  <c r="I278" i="2"/>
  <c r="J288" i="2"/>
  <c r="I288" i="2"/>
  <c r="J282" i="2"/>
  <c r="I282" i="2"/>
  <c r="J254" i="2"/>
  <c r="I254" i="2"/>
  <c r="I277" i="2"/>
  <c r="J277" i="2"/>
  <c r="J70" i="2"/>
  <c r="I70" i="2"/>
  <c r="J266" i="2"/>
  <c r="I266" i="2"/>
  <c r="I301" i="2"/>
  <c r="J301" i="2"/>
  <c r="J224" i="2"/>
  <c r="I224" i="2"/>
  <c r="J69" i="2"/>
  <c r="I69" i="2"/>
  <c r="J274" i="2"/>
  <c r="I274" i="2"/>
  <c r="J296" i="2"/>
  <c r="I296" i="2"/>
  <c r="J223" i="2"/>
  <c r="I223" i="2"/>
  <c r="I267" i="2"/>
  <c r="J267" i="2"/>
  <c r="J258" i="2"/>
  <c r="I258" i="2"/>
  <c r="J272" i="2"/>
  <c r="I272" i="2"/>
  <c r="J225" i="2"/>
  <c r="I225" i="2"/>
  <c r="J270" i="2"/>
  <c r="I270" i="2"/>
  <c r="J264" i="2"/>
  <c r="I264" i="2"/>
  <c r="I291" i="2"/>
  <c r="J291" i="2"/>
  <c r="I259" i="2"/>
  <c r="J259" i="2"/>
  <c r="J290" i="2"/>
  <c r="I290" i="2"/>
  <c r="J256" i="2"/>
  <c r="I256" i="2"/>
  <c r="I281" i="2"/>
  <c r="J281" i="2"/>
  <c r="J300" i="2"/>
  <c r="I300" i="2"/>
  <c r="I297" i="2"/>
  <c r="J297" i="2"/>
  <c r="J222" i="2"/>
  <c r="I222" i="2"/>
  <c r="J268" i="2"/>
  <c r="I268" i="2"/>
  <c r="J67" i="2"/>
  <c r="I67" i="2"/>
  <c r="J262" i="2"/>
  <c r="I262" i="2"/>
  <c r="J298" i="2"/>
  <c r="I298" i="2"/>
</calcChain>
</file>

<file path=xl/sharedStrings.xml><?xml version="1.0" encoding="utf-8"?>
<sst xmlns="http://schemas.openxmlformats.org/spreadsheetml/2006/main" count="15027" uniqueCount="2251">
  <si>
    <t>id</t>
  </si>
  <si>
    <t>name</t>
  </si>
  <si>
    <t>set_prefix</t>
  </si>
  <si>
    <t>equipment_prefix</t>
  </si>
  <si>
    <t>equipment_name</t>
  </si>
  <si>
    <t>#dup_id</t>
  </si>
  <si>
    <t>skill_name</t>
  </si>
  <si>
    <t>max_level</t>
  </si>
  <si>
    <t>set_name</t>
  </si>
  <si>
    <t>body_part</t>
  </si>
  <si>
    <t>body_part_name</t>
  </si>
  <si>
    <t>Great Jagras</t>
  </si>
  <si>
    <t>Lv.1</t>
  </si>
  <si>
    <t>Jagras</t>
  </si>
  <si>
    <t>monster_name</t>
  </si>
  <si>
    <t>Lv.2</t>
  </si>
  <si>
    <t>monster_id</t>
  </si>
  <si>
    <t>Lv.3</t>
  </si>
  <si>
    <t>skill_slot</t>
  </si>
  <si>
    <t>Lv.4</t>
  </si>
  <si>
    <t>weapon_low_level_alias</t>
  </si>
  <si>
    <t>Lv.5</t>
  </si>
  <si>
    <t>weapon_attack</t>
  </si>
  <si>
    <t>Advanced Attack Boost</t>
  </si>
  <si>
    <t>weapon_affinity</t>
  </si>
  <si>
    <t>Increases attack power by 150 when Attack Boost Lv5+ is active.</t>
  </si>
  <si>
    <t>Increases attack power by 350 when Attack Boost Lv5+ is active.</t>
  </si>
  <si>
    <t>weapon_element_value</t>
  </si>
  <si>
    <t>Aggressive Dodger</t>
  </si>
  <si>
    <t>weapon_element_type</t>
  </si>
  <si>
    <t>Any attack performed following a perfect evade has its damage increased by 20%.</t>
  </si>
  <si>
    <t>Any attack performed following a perfect evade has its damage increased by 30%.</t>
  </si>
  <si>
    <t>Any attack performed following a perfect evade has its damage increased by 40%.</t>
  </si>
  <si>
    <t>Leather Headgear</t>
  </si>
  <si>
    <t>Leather Set</t>
  </si>
  <si>
    <t>Any attack performed following a perfect evade has its damage increased by 50%.</t>
  </si>
  <si>
    <t>Helm</t>
  </si>
  <si>
    <t>Any attack performed following a perfect evade has its damage increased by 60%.</t>
  </si>
  <si>
    <t>Artful Dodger</t>
  </si>
  <si>
    <t>Headgear</t>
  </si>
  <si>
    <t>Makes perfect evades ever so slightly easier to perform.</t>
  </si>
  <si>
    <t>Fire</t>
  </si>
  <si>
    <t>Makes perfect evades slightly easier to perform.</t>
  </si>
  <si>
    <t>Makes perfect evades moderately easier to perform.</t>
  </si>
  <si>
    <t>Makes perfect evades much easier to perform.</t>
  </si>
  <si>
    <t>Makes perfect evades significantly easier to perform.</t>
  </si>
  <si>
    <t>Artillery</t>
  </si>
  <si>
    <t>Kulu-Ya-Ku</t>
  </si>
  <si>
    <t>Kulu</t>
  </si>
  <si>
    <t>Increases damage of gunlance's Shelling/Wyvern's Fire, charge blades's phial attacks, sticky ammo, and wyvern ammo by 10%.</t>
  </si>
  <si>
    <t>Water</t>
  </si>
  <si>
    <t>Increases damage of gunlance's ammo/Wyvern's Fire attacks, charge blade's phial attacks, and sticky ammo by 15%</t>
  </si>
  <si>
    <t>Pukei-Pukei</t>
  </si>
  <si>
    <t>Pukei</t>
  </si>
  <si>
    <t>Increases damage of gunlance's Shelling/Wyvern's Fire, charge blades's phial attacks, sticky ammo, and wyvern ammo by 20%. Increases gunlance's ammo and charge blade's phial amount by 1.</t>
  </si>
  <si>
    <t>Critical Eye</t>
  </si>
  <si>
    <t>Increases damage of gunlance's Shelling/Wyvern's Fire, charge blades's phial attacks, sticky ammo, and wyvern ammo by 30%. Increases gunlance's ammo and charge blade's phial amount by 1.</t>
  </si>
  <si>
    <t>Increases damage of gunlance's Shelling/Wyvern's Fire, charge blades's phial attacks, sticky ammo, and wyvern ammo by 40%. Increases gunlance's ammo and charge blade's phial amount by 1.</t>
  </si>
  <si>
    <t>Thunder</t>
  </si>
  <si>
    <t>Attack Boost</t>
  </si>
  <si>
    <t>Coral Pukei-Pukei</t>
  </si>
  <si>
    <t>Coral Pukei</t>
  </si>
  <si>
    <t>Increases attack power by 20.</t>
  </si>
  <si>
    <t>Pukei Lagoon</t>
  </si>
  <si>
    <t>Increases attack power by 40.</t>
  </si>
  <si>
    <t>Increases attack power by 60.</t>
  </si>
  <si>
    <t>Ice</t>
  </si>
  <si>
    <t>Increases attack power by 80.</t>
  </si>
  <si>
    <t>Increases attack power by 120.</t>
  </si>
  <si>
    <t>Barroth</t>
  </si>
  <si>
    <t>Ballistics</t>
  </si>
  <si>
    <t>Dragon</t>
  </si>
  <si>
    <t>Slightly increases the Critical Range of your ammo/arrows.</t>
  </si>
  <si>
    <t>Moderately increases the Critical Range of your ammo/arrows.</t>
  </si>
  <si>
    <t>Significantly increases the Critical Range of your ammo/arrows.</t>
  </si>
  <si>
    <t>Great Girros</t>
  </si>
  <si>
    <t>Girros</t>
  </si>
  <si>
    <t>Balloon Charge</t>
  </si>
  <si>
    <t>Whenever you charge up an attack/Special Skill to the max, your weapon will expand, increasing damage.</t>
  </si>
  <si>
    <t>Poison</t>
  </si>
  <si>
    <t>Blast Attack</t>
  </si>
  <si>
    <t>Tobi-Kadachi</t>
  </si>
  <si>
    <t>Kadachi</t>
  </si>
  <si>
    <t>Increase weapon's blast buildup value by 50.</t>
  </si>
  <si>
    <t>Increase weapon's blast buildup value by 75.</t>
  </si>
  <si>
    <t>Increase weapon's blast buildup value by 100.</t>
  </si>
  <si>
    <t>Increase weapon's blast buildup value by 125.</t>
  </si>
  <si>
    <t>Paralysis</t>
  </si>
  <si>
    <t>Increase weapon's blast buildup value by 150.</t>
  </si>
  <si>
    <t>Leather Mail</t>
  </si>
  <si>
    <t>Blast Resistance</t>
  </si>
  <si>
    <t>Paolumu</t>
  </si>
  <si>
    <t>Mail</t>
  </si>
  <si>
    <t>Lumu</t>
  </si>
  <si>
    <t>30% chance of preventing blastblight status when damaged by a blast element attack</t>
  </si>
  <si>
    <t>Sleep</t>
  </si>
  <si>
    <t>60% chance of preventing blastblight status when damaged by a blast element attack</t>
  </si>
  <si>
    <t>Nightshade Paolumu</t>
  </si>
  <si>
    <t>Lumu Phantasm</t>
  </si>
  <si>
    <t>Prevents blastblight</t>
  </si>
  <si>
    <t>Blast</t>
  </si>
  <si>
    <t>Bleeding Edge</t>
  </si>
  <si>
    <t>Jyuratodus</t>
  </si>
  <si>
    <t>Reduces damage received from bleeding.</t>
  </si>
  <si>
    <t>Jyura</t>
  </si>
  <si>
    <t>In addition to the effects of Lv1, increases affinity by 50% when bleeding.</t>
  </si>
  <si>
    <t>In addition to the effects of Lv2, grants bleeding status both at the start of a hunt and after performing multiple actions.</t>
  </si>
  <si>
    <t>No Element</t>
  </si>
  <si>
    <t>Bleeding Resistance</t>
  </si>
  <si>
    <t>Anjanath</t>
  </si>
  <si>
    <t>30% chance of preventing bleeding status when damaged by a bleeding-inducing attack.</t>
  </si>
  <si>
    <t>60% chance of preventing bleeding status when damaged by a bleeding-inducing attack.</t>
  </si>
  <si>
    <t>Anja</t>
  </si>
  <si>
    <t>Prevents bleeding.</t>
  </si>
  <si>
    <t>Leather Gloves</t>
  </si>
  <si>
    <t>Ice Resistance</t>
  </si>
  <si>
    <t>Blunt Force</t>
  </si>
  <si>
    <t>Vambraces</t>
  </si>
  <si>
    <t>Gloves</t>
  </si>
  <si>
    <t>Fulgur Anjanath</t>
  </si>
  <si>
    <t>Increases the damage of the hammer's Charged Attack and the hunting horn's Echo Attack by 15%.</t>
  </si>
  <si>
    <t>Fulgur</t>
  </si>
  <si>
    <t>Increases the damage of the hammer's Charged Attack and the hunting horn's Echo Attack by 25%.</t>
  </si>
  <si>
    <t>Increases the damage of the hammer's Charged Attack and the hunting horn's Echo Attack by 40%.</t>
  </si>
  <si>
    <t>Increases the damage of the hammer's Charged Attack and the hunting horn's Echo Attack by 55%.</t>
  </si>
  <si>
    <t>Rathian</t>
  </si>
  <si>
    <t>Increases the damage of the hammer's Charged Attack and the hunting horn's Echo Attack by 70%.</t>
  </si>
  <si>
    <t>Bubbly Dance</t>
  </si>
  <si>
    <t>Reduces the effects of bubbleblight.</t>
  </si>
  <si>
    <t>Reduces the effects of bubbleblight and makes it easier to perform well-times evades.</t>
  </si>
  <si>
    <t>In addition to the effects of Lv2, grants bubbleblight status after performing an evasive action multiple times.</t>
  </si>
  <si>
    <t>Pink Rathian</t>
  </si>
  <si>
    <t>Buildup Boost</t>
  </si>
  <si>
    <t>Rath Heart</t>
  </si>
  <si>
    <t>Increases damage by 10% if poison/paralysis/sleep/blast buildup occurs when hitting a monster.</t>
  </si>
  <si>
    <t>Increases damage by 20% if poison/paralysis/sleep/blast buildup occurs when hitting a monster.</t>
  </si>
  <si>
    <t>Increases damage by 30% if poison/paralysis/sleep/blast buildup occurs when hitting a monster.</t>
  </si>
  <si>
    <t>Golden Rathian</t>
  </si>
  <si>
    <t>Leather Belt</t>
  </si>
  <si>
    <t>Increases damage by 40% if poison/paralysis/sleep/blast buildup occurs when hitting a monster.</t>
  </si>
  <si>
    <t>Golden Lune</t>
  </si>
  <si>
    <t>Increases damage by 50% if poison/paralysis/sleep/blast buildup occurs when hitting a monster.</t>
  </si>
  <si>
    <t>Coil</t>
  </si>
  <si>
    <t>Belt</t>
  </si>
  <si>
    <t>Burst</t>
  </si>
  <si>
    <t>Landing consecutive hits in a short span of time increases attack power by 5% for 4 seconds.</t>
  </si>
  <si>
    <t>Legiana</t>
  </si>
  <si>
    <t>Landing consecutive hits in a short span of time increases attack power by 10% for 4 seconds.</t>
  </si>
  <si>
    <t>Landing consecutive hits in a short span of time increases attack power by 15% for 4 seconds.</t>
  </si>
  <si>
    <t>Landing consecutive hits in a short span of time increases attack power by 20% for 4 seconds.</t>
  </si>
  <si>
    <t>Landing consecutive hits in a short span of time increases attack power by 30% for 4 seconds.</t>
  </si>
  <si>
    <t>Diablos</t>
  </si>
  <si>
    <t>Chameleos Venomist</t>
  </si>
  <si>
    <t>Halves poison/venom status duration, and makes it slightly easier to build up poison status on a monster.</t>
  </si>
  <si>
    <t>Halves poison/venom status duration, and makes it moderately easier to build up poison status on a monster.</t>
  </si>
  <si>
    <t>Black Diablos</t>
  </si>
  <si>
    <t>Halves poison/venom status duration, and makes it significantly easier to build up poison status on a monster.</t>
  </si>
  <si>
    <t>Diablos Nero</t>
  </si>
  <si>
    <t>Concentration</t>
  </si>
  <si>
    <t>Increases Special Gauge fill rate by 5%.</t>
  </si>
  <si>
    <t>Rathalos</t>
  </si>
  <si>
    <t>Increases Special Gauge fill rate by 10%.</t>
  </si>
  <si>
    <t>Increases Special Gauge fill rate by 15%.</t>
  </si>
  <si>
    <t>Increases Special Gauge fill rate by 20%.</t>
  </si>
  <si>
    <t>Increases Special Gauge fill rate by 30%.</t>
  </si>
  <si>
    <t>Azure Rathalos</t>
  </si>
  <si>
    <t>Critical Boost</t>
  </si>
  <si>
    <t>Rath Soul</t>
  </si>
  <si>
    <t>Increases the damage multiplier of critical hits to 130%.</t>
  </si>
  <si>
    <t>Increases the damage multiplier of critical hits to 135%.</t>
  </si>
  <si>
    <t>Increases the damage multiplier of critical hits to 140%.</t>
  </si>
  <si>
    <t>Silver Rathalos</t>
  </si>
  <si>
    <t>Increases the damage multiplier of critical hits to 145%.</t>
  </si>
  <si>
    <t>Silver Sol</t>
  </si>
  <si>
    <t>Increases the damage multiplier of critical hits to 150%.</t>
  </si>
  <si>
    <t>Critical Element</t>
  </si>
  <si>
    <t>Radobaan</t>
  </si>
  <si>
    <t>Weapon's elemental attack power increases by 30% when landing a critical hit.</t>
  </si>
  <si>
    <t>Weapon's elemental attack power increases by 40% when landing a critical hit.</t>
  </si>
  <si>
    <t>Baan</t>
  </si>
  <si>
    <t>Weapon's elemental attack power increases by 50% when landing a critical hit.</t>
  </si>
  <si>
    <t>Weapon's elemental attack power increases by 60% when landing a critical hit.</t>
  </si>
  <si>
    <t>Weapon's elemental attack power increases by 80% when landing a critical hit.</t>
  </si>
  <si>
    <t>Leather Trousers</t>
  </si>
  <si>
    <t>Banbaro</t>
  </si>
  <si>
    <t>Greaves</t>
  </si>
  <si>
    <t>Trousers</t>
  </si>
  <si>
    <t>Increases affinity by 10%.</t>
  </si>
  <si>
    <t>Increases affinity by 15%.</t>
  </si>
  <si>
    <t>Increases affinity by 20%.</t>
  </si>
  <si>
    <t>Barioth</t>
  </si>
  <si>
    <t>Increases affinity by 30%.</t>
  </si>
  <si>
    <t>Increases affinity by 40%.</t>
  </si>
  <si>
    <t>Zinogre</t>
  </si>
  <si>
    <t>Critical Ferocity</t>
  </si>
  <si>
    <t>Reduces weapon's affinity by 10%, but grants a small chance of increasing negative affinity damage to 150%.</t>
  </si>
  <si>
    <t>Reduces weapon's affinity by 15%, but grants a small chance of increasing negative affinity damage to 175%.</t>
  </si>
  <si>
    <t>Tzitzi-Ya-Ku</t>
  </si>
  <si>
    <t>Reduces weapon's affinity by 20%, but grants a small chance of increasing negative affinity damage to 200%.</t>
  </si>
  <si>
    <t>Tzitzi</t>
  </si>
  <si>
    <t>Reduces weapon's affinity by 25%, but grants a small chance of increasing negative affinity damage to 225%.</t>
  </si>
  <si>
    <t>Reduces weapon's affinity by 30%, but grants a small chance of increasing negative affinity damage to 250%.</t>
  </si>
  <si>
    <t>Alloy Helm</t>
  </si>
  <si>
    <t>Alloy Set</t>
  </si>
  <si>
    <t>Dauntless</t>
  </si>
  <si>
    <t>Odogaron</t>
  </si>
  <si>
    <t>Damage Increases by 5% for 6 seconds after performing a forward evasion.</t>
  </si>
  <si>
    <t>Damage Increases by 10% for 6 seconds after performing a forward evasion.</t>
  </si>
  <si>
    <t>Damage Increases by 15% for 6 seconds after performing a forward evasion.</t>
  </si>
  <si>
    <t>Damage Increases by 20% for 8 seconds after performing a forward evasion.</t>
  </si>
  <si>
    <t>Ebony Odogaron</t>
  </si>
  <si>
    <t>Damage Increases by 25% for 10 seconds after performing a forward evasion.</t>
  </si>
  <si>
    <t>Death Garon</t>
  </si>
  <si>
    <t>Defense Boost</t>
  </si>
  <si>
    <t>Increases defense by 20.</t>
  </si>
  <si>
    <t>Increases defense by 40.</t>
  </si>
  <si>
    <t>Deviljho</t>
  </si>
  <si>
    <t>Increases defense by 60.</t>
  </si>
  <si>
    <t>Increases defense by 80.</t>
  </si>
  <si>
    <t>Vangis</t>
  </si>
  <si>
    <t>Increases defense by 100.</t>
  </si>
  <si>
    <t>Defensive Loading</t>
  </si>
  <si>
    <t>Fire Resistance</t>
  </si>
  <si>
    <t>Basarios</t>
  </si>
  <si>
    <t>Reloads phial/ammo of charge blade/gunlance/heavy bowgun by 1 after guarding against a monster's attack.</t>
  </si>
  <si>
    <t>Reloads phial/ammo of charge blade/gunlance/heavy bowgun by 2 after guarding against a monster's attack.</t>
  </si>
  <si>
    <t>Alloy Mail</t>
  </si>
  <si>
    <t>Reloads phial/ammo of charge blade/gunlance/heavy bowgun by 3 after guarding against a monster's attack.</t>
  </si>
  <si>
    <t>Divine Blessing</t>
  </si>
  <si>
    <t>Khezu</t>
  </si>
  <si>
    <t>30% chance of reducing damage from a monster's attack by 50%.</t>
  </si>
  <si>
    <t>40% chance of reducing damage from a monster's attack by 50%.</t>
  </si>
  <si>
    <t>50% chance of reducing damage from a monster's attack by 50%.</t>
  </si>
  <si>
    <t>50% chance of reducing damage from a monster's attack by 60%.</t>
  </si>
  <si>
    <t>Kushala Daora</t>
  </si>
  <si>
    <t>50% chance of reducing damage from a monster's attack by 80%.</t>
  </si>
  <si>
    <t>Kushala</t>
  </si>
  <si>
    <t>Dragon Attack</t>
  </si>
  <si>
    <t>Increases weapon's dragon-element value by 50.</t>
  </si>
  <si>
    <t>Mizutsune</t>
  </si>
  <si>
    <t>Increases weapon's dragon-element value by 100.</t>
  </si>
  <si>
    <t>Increases weapon's dragon-element value by 200.</t>
  </si>
  <si>
    <t>Increases weapon's dragon-element value by 350.</t>
  </si>
  <si>
    <t>Increases weapon's dragon-element value by 500.</t>
  </si>
  <si>
    <t>Earplugs</t>
  </si>
  <si>
    <t>Teostra</t>
  </si>
  <si>
    <t>Kaiser</t>
  </si>
  <si>
    <t>Slightly reduces the effects of weak monster roars.</t>
  </si>
  <si>
    <t>Moderately reduces the effects of weak monster roars.</t>
  </si>
  <si>
    <t>Nullifies the effects of weak monster roars, and slightly reduces the effects of strong monster roars.</t>
  </si>
  <si>
    <t>Nullifies the effects of weak monster roars, and moderately reduces the effects of strong monster roars.</t>
  </si>
  <si>
    <t>Aknosom</t>
  </si>
  <si>
    <t>Nullifies the effects of both weak and strong monster roars.</t>
  </si>
  <si>
    <t>Evade Extender</t>
  </si>
  <si>
    <t>Very slightly extends evasion distance.</t>
  </si>
  <si>
    <t>Alloy Vambraces</t>
  </si>
  <si>
    <t>Magnamalo</t>
  </si>
  <si>
    <t>Slightly extends evasion distance.</t>
  </si>
  <si>
    <t>Sinister</t>
  </si>
  <si>
    <t>Moderately extends evasion distance.</t>
  </si>
  <si>
    <t>Greatly extends evasion distance.</t>
  </si>
  <si>
    <t>Massively extends evasion distance.</t>
  </si>
  <si>
    <t>Evading Reload</t>
  </si>
  <si>
    <t>Rajang</t>
  </si>
  <si>
    <t>Golden</t>
  </si>
  <si>
    <t>Grants a 30% chance of phials/ammo being refilled by 1 when evading while equipped with a gunlance, charge blade, light bowgun or heavy bowgun.</t>
  </si>
  <si>
    <t>Grants a 50% chance of phials/ammo being refilled by 1 when evading while equipped with a gunlance, charge blade, light bowgun or heavy bowgun.</t>
  </si>
  <si>
    <t>Grants a 50% chance of phials/ammo being refilled by 2 when evading while equipped with a gunlance, charge blade, light bowgun or heavy bowgun.</t>
  </si>
  <si>
    <t>Nergigante</t>
  </si>
  <si>
    <t>Evasive Concentration</t>
  </si>
  <si>
    <t>Fills Special Gauge by 7% after performing a perfect evade.</t>
  </si>
  <si>
    <t>Fills Special Gauge by 10% after performing a perfect evade.</t>
  </si>
  <si>
    <t>Fills Special Gauge by 12% after performing a perfect evade.</t>
  </si>
  <si>
    <t>Lagombi</t>
  </si>
  <si>
    <t>Fills Special Gauge by 15% after performing a perfect evade.</t>
  </si>
  <si>
    <t>Fills Special Gauge by 20% after performing a perfect evade.</t>
  </si>
  <si>
    <t>Fighting Spirit</t>
  </si>
  <si>
    <t>When the Special Gauge becomes full, damage dealt increases by 10% for 20 seconds.</t>
  </si>
  <si>
    <t>Volvidon</t>
  </si>
  <si>
    <t>When the Special Gauge becomes full, damage dealt increases by 15% for 20 seconds.</t>
  </si>
  <si>
    <t>Alloy Coil</t>
  </si>
  <si>
    <t>When the Special Gauge becomes full, damage dealt increases by 20% for 20 seconds.</t>
  </si>
  <si>
    <t>When the Special Gauge becomes full, damage dealt increases by 25% for 20 seconds.</t>
  </si>
  <si>
    <t>When the Special Gauge becomes full, damage dealt increases by 30% for 20 seconds.</t>
  </si>
  <si>
    <t>Final Shot</t>
  </si>
  <si>
    <t>Increases the damage of the last remaining ammo/phial by 10% when using a gunlance, charge blade, light bowgun or heavy bowgun.</t>
  </si>
  <si>
    <t>Increases the damage of the last remaining ammo/phial by 20% when using a gunlance, charge blade, light bowgun or heavy bowgun.</t>
  </si>
  <si>
    <t>Increases the damage of the last remaining ammo/phial by 35% when using a gunlance, charge blade, light bowgun or heavy bowgun.</t>
  </si>
  <si>
    <t>Somnacanth</t>
  </si>
  <si>
    <t>Increases the damage of the last remaining ammo/phial by 45% when using a gunlance, charge blade, light bowgun or heavy bowgun.</t>
  </si>
  <si>
    <t>Increases the damage of the last remaining ammo/phial by 60% when using a gunlance, charge blade, light bowgun or heavy bowgun.</t>
  </si>
  <si>
    <t>Fire Attack</t>
  </si>
  <si>
    <t>Increases weapon's fire-element value by 50.</t>
  </si>
  <si>
    <t>Tigrex</t>
  </si>
  <si>
    <t>Increases weapon's fire-element value by 100.</t>
  </si>
  <si>
    <t>Increases weapon's fire-element value by 200.</t>
  </si>
  <si>
    <t>Increases weapon's fire-element value by 350.</t>
  </si>
  <si>
    <t>Increases weapon's fire-element value by 500.</t>
  </si>
  <si>
    <t>Brute Tigrex</t>
  </si>
  <si>
    <t>Alloy Greaves</t>
  </si>
  <si>
    <t>Rex Roar</t>
  </si>
  <si>
    <t>Decreases damage from fire-element monsters by 15%.</t>
  </si>
  <si>
    <t>Kirin</t>
  </si>
  <si>
    <t>Decreases damage from fire-element monsters by 30%.</t>
  </si>
  <si>
    <t>Decreases damage from fire-element monsters by 50%.</t>
  </si>
  <si>
    <t>Bazelgeuse</t>
  </si>
  <si>
    <t>Firm Foothold</t>
  </si>
  <si>
    <t>Very slightly reduces knockback when taking damage.</t>
  </si>
  <si>
    <t>Slightly reduces knockback when taking damage.</t>
  </si>
  <si>
    <t>Moderately reduces knockback when taking damage.</t>
  </si>
  <si>
    <t>Chatacabra</t>
  </si>
  <si>
    <t>Focus</t>
  </si>
  <si>
    <t>Shortens charging time for weapons with charge attacks by 5%, and increases the fill rate of the Spirit Gauge by 5%.</t>
  </si>
  <si>
    <t>Shortens charging time for weapons with charge attacks by 10%, and increases the fill rate of the Spirit Gauge by 10%.</t>
  </si>
  <si>
    <t>Thunder Resistance</t>
  </si>
  <si>
    <t>Shortens charging time for weapons with charge attacks by 15%, and increases the fill rate of the Spirit Gauge by 15%.</t>
  </si>
  <si>
    <t>Arzuros</t>
  </si>
  <si>
    <t>Shortens charging time for weapons with charge attacks by 20%, and increases the fill rate of the Spirit Gauge by 20%.</t>
  </si>
  <si>
    <t>Shortens charging time for weapons with charge attacks by 30%, and increases the fill rate of the Spirit Gauge by 30%.</t>
  </si>
  <si>
    <t>Fortify</t>
  </si>
  <si>
    <t>Glavenus</t>
  </si>
  <si>
    <t>Increases attack power by 10% for 10 seconds each time you revive after fainting during a hunt.</t>
  </si>
  <si>
    <t>Jagras Helm</t>
  </si>
  <si>
    <t>Increases attack power by 15% for 10 seconds each time you revive after fainting during a hunt.</t>
  </si>
  <si>
    <t>Jagras Set</t>
  </si>
  <si>
    <t>Increases attack power by 20% for 10 seconds each time you revive after fainting during a hunt.</t>
  </si>
  <si>
    <t>Increases attack power by 30% for 10 seconds each time you revive after fainting during a hunt.</t>
  </si>
  <si>
    <t>Increases attack power by 40% for 10 seconds each time you revive after fainting during a hunt.</t>
  </si>
  <si>
    <t>Chameleos</t>
  </si>
  <si>
    <t>Guard</t>
  </si>
  <si>
    <t>Mizuha</t>
  </si>
  <si>
    <t>Very slightly reduces damage and knockback when guarding against monster attacks.</t>
  </si>
  <si>
    <t>Slightly reduces damage and knockback when guarding against monster attacks.</t>
  </si>
  <si>
    <t>Moderately reduces damage and knockback when guarding against monster attacks.</t>
  </si>
  <si>
    <t>Great Wroggi</t>
  </si>
  <si>
    <t>Greatly reduces damage and knockback when guarding against monster attacks.</t>
  </si>
  <si>
    <t>Wroggi</t>
  </si>
  <si>
    <t>Massively reduces damage and knockback when guarding against monster attacks.</t>
  </si>
  <si>
    <t>Guard Up</t>
  </si>
  <si>
    <t>Bishaten</t>
  </si>
  <si>
    <t>Allows you to guard against attacks that usually cannot be blocked.</t>
  </si>
  <si>
    <t>Guts</t>
  </si>
  <si>
    <t>Up to 1 time per hunt, survive lethal damage taken at 80 health or above.</t>
  </si>
  <si>
    <t>Beotodus</t>
  </si>
  <si>
    <t>Up to 1 time per hunt, survive lethal damage taken at 70 health or above.</t>
  </si>
  <si>
    <t>Up to 1 time per hunt, survive lethal damage taken at 60 health or above.</t>
  </si>
  <si>
    <t>Up to 1 time per hunt, survive lethal damage taken at 50 health or above.</t>
  </si>
  <si>
    <t>Up to 1 time per hunt, survive lethal damage taken at 40 health or above.</t>
  </si>
  <si>
    <t>Health Boost</t>
  </si>
  <si>
    <t>Nargacuga</t>
  </si>
  <si>
    <t>Increases health by 10.</t>
  </si>
  <si>
    <t>Increases health by 20.</t>
  </si>
  <si>
    <t>Increases health by 30.</t>
  </si>
  <si>
    <t>Increases health by 40.</t>
  </si>
  <si>
    <t>Namielle</t>
  </si>
  <si>
    <t>Increases health by 50.</t>
  </si>
  <si>
    <t>Tentacle</t>
  </si>
  <si>
    <t>Jagras Mail</t>
  </si>
  <si>
    <t>Hellfire Cloak</t>
  </si>
  <si>
    <t>Inflict yourself with hellfireblight at the start of a hunt, or when a certain amount of damage is dealt to a monster.</t>
  </si>
  <si>
    <t>Garangolm</t>
  </si>
  <si>
    <t>In addition to the effects of Lv1, decreases your defense by 50 and increases your attack power by 150 while inflicted with hellfireblight</t>
  </si>
  <si>
    <t>In addition to the effects of Lv1, decreases your defense by 100 and increases your attack power by 250 while inflicted with hellfireblight</t>
  </si>
  <si>
    <t>Golm</t>
  </si>
  <si>
    <t>Heroics</t>
  </si>
  <si>
    <t>Lunagaron</t>
  </si>
  <si>
    <t>Increases attack power by 10% when your health drops to 29% or lower.</t>
  </si>
  <si>
    <t>Increases attack power by 20% when your health drops to 29% or lower.</t>
  </si>
  <si>
    <t>Increases attack power by 30% when your health drops to 29% or lower.</t>
  </si>
  <si>
    <t>Increases attack power by 40% when your health drops to 29% or lower.</t>
  </si>
  <si>
    <t>Espinas</t>
  </si>
  <si>
    <t>Increases attack power by 50% when your health drops to 29% or lower.</t>
  </si>
  <si>
    <t>Hunter's Unity</t>
  </si>
  <si>
    <t>Increases attack power relative to the number of fellow hunters with this skill activated.</t>
  </si>
  <si>
    <t>Malzeno</t>
  </si>
  <si>
    <t>Ice Attack</t>
  </si>
  <si>
    <t>Increases weapon's ice-element value by 50.</t>
  </si>
  <si>
    <t>Increases weapon's ice-element value by 100.</t>
  </si>
  <si>
    <t>Increases weapon's ice-element value by 200.</t>
  </si>
  <si>
    <t>Increases weapon's ice-element value by 350.</t>
  </si>
  <si>
    <t>Increases weapon's ice-element value by 500.</t>
  </si>
  <si>
    <t>Decreases damage from ice-element monsters by 15%.</t>
  </si>
  <si>
    <t>Jagras Vambraces</t>
  </si>
  <si>
    <t>Decreases damage from ice-element monsters by 30%.</t>
  </si>
  <si>
    <t>Decreases damage from ice-element monsters by 50%.</t>
  </si>
  <si>
    <t>Kirin Flashstorm</t>
  </si>
  <si>
    <t>Water Resistance</t>
  </si>
  <si>
    <t>Makes it easier to get rid of paralysis and increases thunder element attack power by 10%.</t>
  </si>
  <si>
    <t>Makes it easier to get rid of paralysis and increases thunder element attack power by 15%.</t>
  </si>
  <si>
    <t>Makes it easier to get rid of paralysis and increases thunder element attack power by 20%.</t>
  </si>
  <si>
    <t>Kushala Frostwind</t>
  </si>
  <si>
    <t>Reduces the effects of wind pressure/dragon wind pressure, and increases ice element attack power by 10%.</t>
  </si>
  <si>
    <t>Reduces the effects of wind pressure/dragon wind pressure, and increases ice element attack power by 15%.</t>
  </si>
  <si>
    <t>Reduces the effects of wind pressure/dragon wind pressure, and increases ice element attack power by 25%.</t>
  </si>
  <si>
    <t>Last Stand</t>
  </si>
  <si>
    <t>Increases defense by 50 when your health drops to 29% or lower.</t>
  </si>
  <si>
    <t>Increases defense by 100 when your health drops to 29% or lower.</t>
  </si>
  <si>
    <t>Increases defense by 150 when your health drops to 29% or lower.</t>
  </si>
  <si>
    <t>Increases defense by 200 when your health drops to 29% or lower.</t>
  </si>
  <si>
    <t>Increases defense by 300 when your health drops to 29% or lower.</t>
  </si>
  <si>
    <t>Latent Power</t>
  </si>
  <si>
    <t>Jagras Coil</t>
  </si>
  <si>
    <t>Affinity raised by 20% and Special Gauge fill rate increased by 10% when certain conditions are met.</t>
  </si>
  <si>
    <t>Affinity raised by 30% and Special Gauge fill rate increased by 20% when certain conditions are met.</t>
  </si>
  <si>
    <t>Affinity raised by 40% and Special Gauge fill rate increased by 30% when certain conditions are met.</t>
  </si>
  <si>
    <t>Affinity raised by 50% and Special Gauge fill rate increased by 40% when certain conditions are met.</t>
  </si>
  <si>
    <t>Affinity raised by 60% and Special Gauge fill rate increased by 50% when certain conditions are met.</t>
  </si>
  <si>
    <t>Litheness</t>
  </si>
  <si>
    <t>After evading, the next time damage is received, it is reduced by 20% (up to 3 times per hunt).</t>
  </si>
  <si>
    <t>After evading, the next time damage is received, it is reduced by 25% (up to 3 times per hunt).</t>
  </si>
  <si>
    <t>Poison Resistance</t>
  </si>
  <si>
    <t>After evading, the next time damage is received, it is reduced by 30% (up to 3 times per hunt).</t>
  </si>
  <si>
    <t>Lock On</t>
  </si>
  <si>
    <t>Displays a lock-on button while hunting with a close-range weapon, allowing a specific monster body part to be targeted.</t>
  </si>
  <si>
    <t>Morph Boost</t>
  </si>
  <si>
    <t>Increases damage by 5% for 10 seconds after morphing a switch axe or charge blade</t>
  </si>
  <si>
    <t>Increases damage by 10% for 10 seconds after morphing a switch axe or charge blade</t>
  </si>
  <si>
    <t>Increases damage by 15% for 10 seconds after morphing a switch axe or charge blade</t>
  </si>
  <si>
    <t>Increases damage by 20% for 10 seconds after morphing a switch axe or charge blade</t>
  </si>
  <si>
    <t>Jagras Greaves</t>
  </si>
  <si>
    <t>Increases damage by 25% for 10 seconds after morphing a switch axe or charge blade</t>
  </si>
  <si>
    <t>MrBeast Challenge!</t>
  </si>
  <si>
    <t>Great things will happen after using certain attacks!</t>
  </si>
  <si>
    <t>Namielle Electrowave</t>
  </si>
  <si>
    <t>Reduces damage received from thunder element monsters by 10% and increases your weapon's water element value by 10%.</t>
  </si>
  <si>
    <t>Reduces damage received from thunder element monsters by 10% and increases your weapon's water element value by 15%.</t>
  </si>
  <si>
    <t>Reduces damage received from thunder element monsters by 10% and increases your weapon's water element value by 25%.</t>
  </si>
  <si>
    <t>Nergigante Avidity</t>
  </si>
  <si>
    <t>Damage increased by 10%, but Special Gauge will no longer fill when attacking.</t>
  </si>
  <si>
    <t>Damage increased by 15%, but Special Gauge will no longer fill when attacking.</t>
  </si>
  <si>
    <t>Damage increased by 20%, but Special Gauge will no longer fill when attacking.</t>
  </si>
  <si>
    <t>Paralysis Resistance</t>
  </si>
  <si>
    <t>Offensive Dodger</t>
  </si>
  <si>
    <t>Increases damage by 10% for 15 seconds after performing a perfect evade.</t>
  </si>
  <si>
    <t>Increases damage by 15% for 15 seconds after performing a perfect evade.</t>
  </si>
  <si>
    <t>Increases damage by 20% for 15 seconds after performing a perfect evade.</t>
  </si>
  <si>
    <t>Increases damage by 25% for 15 seconds after performing a perfect evade.</t>
  </si>
  <si>
    <t>Kulu Headpiece</t>
  </si>
  <si>
    <t>Increases damage by 35% for 15 seconds after performing a perfect evade.</t>
  </si>
  <si>
    <t>Kulu Set</t>
  </si>
  <si>
    <t>Offensive Guard</t>
  </si>
  <si>
    <t>Headpiece</t>
  </si>
  <si>
    <t>Increases attack power by 10% for 10 seconds after executing a well-timed guard.</t>
  </si>
  <si>
    <t>Increases attack power by 15% for 10 seconds after executing a well-timed guard.</t>
  </si>
  <si>
    <t>Increases attack power by 20% for 10 seconds after executing a well-timed guard.</t>
  </si>
  <si>
    <t>Increases attack power by 30% for 10 seconds after executing a well-timed guard.</t>
  </si>
  <si>
    <t>Increases attack power by 40% for 10 seconds after executing a well-timed guard.</t>
  </si>
  <si>
    <t>Paralysis Attack</t>
  </si>
  <si>
    <t>Increases weapon's paralysis buildup value by 50.</t>
  </si>
  <si>
    <t>Increases weapon's paralysis buildup value by 75.</t>
  </si>
  <si>
    <t>Increases weapon's paralysis buildup value by 100.</t>
  </si>
  <si>
    <t>Increases weapon's paralysis buildup value by 125.</t>
  </si>
  <si>
    <t>Increases weapon's paralysis buildup value by 150.</t>
  </si>
  <si>
    <t>Paralysis Exploit</t>
  </si>
  <si>
    <t>Kulu Mail</t>
  </si>
  <si>
    <t>Increases damage to paralyzed monsters by 50%.</t>
  </si>
  <si>
    <t>Increases damage to paralyzed monsters by 75%.</t>
  </si>
  <si>
    <t>Increases damage to paralyzed monsters by 100%.</t>
  </si>
  <si>
    <t>Increases damage to paralyzed monsters by 130%.</t>
  </si>
  <si>
    <t>Increases damage to paralyzed monsters by 160%.</t>
  </si>
  <si>
    <t>Grants a 30% chance of preventing paralysis status when damaged by a paralysis-element attack.</t>
  </si>
  <si>
    <t>Grants a 60% chance of preventing paralysis status when damaged by a paralysis-element attack.</t>
  </si>
  <si>
    <t>Prevents paralysis.</t>
  </si>
  <si>
    <t>Partbreaker</t>
  </si>
  <si>
    <t>Increases part damage accumulated on breakable parts by 5%.</t>
  </si>
  <si>
    <t>Increases part damage accumulated on breakable parts by 10%.</t>
  </si>
  <si>
    <t>Tremor Resistance</t>
  </si>
  <si>
    <t>Increases part damage accumulated on breakable parts by 20%.</t>
  </si>
  <si>
    <t>Increases part damage accumulated on breakable parts by 30%.</t>
  </si>
  <si>
    <t>Increases part damage accumulated on breakable parts by 40%.</t>
  </si>
  <si>
    <t>Peak Performance</t>
  </si>
  <si>
    <t>Increases attack power by 100 when your health is full.</t>
  </si>
  <si>
    <t>Increases attack power by 200 when your health is full.</t>
  </si>
  <si>
    <t>Increases attack power by 300 when your health is full.</t>
  </si>
  <si>
    <t>Increases attack power by 400 when your health is full.</t>
  </si>
  <si>
    <t>Increases attack power by 500 when your health is full.</t>
  </si>
  <si>
    <t>Poison Attack</t>
  </si>
  <si>
    <t>Kulu Vambraces</t>
  </si>
  <si>
    <t>Increases weapon's poison buildup value by 50.</t>
  </si>
  <si>
    <t>Increases weapon's poison buildup value by 75.</t>
  </si>
  <si>
    <t>Increases weapon's poison buildup value by 100.</t>
  </si>
  <si>
    <t>Increases weapon's poison buildup value by 125.</t>
  </si>
  <si>
    <t>Increases weapon's poison buildup value by 150.</t>
  </si>
  <si>
    <t>Poison Exploit</t>
  </si>
  <si>
    <t>Damage against monsters inflicted with poison increases by 30%.</t>
  </si>
  <si>
    <t>Damage against monsters inflicted with poison increases by 45%.</t>
  </si>
  <si>
    <t>Damage against monsters inflicted with poison increases by 60%.</t>
  </si>
  <si>
    <t>Damage against monsters inflicted with poison increases by 80%.</t>
  </si>
  <si>
    <t>Damage against monsters inflicted with poison increases by 100%.</t>
  </si>
  <si>
    <t>Grants a 30% chance of preventing poison status when damaged by a poison-element attack.</t>
  </si>
  <si>
    <t>Grants a 60% chance of preventing poison status when damaged by a poison-element attack.</t>
  </si>
  <si>
    <t>Prevents poisoning.</t>
  </si>
  <si>
    <t>Power Prolonger</t>
  </si>
  <si>
    <t>Ever so slightly extends the duration of the powered-up state granted by dual blades, long swords, hunting horns, gunlances, switch axes and charge blades.</t>
  </si>
  <si>
    <t>Slightly extends the duration of the powered-up state granted by dual blades, long swords, hunting horns, gunlances, switch axes and charge blades.</t>
  </si>
  <si>
    <t>Moderately extends the duration of the powered-up state granted by dual blades, long swords, hunting horns, gunlances, switch axes and charge blades.</t>
  </si>
  <si>
    <t>Greatly extends the duration of the powered-up state granted by dual blades, long swords, hunting horns, gunlances, switch axes and charge blades.</t>
  </si>
  <si>
    <t>Massively extends the duration of the powered-up state granted by dual blades, long swords, hunting horns, gunlances, switch axes and charge blades.</t>
  </si>
  <si>
    <t>Pursuit</t>
  </si>
  <si>
    <t>Increases damage dealt to a monster with a broken body part by 10%.</t>
  </si>
  <si>
    <t>Increases damage dealt to a monster with a broken body part by 15%.</t>
  </si>
  <si>
    <t>Increases damage dealt to a monster with a broken body part by 20%.</t>
  </si>
  <si>
    <t>Increases damage dealt to a monster with a broken body part by 30%.</t>
  </si>
  <si>
    <t>Increases damage dealt to a monster with a broken body part by 45%.</t>
  </si>
  <si>
    <t>Quick Work</t>
  </si>
  <si>
    <t>Ever so slightly increases the speed of actions that involve sheathing or transforming your weapon.</t>
  </si>
  <si>
    <t>Slightly increases the speed of actions that involve sheathing or transforming your weapon.</t>
  </si>
  <si>
    <t>Significantly increases the speed of actions that involve sheathing or transforming your weapon.</t>
  </si>
  <si>
    <t>Kulu Coil</t>
  </si>
  <si>
    <t>Raw Power</t>
  </si>
  <si>
    <t>Affinity decreases by 5%, but attack power increases by 100.</t>
  </si>
  <si>
    <t>Affinity decreases by 10%, but attack power increases by 200.</t>
  </si>
  <si>
    <t>Affinity decreases by 15%, but attack power increases by 300.</t>
  </si>
  <si>
    <t>Affinity decreases by 20%, but attack power increases by 400.</t>
  </si>
  <si>
    <t>Affinity decreases by 30%, but attack power increases by 500.</t>
  </si>
  <si>
    <t>Reckless</t>
  </si>
  <si>
    <t>Increases damage by 5%, but makes you unable to perform perfect evades.</t>
  </si>
  <si>
    <t>Increases damage by 10%, but makes you unable to perform perfect evades.</t>
  </si>
  <si>
    <t>Increases damage by 20%, but makes you unable to perform perfect evades.</t>
  </si>
  <si>
    <t>Recoil Down</t>
  </si>
  <si>
    <t>Slightly reduces bowgun recoil.</t>
  </si>
  <si>
    <t>Moderately reduces bowgun recoil.</t>
  </si>
  <si>
    <t>Greatly reduces bowgun recoil.</t>
  </si>
  <si>
    <t>Kulu Greaves</t>
  </si>
  <si>
    <t>Reload Speed</t>
  </si>
  <si>
    <t>Slightly reduces reload time for bowguns.</t>
  </si>
  <si>
    <t>Moderately reduces reload time for bowguns.</t>
  </si>
  <si>
    <t>Greatly reduces reload time for bowguns.</t>
  </si>
  <si>
    <t>Windproof</t>
  </si>
  <si>
    <t>Resentment</t>
  </si>
  <si>
    <t>When taking damage, attack power is increased by 10% for 15 seconds.</t>
  </si>
  <si>
    <t>When taking damage, attack power is increased by 15% for 15 seconds.</t>
  </si>
  <si>
    <t>When taking damage, attack power is increased by 20% for 15 seconds.</t>
  </si>
  <si>
    <t>When taking damage, attack power is increased by 30% for 15 seconds.</t>
  </si>
  <si>
    <t>When taking damage, attack power is increased by 40% for 15 seconds.</t>
  </si>
  <si>
    <t>Resuscitate</t>
  </si>
  <si>
    <t>Increases damage by 5% when you are suffering from a status ailment.</t>
  </si>
  <si>
    <t>Increases damage by 10% when you are suffering from a status ailment.</t>
  </si>
  <si>
    <t>Increases damage by 20% when you are suffering from a status ailment.</t>
  </si>
  <si>
    <t>Pukei Hood</t>
  </si>
  <si>
    <t>Increases damage by 30% when you are suffering from a status ailment.</t>
  </si>
  <si>
    <t>Pukei Set</t>
  </si>
  <si>
    <t>Increases damage by 40% when you are suffering from a status ailment.</t>
  </si>
  <si>
    <t>Rising Tide</t>
  </si>
  <si>
    <t>Very slightly increases attack power and defense as the hunt timer runs out.</t>
  </si>
  <si>
    <t>Slightly increases attack power and defense as the hunt timer runs out.</t>
  </si>
  <si>
    <t>Moderately increases attack power and defense as the hunt timer runs out.</t>
  </si>
  <si>
    <t>Greatly increases attack power and defense as the hunt timer runs out.</t>
  </si>
  <si>
    <t>Massively increases attack power and defense as the hunt timer runs out.</t>
  </si>
  <si>
    <t>Rude Awakener</t>
  </si>
  <si>
    <t>Slightly increases the damage of the first attack dealt to sleeping monsters.</t>
  </si>
  <si>
    <t>Moderately increases the damage of the first attack dealt to sleeping monsters.</t>
  </si>
  <si>
    <t>Greatly increases the damage of the first attack dealt to sleeping monsters.</t>
  </si>
  <si>
    <t>Shared Shield</t>
  </si>
  <si>
    <t>Increases defense by 30 during a group hunt.</t>
  </si>
  <si>
    <t>Increases defense by 60 during a group hunt.</t>
  </si>
  <si>
    <t>Pukei Mail</t>
  </si>
  <si>
    <t>Increases defense by 90 during a group hunt.</t>
  </si>
  <si>
    <t>Increases defense by 120 during a group hunt.</t>
  </si>
  <si>
    <t>Increases defense by 150 during a group hunt.</t>
  </si>
  <si>
    <t>Shared Sword</t>
  </si>
  <si>
    <t>Increases attack power by 80 during a group hunt.</t>
  </si>
  <si>
    <t>Increases attack power by 160 during a group hunt.</t>
  </si>
  <si>
    <t>Increases attack power by 240 during a group hunt.</t>
  </si>
  <si>
    <t>Increases attack power by 320 during a group hunt.</t>
  </si>
  <si>
    <t>Increases attack power by 400 during a group hunt.</t>
  </si>
  <si>
    <t>Skyward Striker</t>
  </si>
  <si>
    <t>Increases the damage of aerial attacks by 15%.</t>
  </si>
  <si>
    <t>Increases the damage of aerial attacks by 20%.</t>
  </si>
  <si>
    <t>Increases the damage of aerial attacks by 25%.</t>
  </si>
  <si>
    <t>Increases the damage of aerial attacks by 30%.</t>
  </si>
  <si>
    <t>Increases the damage of aerial attacks by 40%.</t>
  </si>
  <si>
    <t>Pukei Vambraces</t>
  </si>
  <si>
    <t>Sleep Attack</t>
  </si>
  <si>
    <t>Increases weapon's sleep buildup value by 50.</t>
  </si>
  <si>
    <t>Increases weapon's sleep buildup value by 75.</t>
  </si>
  <si>
    <t>Increases weapon's sleep buildup value by 100.</t>
  </si>
  <si>
    <t>Increases weapon's sleep buildup value by 125.</t>
  </si>
  <si>
    <t>Increases weapon's sleep buildup value by 150.</t>
  </si>
  <si>
    <t>Sleep Resistance</t>
  </si>
  <si>
    <t>30% chance of preventing sleep status when damaged by a sleep element attack.</t>
  </si>
  <si>
    <t>60% chance of preventing sleep status when damaged by a sleep element attack.</t>
  </si>
  <si>
    <t>Prevents sleep status.</t>
  </si>
  <si>
    <t>Slugger</t>
  </si>
  <si>
    <t>Increases stun power by 10%.</t>
  </si>
  <si>
    <t>Increases stun power by 15%.</t>
  </si>
  <si>
    <t>Pukei Coil</t>
  </si>
  <si>
    <t>Increases stun power by 20%.</t>
  </si>
  <si>
    <t>Increases stun power by 25%.</t>
  </si>
  <si>
    <t>Increases stun power by 30%.</t>
  </si>
  <si>
    <t>Sneak Attack</t>
  </si>
  <si>
    <t>Increases damage by 10% when attacking a monster from behind.</t>
  </si>
  <si>
    <t>Increases damage by 15% when attacking a monster from behind.</t>
  </si>
  <si>
    <t>Steel Knife</t>
  </si>
  <si>
    <t>Increases damage by 20% when attacking a monster from behind.</t>
  </si>
  <si>
    <t>Increases damage by 25% when attacking a monster from behind.</t>
  </si>
  <si>
    <t>Weapon</t>
  </si>
  <si>
    <t>Water Attack</t>
  </si>
  <si>
    <t>Increases damage by 30% when attacking a monster from behind.</t>
  </si>
  <si>
    <t>Sword &amp; Shield</t>
  </si>
  <si>
    <t>Solidarity (Halloween)</t>
  </si>
  <si>
    <t>Increases attack power relative to the number of fellow hunters with this skill activated. *If active during the Halloween event, the effect is multiplied by 5.</t>
  </si>
  <si>
    <t>Special Boost</t>
  </si>
  <si>
    <t>Increases the damage of Special Skills by 10%.</t>
  </si>
  <si>
    <t>Pukei Greaves</t>
  </si>
  <si>
    <t>Increases the damage of Special Skills by 15%.</t>
  </si>
  <si>
    <t>Increases the damage of Special Skills by 20%.</t>
  </si>
  <si>
    <t>Increases the damage of Special Skills by 25%.</t>
  </si>
  <si>
    <t>Increases the damage of Special Skills by 30%.</t>
  </si>
  <si>
    <t>Special Insurance</t>
  </si>
  <si>
    <t>Special Gauge can no longer be stolen, and is  no longer reduced when fainting during a hunt.</t>
  </si>
  <si>
    <t>Special Gauge can no longer be stolen, and fills by 10% when fainting during a hunt.</t>
  </si>
  <si>
    <t>Special Gauge can no longer be stolen, and fills by 20% when fainting during a hunt.</t>
  </si>
  <si>
    <t>Special Gauge can no longer be stolen, and fills by 30% when fainting during a hunt.</t>
  </si>
  <si>
    <t>Special Gauge can no longer be stolen, and fills by 40% when fainting during a hunt.</t>
  </si>
  <si>
    <t>Special Partbreaker</t>
  </si>
  <si>
    <t>Pukei Lagoon Hat</t>
  </si>
  <si>
    <t>Coral Pukei Set</t>
  </si>
  <si>
    <t>Increases accumulated dmage upon breakable parts when using Special Skills by 20%, and fills Special Gauge by 5% each time a body part is broken.</t>
  </si>
  <si>
    <t>Increases accumulated dmage upon breakable parts when using Special Skills by 50%, and fills Special Gauge by 10% each time a body part is broken.</t>
  </si>
  <si>
    <t>Hunter's Knife</t>
  </si>
  <si>
    <t>Increases accumulated dmage upon breakable parts when using Special Skills by 80%, and fills Special Gauge by 15% each time a body part is broken.</t>
  </si>
  <si>
    <t>Increases accumulated dmage upon breakable parts when using Special Skills by 120%, and fills Special Gauge by 20% each time a body part is broken.</t>
  </si>
  <si>
    <t>Increases accumulated dmage upon breakable parts when using Special Skills by 160%, and fills Special Gauge by 30% each time a body part is broken.</t>
  </si>
  <si>
    <t>Status Sneak Attack</t>
  </si>
  <si>
    <t>Make it ever so slightly more probable to inflict status ailment buildup when attacking a monster from behind.</t>
  </si>
  <si>
    <t>Make it slightly more probable to inflict status ailment buildup when attacking a monster from behind.</t>
  </si>
  <si>
    <t>Make it moderately more probable to inflict status ailment buildup when attacking a monster from behind.</t>
  </si>
  <si>
    <t>Make it significantly more probable to inflict status ailment buildup when attacking a monster from behind.</t>
  </si>
  <si>
    <t>Guaranteed to inflict status ailment buildup when attacking a monster from behind.</t>
  </si>
  <si>
    <t>Teostra Blastpowder</t>
  </si>
  <si>
    <t>Makes it easier to rid yourself of blastblight and slightly easier to inflict blast buildup on monsters.</t>
  </si>
  <si>
    <t>Pukei Lagoon Mail</t>
  </si>
  <si>
    <t>Makes it easier to rid yourself of blastblight and moderately easier to inflict blast buildup on monsters.</t>
  </si>
  <si>
    <t>Makes it easier to rid yourself of blastblight and significantly easier to inflict blast buildup on monsters.</t>
  </si>
  <si>
    <t>Thunder Attack</t>
  </si>
  <si>
    <t>Increases weapon's thunder-element value by 50.</t>
  </si>
  <si>
    <t>Increases weapon's thunder-element value by 100.</t>
  </si>
  <si>
    <t>Increases weapon's thunder-element value by 200.</t>
  </si>
  <si>
    <t>Increases weapon's thunder-element value by 350.</t>
  </si>
  <si>
    <t>Increases weapon's thunder-element value by 500.</t>
  </si>
  <si>
    <t>Decreases damage from thunder-element monsters by 15%.</t>
  </si>
  <si>
    <t>Decreases damage from thunder-element monsters by 30%.</t>
  </si>
  <si>
    <t>Decreases damage from thunder-element monsters by 50%.</t>
  </si>
  <si>
    <t>Negates minor ground tremors.</t>
  </si>
  <si>
    <t>Pukei Lagoon Vambraces</t>
  </si>
  <si>
    <t>Negates minor ground tremors and reduces the effects of major ground tremors.</t>
  </si>
  <si>
    <t>Negates minor and major ground tremors.</t>
  </si>
  <si>
    <t>Valor</t>
  </si>
  <si>
    <t>Increases attack power by 400 and fills Special Gauge by 50% when a monster roars (up to 1 time per hunt).</t>
  </si>
  <si>
    <t>Increases attack power by 550 and fills Special Gauge by 60% when a monster roars (up to 1 time per hunt).</t>
  </si>
  <si>
    <t>Increases attack power by 700 and fills Special Gauge by 70% when a monster roars (up to 1 time per hunt).</t>
  </si>
  <si>
    <t>Increases attack power by 850 and fills Special Gauge by 80% when a monster roars (up to 1 time per hunt).</t>
  </si>
  <si>
    <t>Increases attack power by 1000 and fills Special Gauge by 100% when a monster roars (up to 1 time per hunt).</t>
  </si>
  <si>
    <t>Vital Fire</t>
  </si>
  <si>
    <t>Increases weapon's fire element value by 2x your remaining health.</t>
  </si>
  <si>
    <t>Increases weapon's fire element value by 4x your remaining health.</t>
  </si>
  <si>
    <t>Increases weapon's fire element value by 8x your remaining health.</t>
  </si>
  <si>
    <t>Jagras Garotte</t>
  </si>
  <si>
    <t>Vital Ice</t>
  </si>
  <si>
    <t>Increases weapon's ice element value by 2x your remaining health.</t>
  </si>
  <si>
    <t>Increases weapon's ice element value by 4x your remaining health.</t>
  </si>
  <si>
    <t>Increases weapon's ice element value by 8x your remaining health.</t>
  </si>
  <si>
    <t>Pukei Lagoon Coil</t>
  </si>
  <si>
    <t>Vital Thunder</t>
  </si>
  <si>
    <t>Increases weapon's thunder element value by 2x your remaining health.</t>
  </si>
  <si>
    <t>Increases weapon's thunder element value by 4x your remaining health.</t>
  </si>
  <si>
    <t>Increases weapon's thunder element value by 8x your remaining health.</t>
  </si>
  <si>
    <t>Increases weapon's water-element value by 50.</t>
  </si>
  <si>
    <t>Increases weapon's water-element value by 100.</t>
  </si>
  <si>
    <t>Increases weapon's water-element value by 200.</t>
  </si>
  <si>
    <t>Increases weapon's water-element value by 350.</t>
  </si>
  <si>
    <t>Increases weapon's water-element value by 500.</t>
  </si>
  <si>
    <t>Jagras Edge</t>
  </si>
  <si>
    <t>Decreases damage from water-element monsters by 15%.</t>
  </si>
  <si>
    <t>Decreases damage from water-element monsters by 30%.</t>
  </si>
  <si>
    <t>Decreases damage from water-element monsters by 50%.</t>
  </si>
  <si>
    <t>Weakness Exploit</t>
  </si>
  <si>
    <t>Increases affinity by 20% when attacking a monster's weak spot.</t>
  </si>
  <si>
    <t>Increases affinity by 25% when attacking a monster's weak spot.</t>
  </si>
  <si>
    <t>Increases affinity by 30% when attacking a monster's weak spot.</t>
  </si>
  <si>
    <t>Pukei Lagoon Greaves</t>
  </si>
  <si>
    <t>Increases affinity by 40% when attacking a monster's weak spot.</t>
  </si>
  <si>
    <t>Increases affinity by 50% when attacking a monster's weak spot.</t>
  </si>
  <si>
    <t>Slightly reduces the effects of minor wind pressure.</t>
  </si>
  <si>
    <t>Reduces the effects of minor wind pressure.</t>
  </si>
  <si>
    <t>Negates minor wind pressure and slightly reduces the effects of major wind pressure.</t>
  </si>
  <si>
    <t>Negates minor wind pressure and reduces the effects of major wind pressure.</t>
  </si>
  <si>
    <t>Negates minor and major wind pressure.</t>
  </si>
  <si>
    <t>Vital Dragon</t>
  </si>
  <si>
    <t>Increases weapon's dragon element value by 2x your remaining health.</t>
  </si>
  <si>
    <t>Increases weapon's dragon element value by 4x your remaining health.</t>
  </si>
  <si>
    <t>Increases weapon's dragon element value by 8x your remaining health.</t>
  </si>
  <si>
    <t>Eggsplosive</t>
  </si>
  <si>
    <t>Barroth Helm</t>
  </si>
  <si>
    <t>Whenever you activate Element Boost, your shield will begin to glow, powering up your phials' explosions.</t>
  </si>
  <si>
    <t>Barroth Set</t>
  </si>
  <si>
    <t>Malzeno Crimsonblood</t>
  </si>
  <si>
    <t>Reduces damage received from dragon element monsters by 10% and increases your weapon's dragon element value by 10%.</t>
  </si>
  <si>
    <t>Reduces damage received from dragon element monsters by 10% and increases your weapon's dragon element value by 15%.</t>
  </si>
  <si>
    <t>Reduces damage received from dragon element monsters by 10% and increases your weapon's dragon element value by 25%.</t>
  </si>
  <si>
    <t>Blood Cloak</t>
  </si>
  <si>
    <t>Inflict yourself with bloodblight at the start of a hunt, or when a certain amount of damage is dealt to a monster.</t>
  </si>
  <si>
    <t>In addition to the effects of Lv1, increases health by 5 when first being afflicted with bloodblight, and increases damage by 5% whenever suffering from bloodblight.</t>
  </si>
  <si>
    <t>In addition to the effects of Lv1, increases health by 15 when first being afflicted with bloodblight, and increases damage by 10% whenever suffering from bloodblight.</t>
  </si>
  <si>
    <t>Sweltering Summer 2025</t>
  </si>
  <si>
    <t>Increases weapon's fire element value by 10.</t>
  </si>
  <si>
    <t>Increases weapon's fire element value by 20.</t>
  </si>
  <si>
    <t>Increases weapon's fire element value by 50.</t>
  </si>
  <si>
    <t>Barroth Mail</t>
  </si>
  <si>
    <t>Super Swimmer 2025</t>
  </si>
  <si>
    <t>Equipping 1 piece of the Swimmer Set significantly reduces bowgun reload time.
Equipping 2 pieces significantly reduces recoil when firing.
Equipping 3 pieces increases your ammo capacity.</t>
  </si>
  <si>
    <t>Datura Blossom</t>
  </si>
  <si>
    <t>Barroth Vambraces</t>
  </si>
  <si>
    <t>Blooming Knife</t>
  </si>
  <si>
    <t>Barroth Coil</t>
  </si>
  <si>
    <t>Barroth Greaves</t>
  </si>
  <si>
    <t>Laguna Blossom</t>
  </si>
  <si>
    <t>Girros Mask</t>
  </si>
  <si>
    <t>Girros Set</t>
  </si>
  <si>
    <t>Girros Mail</t>
  </si>
  <si>
    <t>Barroth Club</t>
  </si>
  <si>
    <t>Carapace Edge</t>
  </si>
  <si>
    <t>Girros Vambraces</t>
  </si>
  <si>
    <t>Girros Coil</t>
  </si>
  <si>
    <t>Malady's Tabar</t>
  </si>
  <si>
    <t>Girros Knife</t>
  </si>
  <si>
    <t>Girros Greaves</t>
  </si>
  <si>
    <t>Kadachi Helm</t>
  </si>
  <si>
    <t>Kadachi Set</t>
  </si>
  <si>
    <t>Lightning Nemesis</t>
  </si>
  <si>
    <t>Thunder Edge</t>
  </si>
  <si>
    <t>Kadachi Mail</t>
  </si>
  <si>
    <t>Kadachi Vambraces</t>
  </si>
  <si>
    <t>Lumu Tabar</t>
  </si>
  <si>
    <t>Paolumu Set</t>
  </si>
  <si>
    <t>Lumu Knife</t>
  </si>
  <si>
    <t>Kadachi Coil</t>
  </si>
  <si>
    <t>Kadachi Greaves</t>
  </si>
  <si>
    <t>Nyx Tabar</t>
  </si>
  <si>
    <t>Nightshade Paolumu Set</t>
  </si>
  <si>
    <t>Lumu Hat</t>
  </si>
  <si>
    <t>Hat</t>
  </si>
  <si>
    <t>Lumu Mail</t>
  </si>
  <si>
    <t>Rogue Wave</t>
  </si>
  <si>
    <t>Jyuratodus Set</t>
  </si>
  <si>
    <t>Lumu Vambraces</t>
  </si>
  <si>
    <t>Aqua Messer</t>
  </si>
  <si>
    <t>Lumu Coil</t>
  </si>
  <si>
    <t>Flammensucher</t>
  </si>
  <si>
    <t>Anjanath Set</t>
  </si>
  <si>
    <t>Lumu Greaves</t>
  </si>
  <si>
    <t>Blazing Edge</t>
  </si>
  <si>
    <t>Lumu Phantasm Hood</t>
  </si>
  <si>
    <t>Hood</t>
  </si>
  <si>
    <t>Donnersieger</t>
  </si>
  <si>
    <t>Fulgur Set</t>
  </si>
  <si>
    <t>Lumu Phantasm Mail</t>
  </si>
  <si>
    <t>Lumu Phantasm Arms</t>
  </si>
  <si>
    <t>Arms</t>
  </si>
  <si>
    <t>Queen Rapier</t>
  </si>
  <si>
    <t>Rathian Set</t>
  </si>
  <si>
    <t>Lumu Phantasm Coil</t>
  </si>
  <si>
    <t>Princess Rapier</t>
  </si>
  <si>
    <t>Lumu Phantasm Greaves</t>
  </si>
  <si>
    <t>Royal Rose</t>
  </si>
  <si>
    <t>Pink Rathian Set</t>
  </si>
  <si>
    <t>Jyura Helm</t>
  </si>
  <si>
    <t>Queen Rose</t>
  </si>
  <si>
    <t>Jyura Mail</t>
  </si>
  <si>
    <t>Lunatic Rose</t>
  </si>
  <si>
    <t>Golden Lune Set</t>
  </si>
  <si>
    <t>Jyura Vambraces</t>
  </si>
  <si>
    <t>Jyura Coil</t>
  </si>
  <si>
    <t>Rimespire</t>
  </si>
  <si>
    <t>Legiana Set</t>
  </si>
  <si>
    <t>Jyura Greaves</t>
  </si>
  <si>
    <t>Glacial Grace</t>
  </si>
  <si>
    <t>Anja Helm</t>
  </si>
  <si>
    <t>Diablos Set</t>
  </si>
  <si>
    <t>Anja Mail</t>
  </si>
  <si>
    <t>Anja Vambraces</t>
  </si>
  <si>
    <t>Black Diablos Set</t>
  </si>
  <si>
    <t>Anja Coil</t>
  </si>
  <si>
    <t>Anja Greaves</t>
  </si>
  <si>
    <t>Heat Edge</t>
  </si>
  <si>
    <t>Rathalos Set</t>
  </si>
  <si>
    <t>Fulgur Helm</t>
  </si>
  <si>
    <t>Flame Knife</t>
  </si>
  <si>
    <t>Blue Corona</t>
  </si>
  <si>
    <t>Azure Rathalos Set</t>
  </si>
  <si>
    <t>Fulgur Mail</t>
  </si>
  <si>
    <t>Fulgur Vambraces</t>
  </si>
  <si>
    <t>Platinum Dawn</t>
  </si>
  <si>
    <t>Silver Sol Set</t>
  </si>
  <si>
    <t>Fulgur Coil</t>
  </si>
  <si>
    <t>Baan Claw</t>
  </si>
  <si>
    <t>Radobaan Set</t>
  </si>
  <si>
    <t>Spiked Edge</t>
  </si>
  <si>
    <t>Fulgur Greaves</t>
  </si>
  <si>
    <t>Banbaro Set</t>
  </si>
  <si>
    <t>Rathian Helm</t>
  </si>
  <si>
    <t>Icicle Spike+</t>
  </si>
  <si>
    <t>Barioth Set</t>
  </si>
  <si>
    <t>Icicle Spike</t>
  </si>
  <si>
    <t>Rathian Mail</t>
  </si>
  <si>
    <t>Despot's Crookbolt</t>
  </si>
  <si>
    <t>Zinogre Set</t>
  </si>
  <si>
    <t>Rathian Vambraces</t>
  </si>
  <si>
    <t>Usurper's Firebolt</t>
  </si>
  <si>
    <t>Tzitzi Set</t>
  </si>
  <si>
    <t>Rathian Coil</t>
  </si>
  <si>
    <t>Rathian Greaves</t>
  </si>
  <si>
    <t>Odogaron Set</t>
  </si>
  <si>
    <t>Rath Heart Helm</t>
  </si>
  <si>
    <t>Rath Heart Mail</t>
  </si>
  <si>
    <t>Death Garon Set</t>
  </si>
  <si>
    <t>Rath Heart Braces</t>
  </si>
  <si>
    <t>Braces</t>
  </si>
  <si>
    <t>Rath Heart Coil</t>
  </si>
  <si>
    <t>Fatal Bite</t>
  </si>
  <si>
    <t>Deviljho Set</t>
  </si>
  <si>
    <t>Rath Heart Greaves</t>
  </si>
  <si>
    <t>Fatal jho</t>
  </si>
  <si>
    <t>Golden Lunehelm</t>
  </si>
  <si>
    <t>Basarios Set</t>
  </si>
  <si>
    <t>Golden Lunemail</t>
  </si>
  <si>
    <t>Golden Lunebraces</t>
  </si>
  <si>
    <t>Painful Razor</t>
  </si>
  <si>
    <t>Khezu Set</t>
  </si>
  <si>
    <t>Golden Lunecoil</t>
  </si>
  <si>
    <t>Khezu Razor</t>
  </si>
  <si>
    <t>Golden Lunegreaves</t>
  </si>
  <si>
    <t>Daora's Razor</t>
  </si>
  <si>
    <t>Kushala Set</t>
  </si>
  <si>
    <t>Legiana Helm</t>
  </si>
  <si>
    <t>Legiana Mail</t>
  </si>
  <si>
    <t>Legiana Vambraces</t>
  </si>
  <si>
    <t>Kurenawi Ougi</t>
  </si>
  <si>
    <t>Mizutsune Set</t>
  </si>
  <si>
    <t>Legiana Coil</t>
  </si>
  <si>
    <t>Hana no Nagoriwo</t>
  </si>
  <si>
    <t>Legiana Greaves</t>
  </si>
  <si>
    <t>Diablos Helm</t>
  </si>
  <si>
    <t>Teostra's Emblem</t>
  </si>
  <si>
    <t>Kaiser Set</t>
  </si>
  <si>
    <t>Diablos Mail</t>
  </si>
  <si>
    <t>Diablos Vambraces</t>
  </si>
  <si>
    <t>Diablos Coil</t>
  </si>
  <si>
    <t>Aknosom Set</t>
  </si>
  <si>
    <t>Diablos Greaves</t>
  </si>
  <si>
    <t>Diablos Nero Helm</t>
  </si>
  <si>
    <t>Sinister Shadekeeper</t>
  </si>
  <si>
    <t>Sinister Set</t>
  </si>
  <si>
    <t>Sinister Sword</t>
  </si>
  <si>
    <t>Diablos Nero Mail</t>
  </si>
  <si>
    <t>Banned Rajang Club</t>
  </si>
  <si>
    <t>Golden Set</t>
  </si>
  <si>
    <t>Diablos Nero Braces</t>
  </si>
  <si>
    <t>Rajang Club</t>
  </si>
  <si>
    <t>Diablos Nero Coil</t>
  </si>
  <si>
    <t>Eradication Vanguard</t>
  </si>
  <si>
    <t>Diablos Nero Greaves</t>
  </si>
  <si>
    <t>Nergigante Set</t>
  </si>
  <si>
    <t>Rathalos Helm</t>
  </si>
  <si>
    <t>Rathalos Mail</t>
  </si>
  <si>
    <t>Lagombi Set</t>
  </si>
  <si>
    <t>Rathalos Vambraces</t>
  </si>
  <si>
    <t>Rathalos Coil</t>
  </si>
  <si>
    <t>Volvidon Set</t>
  </si>
  <si>
    <t>Rathalos Greaves</t>
  </si>
  <si>
    <t>Rath Soul Helm</t>
  </si>
  <si>
    <t>Somnacanth Set</t>
  </si>
  <si>
    <t>Rath Soul Mail</t>
  </si>
  <si>
    <t>Rex Talon+</t>
  </si>
  <si>
    <t>Tigrex Set</t>
  </si>
  <si>
    <t>Rath Soul Vambraces</t>
  </si>
  <si>
    <t>Rex Talon</t>
  </si>
  <si>
    <t>Rath Soul Coil</t>
  </si>
  <si>
    <t>Stonebite</t>
  </si>
  <si>
    <t>Rex Roar Set</t>
  </si>
  <si>
    <t>Rath Soul Greaves</t>
  </si>
  <si>
    <t>Accursed Claw</t>
  </si>
  <si>
    <t>Silver Solhelm</t>
  </si>
  <si>
    <t>Fulminator</t>
  </si>
  <si>
    <t>Kirin Set</t>
  </si>
  <si>
    <t>Silver Solmail</t>
  </si>
  <si>
    <t>Silver Solbraces</t>
  </si>
  <si>
    <t>Bazelgeuse Set</t>
  </si>
  <si>
    <t>Silver Solcoil</t>
  </si>
  <si>
    <t>Silver Solgreaves</t>
  </si>
  <si>
    <t>Shrouded Katalo</t>
  </si>
  <si>
    <t>Chatacabra Set</t>
  </si>
  <si>
    <t>Baan Helm</t>
  </si>
  <si>
    <t>Chata Club</t>
  </si>
  <si>
    <t>Baan Mail</t>
  </si>
  <si>
    <t>Arzuros Set</t>
  </si>
  <si>
    <t>Baan Vambraces</t>
  </si>
  <si>
    <t>Baan Coil</t>
  </si>
  <si>
    <t>Glavenus Razor</t>
  </si>
  <si>
    <t>Glavenus Set</t>
  </si>
  <si>
    <t>Baan Greaves</t>
  </si>
  <si>
    <t>Banbaro Helm</t>
  </si>
  <si>
    <t>Banbaro Mail</t>
  </si>
  <si>
    <t>Mizuha Set</t>
  </si>
  <si>
    <t>Banbaro Vambraces</t>
  </si>
  <si>
    <t>Banbaro Coil</t>
  </si>
  <si>
    <t>Dirty Marquis</t>
  </si>
  <si>
    <t>Wroggi Set</t>
  </si>
  <si>
    <t>Banbaro Greaves</t>
  </si>
  <si>
    <t>Dirty Baron</t>
  </si>
  <si>
    <t>Barioth Helm</t>
  </si>
  <si>
    <t>Shaucha Pureblade</t>
  </si>
  <si>
    <t>Bishaten Set</t>
  </si>
  <si>
    <t>Barioth Mail</t>
  </si>
  <si>
    <t>Exorcising Sword</t>
  </si>
  <si>
    <t>Barioth Vambraces</t>
  </si>
  <si>
    <t>Beotodus Set</t>
  </si>
  <si>
    <t>Barioth Faulds</t>
  </si>
  <si>
    <t>Faulds</t>
  </si>
  <si>
    <t>Barioth Greaves</t>
  </si>
  <si>
    <t>Hidden Edge</t>
  </si>
  <si>
    <t>Nargacuga Set</t>
  </si>
  <si>
    <t>Zinogre Helm</t>
  </si>
  <si>
    <t>Zinogre Mail</t>
  </si>
  <si>
    <t>Hydros Discus</t>
  </si>
  <si>
    <t>Tentacle Set</t>
  </si>
  <si>
    <t>Zinogre Braces</t>
  </si>
  <si>
    <t>Zinogre Coil</t>
  </si>
  <si>
    <t>Golm Sword</t>
  </si>
  <si>
    <t>Garangolm Set</t>
  </si>
  <si>
    <t>Zinogre Greaves</t>
  </si>
  <si>
    <t>Tzitzi Headgear</t>
  </si>
  <si>
    <t>Frostmoon Hatchet</t>
  </si>
  <si>
    <t>Lunagaron Set</t>
  </si>
  <si>
    <t>Tzitzi Mail</t>
  </si>
  <si>
    <t>Tzitzi Vambraces</t>
  </si>
  <si>
    <t>Tzitzi Coil</t>
  </si>
  <si>
    <t>Rosenmesser</t>
  </si>
  <si>
    <t>Espinas Set</t>
  </si>
  <si>
    <t>Tzitzi Greaves</t>
  </si>
  <si>
    <t>Odogaron Helm</t>
  </si>
  <si>
    <t>Bloodlust Blade</t>
  </si>
  <si>
    <t>Malzeno Set</t>
  </si>
  <si>
    <t>Odogaron Mail</t>
  </si>
  <si>
    <t>Odogaron Vambraces</t>
  </si>
  <si>
    <t>Odogaron Coil</t>
  </si>
  <si>
    <t>Chief Kukri</t>
  </si>
  <si>
    <t>Odogaron Greaves</t>
  </si>
  <si>
    <t>Bone Set</t>
  </si>
  <si>
    <t>Bone Kukri</t>
  </si>
  <si>
    <t>Death Garon Helm</t>
  </si>
  <si>
    <t>Death Garon Mail</t>
  </si>
  <si>
    <t>MrBeast Sword &amp; Shield</t>
  </si>
  <si>
    <t>MrBeast Set</t>
  </si>
  <si>
    <t>Death Garon Braces</t>
  </si>
  <si>
    <t>Death Garon Coil</t>
  </si>
  <si>
    <t>Esperanza Sword</t>
  </si>
  <si>
    <t>Hope Set</t>
  </si>
  <si>
    <t>Hope Sword</t>
  </si>
  <si>
    <t>Death Garon Greaves</t>
  </si>
  <si>
    <t>Dual Slicers</t>
  </si>
  <si>
    <t>Vangis Helm</t>
  </si>
  <si>
    <t>Dual Blades</t>
  </si>
  <si>
    <t>Matched Slicers</t>
  </si>
  <si>
    <t>Vangis Mail</t>
  </si>
  <si>
    <t>Vangis Vambraces</t>
  </si>
  <si>
    <t>Vangis Coil</t>
  </si>
  <si>
    <t>Arcanaria</t>
  </si>
  <si>
    <t>Vangis Greaves</t>
  </si>
  <si>
    <t>Rending Beaks</t>
  </si>
  <si>
    <t>Basarios Helm</t>
  </si>
  <si>
    <t>Basarios Mail</t>
  </si>
  <si>
    <t>Basarios Vambraces</t>
  </si>
  <si>
    <t>Basarios Coil</t>
  </si>
  <si>
    <t>Basarios Greaves</t>
  </si>
  <si>
    <t>Khezu Helm</t>
  </si>
  <si>
    <t>Khezu Mail</t>
  </si>
  <si>
    <t>Khezu Vambraces</t>
  </si>
  <si>
    <t>Khezu Coil</t>
  </si>
  <si>
    <t>Khezu Greaves</t>
  </si>
  <si>
    <t>Kadachi Claws</t>
  </si>
  <si>
    <t>Pulsar Hatchets</t>
  </si>
  <si>
    <t>Kushala Glare</t>
  </si>
  <si>
    <t>Glare</t>
  </si>
  <si>
    <t>Kushala Cista</t>
  </si>
  <si>
    <t>Cista</t>
  </si>
  <si>
    <t>Kushala Grip</t>
  </si>
  <si>
    <t>Grip</t>
  </si>
  <si>
    <t>Kushala Cocoon</t>
  </si>
  <si>
    <t>Cocoon</t>
  </si>
  <si>
    <t>Kushala Crus</t>
  </si>
  <si>
    <t>Crus</t>
  </si>
  <si>
    <t>Jyura Hatchets</t>
  </si>
  <si>
    <t>Mizutsune Helm</t>
  </si>
  <si>
    <t>Madness Pangas</t>
  </si>
  <si>
    <t>Mizutsune Mail</t>
  </si>
  <si>
    <t>Anja Cyclone</t>
  </si>
  <si>
    <t>Mizutsune Braces</t>
  </si>
  <si>
    <t>Blazing Hatchets</t>
  </si>
  <si>
    <t>Mizutsune Coil</t>
  </si>
  <si>
    <t>Fulguring Tornado</t>
  </si>
  <si>
    <t>Mizutsune Greaves</t>
  </si>
  <si>
    <t>Kaiser Crown</t>
  </si>
  <si>
    <t>Crown</t>
  </si>
  <si>
    <t>Kaiser Mail</t>
  </si>
  <si>
    <t>Kaiser Vambraces</t>
  </si>
  <si>
    <t>Kaiser Coil</t>
  </si>
  <si>
    <t>Kaiser Greaves</t>
  </si>
  <si>
    <t>Aknosom Helm</t>
  </si>
  <si>
    <t>Freeze Chain</t>
  </si>
  <si>
    <t>Aknosom Mail</t>
  </si>
  <si>
    <t>Freeze Daggers</t>
  </si>
  <si>
    <t>Aknosom Braces</t>
  </si>
  <si>
    <t>Diablos Clubs</t>
  </si>
  <si>
    <t>Aknosom Coil</t>
  </si>
  <si>
    <t>Diablos Hatchets</t>
  </si>
  <si>
    <t>Aknosom Greaves</t>
  </si>
  <si>
    <t>Thanatos Mauls</t>
  </si>
  <si>
    <t>Sinister Helm</t>
  </si>
  <si>
    <t>Sinister Garb</t>
  </si>
  <si>
    <t>Garb</t>
  </si>
  <si>
    <t>Sinister Gauntlets</t>
  </si>
  <si>
    <t>Gauntlets</t>
  </si>
  <si>
    <t>Sinister Tassets</t>
  </si>
  <si>
    <t>Tassets</t>
  </si>
  <si>
    <t>Sinister Greaves</t>
  </si>
  <si>
    <t>Golden Headdress</t>
  </si>
  <si>
    <t>Headdress</t>
  </si>
  <si>
    <t>Wyvern Strife</t>
  </si>
  <si>
    <t>Golden Haori</t>
  </si>
  <si>
    <t>Haori</t>
  </si>
  <si>
    <t>Golden Kote</t>
  </si>
  <si>
    <t>Kote</t>
  </si>
  <si>
    <t>Golden Obi</t>
  </si>
  <si>
    <t>Obi</t>
  </si>
  <si>
    <t>Golden Hakama</t>
  </si>
  <si>
    <t>Mammoth Direbones</t>
  </si>
  <si>
    <t>Hakama</t>
  </si>
  <si>
    <t>Nergigante Helm</t>
  </si>
  <si>
    <t>Nergigante Mail</t>
  </si>
  <si>
    <t>Blizzarioths+</t>
  </si>
  <si>
    <t>Blizzarioths</t>
  </si>
  <si>
    <t>Nergigante Vambraces</t>
  </si>
  <si>
    <t>Nergigante Coil</t>
  </si>
  <si>
    <t>Despot's Blitz</t>
  </si>
  <si>
    <t>Usurper's Fulgur</t>
  </si>
  <si>
    <t>Nergigante Greaves</t>
  </si>
  <si>
    <t>Dual Destroyers</t>
  </si>
  <si>
    <t>Lagombi Helm</t>
  </si>
  <si>
    <t>Luminous Dagger</t>
  </si>
  <si>
    <t>Lagombi Mail</t>
  </si>
  <si>
    <t>Blood-drinker Chainblade</t>
  </si>
  <si>
    <t>Lagombi Vambraces</t>
  </si>
  <si>
    <t>Lagombi Coil</t>
  </si>
  <si>
    <t>Garon Hatchets</t>
  </si>
  <si>
    <t>Lagombi Greaves</t>
  </si>
  <si>
    <t>Death Row</t>
  </si>
  <si>
    <t>Volvidon Helm</t>
  </si>
  <si>
    <t>Nether Chainblades</t>
  </si>
  <si>
    <t>Volvidon Mail</t>
  </si>
  <si>
    <t>Wrathful Predation</t>
  </si>
  <si>
    <t>Volvidon Vambraces</t>
  </si>
  <si>
    <t>Wrath &amp; Rancor</t>
  </si>
  <si>
    <t>Volvidon Coil</t>
  </si>
  <si>
    <t>Volvidon Greaves</t>
  </si>
  <si>
    <t>Somnacanth Helm</t>
  </si>
  <si>
    <t>Somnacanth Mail</t>
  </si>
  <si>
    <t>Daora's Hook</t>
  </si>
  <si>
    <t>Somnacanth Vambraces</t>
  </si>
  <si>
    <t>Somnacanth Coil</t>
  </si>
  <si>
    <t>Somnacanth Greaves</t>
  </si>
  <si>
    <t>Evening Dusk</t>
  </si>
  <si>
    <t>Tigrex Helm</t>
  </si>
  <si>
    <t>Morning Dawn</t>
  </si>
  <si>
    <t>Tigrex Mail</t>
  </si>
  <si>
    <t>Tigrex Vambraces</t>
  </si>
  <si>
    <t>Tigrex Coil</t>
  </si>
  <si>
    <t>Daybreak Daggers</t>
  </si>
  <si>
    <t>Tigrex Greaves</t>
  </si>
  <si>
    <t>Schirmscorn</t>
  </si>
  <si>
    <t>Rex Roar Helm</t>
  </si>
  <si>
    <t>Sinister Famineblades</t>
  </si>
  <si>
    <t>Sinister Blades</t>
  </si>
  <si>
    <t>Suzuka Otakemaru</t>
  </si>
  <si>
    <t>Rex Roar Mail</t>
  </si>
  <si>
    <t>Suzuka Takamaru</t>
  </si>
  <si>
    <t>Decimation Claws</t>
  </si>
  <si>
    <t>Rex Roar Vambraces</t>
  </si>
  <si>
    <t>Snow Sisters</t>
  </si>
  <si>
    <t>Rex Roar Coil</t>
  </si>
  <si>
    <t>Snow Slicers</t>
  </si>
  <si>
    <t>Rex Roar Greaves</t>
  </si>
  <si>
    <t>Illusory Frilled Claw</t>
  </si>
  <si>
    <t>Frilled Claw</t>
  </si>
  <si>
    <t>Rex Chain</t>
  </si>
  <si>
    <t>Kirin Horn</t>
  </si>
  <si>
    <t>Horn</t>
  </si>
  <si>
    <t>Kirin Jacket</t>
  </si>
  <si>
    <t>Jacket</t>
  </si>
  <si>
    <t>Accursed Chain</t>
  </si>
  <si>
    <t>Kirin Longarms</t>
  </si>
  <si>
    <t>Longarms</t>
  </si>
  <si>
    <t>Monarch</t>
  </si>
  <si>
    <t>Kirin Hoop</t>
  </si>
  <si>
    <t>Hoop</t>
  </si>
  <si>
    <t>Kirin Leg Guards</t>
  </si>
  <si>
    <t>Leg Guards</t>
  </si>
  <si>
    <t>Bazelhawk Rookslayer</t>
  </si>
  <si>
    <t>Rookslayer Handaxes</t>
  </si>
  <si>
    <t>Bazelgeuse Helm</t>
  </si>
  <si>
    <t>Bazelgeuse Mail</t>
  </si>
  <si>
    <t>Bazelgeuse Vambraces</t>
  </si>
  <si>
    <t>Ashigara Axes</t>
  </si>
  <si>
    <t>Cerulean Axes</t>
  </si>
  <si>
    <t>Bazelgeuse Coil</t>
  </si>
  <si>
    <t>Smoldering Cities+</t>
  </si>
  <si>
    <t>Bazelgeuse Greaves</t>
  </si>
  <si>
    <t>Smoldering Cities</t>
  </si>
  <si>
    <t>Dual Chameleos</t>
  </si>
  <si>
    <t>Chatacabra Helm</t>
  </si>
  <si>
    <t>Chatacabra Mail</t>
  </si>
  <si>
    <t>The Kid</t>
  </si>
  <si>
    <t>Chatacabra Vambraces</t>
  </si>
  <si>
    <t>Desperado</t>
  </si>
  <si>
    <t>Chatacabra Coil</t>
  </si>
  <si>
    <t>Beo Hatchets</t>
  </si>
  <si>
    <t>Chatacabra Greaves</t>
  </si>
  <si>
    <t>Arzuros Helm</t>
  </si>
  <si>
    <t>Hidden Tomahawk</t>
  </si>
  <si>
    <t>Arzuros Mail</t>
  </si>
  <si>
    <t>Arzuros Vambraces</t>
  </si>
  <si>
    <t>Arzuros Coil</t>
  </si>
  <si>
    <t>Golm Golm</t>
  </si>
  <si>
    <t>Arzuros Greaves</t>
  </si>
  <si>
    <t>Frostmoon Bloodclaws+</t>
  </si>
  <si>
    <t>Glavenus Helm</t>
  </si>
  <si>
    <t>Frostmoon Bloodclaws</t>
  </si>
  <si>
    <t>Glavenus Mail</t>
  </si>
  <si>
    <t>Rosenzahn+</t>
  </si>
  <si>
    <t>Glavenus Vambraces</t>
  </si>
  <si>
    <t>Rosenzahn</t>
  </si>
  <si>
    <t>Glavenus Coil</t>
  </si>
  <si>
    <t>Bloody Nails Wunde</t>
  </si>
  <si>
    <t>Glavenus Greaves</t>
  </si>
  <si>
    <t>Mizuha Cap</t>
  </si>
  <si>
    <t>Cap</t>
  </si>
  <si>
    <t>Wild Hatchets</t>
  </si>
  <si>
    <t>Bone Hatchets</t>
  </si>
  <si>
    <t>Mizuha Guards</t>
  </si>
  <si>
    <t>Guards</t>
  </si>
  <si>
    <t>Fortune Dragon Fans</t>
  </si>
  <si>
    <t>Fortune Dragon Set</t>
  </si>
  <si>
    <t>Mizuha Sleeves</t>
  </si>
  <si>
    <t>Sleeves</t>
  </si>
  <si>
    <t>Esperanza Daggers</t>
  </si>
  <si>
    <t>Mizuha Sash</t>
  </si>
  <si>
    <t>Sash</t>
  </si>
  <si>
    <t>Hope Daggers</t>
  </si>
  <si>
    <t>Buster Blade</t>
  </si>
  <si>
    <t>Great Sword</t>
  </si>
  <si>
    <t>Mizuha Gaiters</t>
  </si>
  <si>
    <t>Gaiters</t>
  </si>
  <si>
    <t>Buster Sword</t>
  </si>
  <si>
    <t>Wroggi Helm</t>
  </si>
  <si>
    <t>Jagras Hacker</t>
  </si>
  <si>
    <t>Jagras Blade</t>
  </si>
  <si>
    <t>Wroggi Mail</t>
  </si>
  <si>
    <t>Wroggi Vambraces</t>
  </si>
  <si>
    <t>Datura Blaze</t>
  </si>
  <si>
    <t>Blooming Blae</t>
  </si>
  <si>
    <t>Wroggi Coil</t>
  </si>
  <si>
    <t>Laguna Golem</t>
  </si>
  <si>
    <t>Wroggi Greaves</t>
  </si>
  <si>
    <t>Barroth Shredder</t>
  </si>
  <si>
    <t>Bishaten Helm</t>
  </si>
  <si>
    <t>Carapace Buster</t>
  </si>
  <si>
    <t>Malady's Kiss</t>
  </si>
  <si>
    <t>Girros Blade</t>
  </si>
  <si>
    <t>Bishaten Mail</t>
  </si>
  <si>
    <t>Lightning Punisher</t>
  </si>
  <si>
    <t>Thunder Blade</t>
  </si>
  <si>
    <t>Bishaten Vambraces</t>
  </si>
  <si>
    <t>Bishaten Coil</t>
  </si>
  <si>
    <t>Nyx Razor</t>
  </si>
  <si>
    <t>Water Golem</t>
  </si>
  <si>
    <t>Bishaten Greaves</t>
  </si>
  <si>
    <t>Aqua Slasher</t>
  </si>
  <si>
    <t>Flammenzahn+</t>
  </si>
  <si>
    <t>Flammenzahn</t>
  </si>
  <si>
    <t>Beotodus Helm</t>
  </si>
  <si>
    <t>Donnerzahn+</t>
  </si>
  <si>
    <t>Donnerzahn</t>
  </si>
  <si>
    <t>Beotodus Mail</t>
  </si>
  <si>
    <t>Beotodus Vambraces</t>
  </si>
  <si>
    <t>Beotodus Coil</t>
  </si>
  <si>
    <t>Frost Blaze</t>
  </si>
  <si>
    <t>Freeze Blade</t>
  </si>
  <si>
    <t>Beotodus Greaves</t>
  </si>
  <si>
    <t>Nargacuga Helm</t>
  </si>
  <si>
    <t>Nargacuga Mail</t>
  </si>
  <si>
    <t>Red Wing</t>
  </si>
  <si>
    <t>Flame Blade</t>
  </si>
  <si>
    <t>Nargacuga Vambraces</t>
  </si>
  <si>
    <t>Rathalos Glinsword</t>
  </si>
  <si>
    <t>Blue Wing</t>
  </si>
  <si>
    <t>Nargacuga Faulds</t>
  </si>
  <si>
    <t>Rathalos Gleamsword</t>
  </si>
  <si>
    <t>Radobaan Slab</t>
  </si>
  <si>
    <t>Nargacuga Greaves</t>
  </si>
  <si>
    <t>Spiked Blade</t>
  </si>
  <si>
    <t>Mammoth Greataxe</t>
  </si>
  <si>
    <t>Tentacle Cowl</t>
  </si>
  <si>
    <t>Cowl</t>
  </si>
  <si>
    <t>Icicle Fang+</t>
  </si>
  <si>
    <t>Icicle Fang</t>
  </si>
  <si>
    <t>Tentacle Cloak</t>
  </si>
  <si>
    <t>Cloak</t>
  </si>
  <si>
    <t>Severing Bolt</t>
  </si>
  <si>
    <t>Tentacle Gloves</t>
  </si>
  <si>
    <t>Tentacle Coil</t>
  </si>
  <si>
    <t>Anguish</t>
  </si>
  <si>
    <t>Berserker Sword</t>
  </si>
  <si>
    <t>Tentacle Greaves</t>
  </si>
  <si>
    <t>Khezu Shock Sword</t>
  </si>
  <si>
    <t>Golm Helm</t>
  </si>
  <si>
    <t>Daora's Decimator</t>
  </si>
  <si>
    <t>Golm Mail</t>
  </si>
  <si>
    <t>Akanesasu</t>
  </si>
  <si>
    <t>Golm Vambraces</t>
  </si>
  <si>
    <t>Hanayako Yohino</t>
  </si>
  <si>
    <t>King Teostra Blade</t>
  </si>
  <si>
    <t>Golm Faulds</t>
  </si>
  <si>
    <t>Daybreak Cleaver</t>
  </si>
  <si>
    <t>Aknosom Blade</t>
  </si>
  <si>
    <t>Sinister Shadowblade</t>
  </si>
  <si>
    <t>Golm Greaves</t>
  </si>
  <si>
    <t>Sinister Blade</t>
  </si>
  <si>
    <t>Demonlord Goldrod</t>
  </si>
  <si>
    <t>Lunagaron Helm</t>
  </si>
  <si>
    <t>Demon Rod</t>
  </si>
  <si>
    <t>Purgation's Atrocity</t>
  </si>
  <si>
    <t>Lunagaron Mail</t>
  </si>
  <si>
    <t>Lagombi Charlotte</t>
  </si>
  <si>
    <t>Snowclad</t>
  </si>
  <si>
    <t>Lunagaron Vambraces</t>
  </si>
  <si>
    <t>Lunagaron Coil</t>
  </si>
  <si>
    <t>Illusory Frilled Blade</t>
  </si>
  <si>
    <t>Frilled Blade</t>
  </si>
  <si>
    <t>Lunagaron Greaves</t>
  </si>
  <si>
    <t>Tiger Jawblade+</t>
  </si>
  <si>
    <t>Tiger Jawblade</t>
  </si>
  <si>
    <t>Wildbite</t>
  </si>
  <si>
    <t>Espinas Brain</t>
  </si>
  <si>
    <t>Brain</t>
  </si>
  <si>
    <t>Accursed Blade</t>
  </si>
  <si>
    <t>Thundersword</t>
  </si>
  <si>
    <t>Espinas Muscle</t>
  </si>
  <si>
    <t>Muscle</t>
  </si>
  <si>
    <t>Espinas Vambraces</t>
  </si>
  <si>
    <t>Espinas Bowels</t>
  </si>
  <si>
    <t>Bowels</t>
  </si>
  <si>
    <t>Espinas Heel</t>
  </si>
  <si>
    <t>Heel</t>
  </si>
  <si>
    <t>Glavenus Blaze</t>
  </si>
  <si>
    <t>Malzeno Helm</t>
  </si>
  <si>
    <t>Foreboding Shamshir</t>
  </si>
  <si>
    <t>Malzeno Mail</t>
  </si>
  <si>
    <t>Malzeno Vambraces</t>
  </si>
  <si>
    <t>Beo Slasher</t>
  </si>
  <si>
    <t>Malzeno Coil</t>
  </si>
  <si>
    <t>Hidden Blade</t>
  </si>
  <si>
    <t>Malzeno Greaves</t>
  </si>
  <si>
    <t>Jack-o'-Head</t>
  </si>
  <si>
    <t>Halloween Set</t>
  </si>
  <si>
    <t>Head</t>
  </si>
  <si>
    <t>Golm Blade+</t>
  </si>
  <si>
    <t>Golm Blade</t>
  </si>
  <si>
    <t>Ghost Balloon</t>
  </si>
  <si>
    <t>Halloween 2024 Set</t>
  </si>
  <si>
    <t>Balloon</t>
  </si>
  <si>
    <t>Sword of Winter Moon+</t>
  </si>
  <si>
    <t>Dragon Dance Mask</t>
  </si>
  <si>
    <t>Lunar New Year Set</t>
  </si>
  <si>
    <t>Mask</t>
  </si>
  <si>
    <t>Sword of Winter Moon</t>
  </si>
  <si>
    <t>Bunny Head</t>
  </si>
  <si>
    <t>Rosenbrett+</t>
  </si>
  <si>
    <t>Rosenbrett</t>
  </si>
  <si>
    <t>Swimmer Goggles</t>
  </si>
  <si>
    <t>Swimmer Set</t>
  </si>
  <si>
    <t>Goggles</t>
  </si>
  <si>
    <t>Decapitator Schneiden</t>
  </si>
  <si>
    <t>Swimmer Inflatable</t>
  </si>
  <si>
    <t>Inflatable</t>
  </si>
  <si>
    <t>Swimmer Flippers</t>
  </si>
  <si>
    <t>Flippers</t>
  </si>
  <si>
    <t>Bone Slasher</t>
  </si>
  <si>
    <t>Bone Blade</t>
  </si>
  <si>
    <t>Esperanza Blade</t>
  </si>
  <si>
    <t>Hope Blade</t>
  </si>
  <si>
    <t>Balloon Blade</t>
  </si>
  <si>
    <t>Spring 2025 Set</t>
  </si>
  <si>
    <t>Iron Grace</t>
  </si>
  <si>
    <t>Long Sword</t>
  </si>
  <si>
    <t>Iron Katana</t>
  </si>
  <si>
    <t>Last Dance</t>
  </si>
  <si>
    <t>First Dance</t>
  </si>
  <si>
    <t>Kadachi Fang</t>
  </si>
  <si>
    <t>Pulsar Shotel</t>
  </si>
  <si>
    <t>Dipterus</t>
  </si>
  <si>
    <t>Jyura Shotel</t>
  </si>
  <si>
    <t>Anja Scimitar</t>
  </si>
  <si>
    <t>Blazing Shotel</t>
  </si>
  <si>
    <t>Gnashing Fulgur</t>
  </si>
  <si>
    <t>Wyvern Blade "Verde"</t>
  </si>
  <si>
    <t>Wyvern Blade "Leaf"</t>
  </si>
  <si>
    <t>Wyvern Blade "Blossom"+</t>
  </si>
  <si>
    <t>Wyvern Blade "Blossom"</t>
  </si>
  <si>
    <t>Wyvern Blade "Luna"</t>
  </si>
  <si>
    <t>Stealer</t>
  </si>
  <si>
    <t>Glacial Shotel</t>
  </si>
  <si>
    <t>Wyvern Blade "Blood"</t>
  </si>
  <si>
    <t>Wyvern Blade "Fall"</t>
  </si>
  <si>
    <t>Wyvern Blade "Indigo"</t>
  </si>
  <si>
    <t>Wyvern Blade "Azure"</t>
  </si>
  <si>
    <t>Wyvern Blade "Pale"</t>
  </si>
  <si>
    <t>Mammoth Longblade</t>
  </si>
  <si>
    <t>Ambertooth</t>
  </si>
  <si>
    <t>Despot's Boltbreaker</t>
  </si>
  <si>
    <t>Usurper's Boltslicer</t>
  </si>
  <si>
    <t>Dazzling Flash</t>
  </si>
  <si>
    <t>Flickering Glow</t>
  </si>
  <si>
    <t>Reaver "Calamity"</t>
  </si>
  <si>
    <t>Reaver "Cruelty"</t>
  </si>
  <si>
    <t>Titanic Makra</t>
  </si>
  <si>
    <t>Gigant Makra</t>
  </si>
  <si>
    <t>Daora's Raid</t>
  </si>
  <si>
    <t>Tamonowo</t>
  </si>
  <si>
    <t>Kakaru Kumo Naki</t>
  </si>
  <si>
    <t>Imperial Shimmer</t>
  </si>
  <si>
    <t>Daybreak Blade</t>
  </si>
  <si>
    <t>Aknosom Sabre</t>
  </si>
  <si>
    <t>Sinister Shade Sword</t>
  </si>
  <si>
    <t>Sinister Long Sword</t>
  </si>
  <si>
    <t>Great Demon Halberd</t>
  </si>
  <si>
    <t>Demon Halberd</t>
  </si>
  <si>
    <t>Extermination's Edge</t>
  </si>
  <si>
    <t>Iced Rabbit</t>
  </si>
  <si>
    <t>Ivory Rabbit</t>
  </si>
  <si>
    <t>Illusory Frilled Slash</t>
  </si>
  <si>
    <t>Frilled Slash</t>
  </si>
  <si>
    <t>Tigrine Edge+</t>
  </si>
  <si>
    <t>Tigrine Edge</t>
  </si>
  <si>
    <t>Ravenbite</t>
  </si>
  <si>
    <t>Tigerfang</t>
  </si>
  <si>
    <t>Bazel Varga Rookslayer</t>
  </si>
  <si>
    <t>Rookslayer Saber</t>
  </si>
  <si>
    <t>Arzuros Strikequill</t>
  </si>
  <si>
    <t>Arzuros Naginata</t>
  </si>
  <si>
    <t>Glavenus Spada</t>
  </si>
  <si>
    <t>Phantom Mirage</t>
  </si>
  <si>
    <t>Poison Barb</t>
  </si>
  <si>
    <t>Wroggi Sword</t>
  </si>
  <si>
    <t>Hidden Saber+</t>
  </si>
  <si>
    <t>Hidden Saber</t>
  </si>
  <si>
    <t>Black Tornaria</t>
  </si>
  <si>
    <t>Golm Cutter+</t>
  </si>
  <si>
    <t>Golm Cutter</t>
  </si>
  <si>
    <t>Frostmoon Paleblade+</t>
  </si>
  <si>
    <t>Frostmoon Paleblade</t>
  </si>
  <si>
    <t>Rosenfader+</t>
  </si>
  <si>
    <t>Rosenfader</t>
  </si>
  <si>
    <t>Fissureforce</t>
  </si>
  <si>
    <t>Hard Bone Shotel</t>
  </si>
  <si>
    <t>Bone Shotel</t>
  </si>
  <si>
    <t>Squawkscythe</t>
  </si>
  <si>
    <t>Cawscythe</t>
  </si>
  <si>
    <t>Esperanza Edge</t>
  </si>
  <si>
    <t>Hope Edge</t>
  </si>
  <si>
    <t>Iron Demon</t>
  </si>
  <si>
    <t>Hammer</t>
  </si>
  <si>
    <t>Iron Hammer</t>
  </si>
  <si>
    <t>Crushing Beak</t>
  </si>
  <si>
    <t>Kulu Beak</t>
  </si>
  <si>
    <t>Buon Fiore</t>
  </si>
  <si>
    <t>Blooming Hammer</t>
  </si>
  <si>
    <t>Aqua Flora+</t>
  </si>
  <si>
    <t>Aqua Flora</t>
  </si>
  <si>
    <t>Barroth Breaker</t>
  </si>
  <si>
    <t>Carapace Sledge</t>
  </si>
  <si>
    <t>Malady's Fist</t>
  </si>
  <si>
    <t>Girros Hammer</t>
  </si>
  <si>
    <t>Lightning Bash</t>
  </si>
  <si>
    <t>Thunder Hammer</t>
  </si>
  <si>
    <t>Nyx Hammer</t>
  </si>
  <si>
    <t>Water Basher</t>
  </si>
  <si>
    <t>Aqua Hammer</t>
  </si>
  <si>
    <t>Anja Striker</t>
  </si>
  <si>
    <t>Blazing Hammer</t>
  </si>
  <si>
    <t>Grinding Fulgur</t>
  </si>
  <si>
    <t>Diablos Shatterer</t>
  </si>
  <si>
    <t>Diablos Sledge</t>
  </si>
  <si>
    <t>Chaos Shatterer</t>
  </si>
  <si>
    <t>Huracan Hammer</t>
  </si>
  <si>
    <t>Red Bludgeon</t>
  </si>
  <si>
    <t>Leonid Starcrusher</t>
  </si>
  <si>
    <t>Baan Strike</t>
  </si>
  <si>
    <t>Bone Spike</t>
  </si>
  <si>
    <t>Mammoth Hoof</t>
  </si>
  <si>
    <t>Glacial Bash</t>
  </si>
  <si>
    <t>Despot's Crackle</t>
  </si>
  <si>
    <t>Usurper's Thunder</t>
  </si>
  <si>
    <t>Devil's Crush</t>
  </si>
  <si>
    <t>Devil's Due</t>
  </si>
  <si>
    <t>Basarios Bash</t>
  </si>
  <si>
    <t>Basarios Blow</t>
  </si>
  <si>
    <t>Bag o' Thunder</t>
  </si>
  <si>
    <t>Bag o' Horrors</t>
  </si>
  <si>
    <t>Daora's Colossus</t>
  </si>
  <si>
    <t>Sinter Hammer</t>
  </si>
  <si>
    <t>Purity Hammer</t>
  </si>
  <si>
    <t>Teostra Cratergouger</t>
  </si>
  <si>
    <t>Sinister Shade Hammer</t>
  </si>
  <si>
    <t>Sinister Hammer</t>
  </si>
  <si>
    <t>Mane Malice Rajang</t>
  </si>
  <si>
    <t>Mane Malice</t>
  </si>
  <si>
    <t>Obliteration's Footfall</t>
  </si>
  <si>
    <t>Armored Gogue</t>
  </si>
  <si>
    <t>Binding Bludgeon</t>
  </si>
  <si>
    <t>Illusory Frilled Blow</t>
  </si>
  <si>
    <t>Frilled Blow</t>
  </si>
  <si>
    <t>Striped Striker+</t>
  </si>
  <si>
    <t>Striped Striker</t>
  </si>
  <si>
    <t>Shrouded Aghaturi</t>
  </si>
  <si>
    <t>Chata Clobberer</t>
  </si>
  <si>
    <t>Barbearic Hammer</t>
  </si>
  <si>
    <t>Unbearable Hammer</t>
  </si>
  <si>
    <t>Scorching Isshata+</t>
  </si>
  <si>
    <t>Scorching Isshata</t>
  </si>
  <si>
    <t>Diamalto's Dream</t>
  </si>
  <si>
    <t>Dirty Hammer</t>
  </si>
  <si>
    <t>Wroggi Hammer</t>
  </si>
  <si>
    <t>Great Pronged Hammer</t>
  </si>
  <si>
    <t>Five-Pronged Hammer</t>
  </si>
  <si>
    <t>Hidden Breaker+</t>
  </si>
  <si>
    <t>Hidden Breaker</t>
  </si>
  <si>
    <t>Golm Gavel+</t>
  </si>
  <si>
    <t>Golm Gavel</t>
  </si>
  <si>
    <t>Hammer of Winter Moon+</t>
  </si>
  <si>
    <t>Hammer of Winter Moon</t>
  </si>
  <si>
    <t>Rosenhammer+</t>
  </si>
  <si>
    <t>Rosenhammer</t>
  </si>
  <si>
    <t>Tooth Grinder</t>
  </si>
  <si>
    <t>Fossil Bludgeon</t>
  </si>
  <si>
    <t>Bone Bludgeon</t>
  </si>
  <si>
    <t>Lucky Dragon Hammer</t>
  </si>
  <si>
    <t>Esperanza Hammer</t>
  </si>
  <si>
    <t>Hope Hammer</t>
  </si>
  <si>
    <t>Great Bagpipe</t>
  </si>
  <si>
    <t>Hunting Horn</t>
  </si>
  <si>
    <t>Metal Bagpipe</t>
  </si>
  <si>
    <t>Muck/Snow Negated</t>
  </si>
  <si>
    <t>Divine Protection</t>
  </si>
  <si>
    <t>Attack Up (S)</t>
  </si>
  <si>
    <t>Dancing Davul</t>
  </si>
  <si>
    <t>Kulu Duda</t>
  </si>
  <si>
    <t>Paralysis Negated</t>
  </si>
  <si>
    <t>Affinity Up (S)</t>
  </si>
  <si>
    <t>Sonic Wave</t>
  </si>
  <si>
    <t>Datura Horn</t>
  </si>
  <si>
    <t>Blooming Horn</t>
  </si>
  <si>
    <t>Thunder Resistance Up</t>
  </si>
  <si>
    <t>Evasion Distance Up</t>
  </si>
  <si>
    <t>Laguna Drum</t>
  </si>
  <si>
    <t>Sleep Negated</t>
  </si>
  <si>
    <t>Wind Pressure Resistance</t>
  </si>
  <si>
    <t>Water Attack Up</t>
  </si>
  <si>
    <t>Sandcrier</t>
  </si>
  <si>
    <t>Sandpipe</t>
  </si>
  <si>
    <t>Defense Up</t>
  </si>
  <si>
    <t>Knockbacks Negated</t>
  </si>
  <si>
    <t>Attack Up (L)</t>
  </si>
  <si>
    <t>Lightning Drum</t>
  </si>
  <si>
    <t>Thunder Gaida</t>
  </si>
  <si>
    <t>Earplugs (L)</t>
  </si>
  <si>
    <t>Lumu Barone</t>
  </si>
  <si>
    <t>Lumu Horn</t>
  </si>
  <si>
    <t>Nyx Barone</t>
  </si>
  <si>
    <t>Fire Resistance Up</t>
  </si>
  <si>
    <t>Water Tamtam</t>
  </si>
  <si>
    <t>Aqua Bagpipe</t>
  </si>
  <si>
    <t>Earplugs (S)</t>
  </si>
  <si>
    <t>Anja Barone</t>
  </si>
  <si>
    <t>Blazing Horn</t>
  </si>
  <si>
    <t>Special Replenishment (S)</t>
  </si>
  <si>
    <t>Fulguring Horn</t>
  </si>
  <si>
    <t>Queen Chordmaker</t>
  </si>
  <si>
    <t>Valkyrie Chordmaker</t>
  </si>
  <si>
    <t>Dragon Resistance Up</t>
  </si>
  <si>
    <t>Tremors Negated</t>
  </si>
  <si>
    <t>Royal Chordmaker</t>
  </si>
  <si>
    <t>Coral Chordmaker</t>
  </si>
  <si>
    <t>Fire Attack Up</t>
  </si>
  <si>
    <t>Gold Chordmaker</t>
  </si>
  <si>
    <t>Sectored</t>
  </si>
  <si>
    <t>Glacial Bagpipe</t>
  </si>
  <si>
    <t>Element Value Up (L)</t>
  </si>
  <si>
    <t>Duo Risoluto</t>
  </si>
  <si>
    <t>Duo Horn</t>
  </si>
  <si>
    <t>Rathalos Feroce</t>
  </si>
  <si>
    <t>Flame Feroce</t>
  </si>
  <si>
    <t>Ice Resistance Up</t>
  </si>
  <si>
    <t>Baan Horn</t>
  </si>
  <si>
    <t>Spiked Horn</t>
  </si>
  <si>
    <t>Icicle Horn</t>
  </si>
  <si>
    <t>Poison Negated</t>
  </si>
  <si>
    <t>Affinity Up (L)</t>
  </si>
  <si>
    <t>Despot's Thunderclap</t>
  </si>
  <si>
    <t>Usurper's Growl</t>
  </si>
  <si>
    <t>Thunder Attack Up</t>
  </si>
  <si>
    <t>Deep Vero</t>
  </si>
  <si>
    <t>Devil's Maestro</t>
  </si>
  <si>
    <t>Gigant Rock</t>
  </si>
  <si>
    <t>Basarios Rock</t>
  </si>
  <si>
    <t>Khezu Flute</t>
  </si>
  <si>
    <t>Khezu Horn</t>
  </si>
  <si>
    <t>Daora's Baphophone</t>
  </si>
  <si>
    <t>Diffused Sonic Wave</t>
  </si>
  <si>
    <t>Summoning Bell</t>
  </si>
  <si>
    <t>Poetic Bell</t>
  </si>
  <si>
    <t>Teostra Orphee</t>
  </si>
  <si>
    <t>Poison Negated/Cured</t>
  </si>
  <si>
    <t>Element Value Up (S)</t>
  </si>
  <si>
    <t>Special Replenishment (L)</t>
  </si>
  <si>
    <t>Sinister Shadestrum</t>
  </si>
  <si>
    <t>Sinister Strum</t>
  </si>
  <si>
    <t>Denden Doomsounder</t>
  </si>
  <si>
    <t>Denden Daiko</t>
  </si>
  <si>
    <t>Water Resistance Up</t>
  </si>
  <si>
    <t>Desolation's Overture</t>
  </si>
  <si>
    <t>Illusory Flute</t>
  </si>
  <si>
    <t>Frilled Flute</t>
  </si>
  <si>
    <t>Striped Dragonga+</t>
  </si>
  <si>
    <t>Striped Dragonga</t>
  </si>
  <si>
    <t>Ogrebite</t>
  </si>
  <si>
    <t>Accursed Wail</t>
  </si>
  <si>
    <t>Thundercry Horn</t>
  </si>
  <si>
    <t>Hidden Harmonic+</t>
  </si>
  <si>
    <t>Hidden Harmonic</t>
  </si>
  <si>
    <t>Hydros Horn</t>
  </si>
  <si>
    <t>All Resistances Up</t>
  </si>
  <si>
    <t>Golm Drum+</t>
  </si>
  <si>
    <t>Golm Drum</t>
  </si>
  <si>
    <t>Frostmoon Wailer+</t>
  </si>
  <si>
    <t>Frostmoon Wailer</t>
  </si>
  <si>
    <t>Rosengitarre+</t>
  </si>
  <si>
    <t>Rosengitarre</t>
  </si>
  <si>
    <t>Magician's Allure</t>
  </si>
  <si>
    <t>Hardened Bone Horn</t>
  </si>
  <si>
    <t>Bone Horn</t>
  </si>
  <si>
    <t>Skullwhistle</t>
  </si>
  <si>
    <t>Steel Lance</t>
  </si>
  <si>
    <t>Lance</t>
  </si>
  <si>
    <t>Iron Lance</t>
  </si>
  <si>
    <t>Kulu Hasta</t>
  </si>
  <si>
    <t>Kulu Lance</t>
  </si>
  <si>
    <t>Datura Pike</t>
  </si>
  <si>
    <t>Blooming Lance</t>
  </si>
  <si>
    <t>Laguna Pike</t>
  </si>
  <si>
    <t>Barroth Stinger</t>
  </si>
  <si>
    <t>Carapace Lance</t>
  </si>
  <si>
    <t>Lighting Spire</t>
  </si>
  <si>
    <t>Thunder Lance</t>
  </si>
  <si>
    <t>Nyx Halberd</t>
  </si>
  <si>
    <t>Water Spike</t>
  </si>
  <si>
    <t>Aqua Horn</t>
  </si>
  <si>
    <t>Legiana Halberd</t>
  </si>
  <si>
    <t>Glacial Lance</t>
  </si>
  <si>
    <t>Red Tail</t>
  </si>
  <si>
    <t>Flame Lance</t>
  </si>
  <si>
    <t>Blue Prominence</t>
  </si>
  <si>
    <t>Blue Tail</t>
  </si>
  <si>
    <t>Silver Prominence</t>
  </si>
  <si>
    <t>Tusk Lance+</t>
  </si>
  <si>
    <t>Tusk Lance</t>
  </si>
  <si>
    <t>Thunderpierce</t>
  </si>
  <si>
    <t>Garon Dhara</t>
  </si>
  <si>
    <t>Garon Lance</t>
  </si>
  <si>
    <t>Death Garon Lance</t>
  </si>
  <si>
    <t>Fiendish Tower</t>
  </si>
  <si>
    <t>Grief Lance</t>
  </si>
  <si>
    <t>Basarios Venom Spear</t>
  </si>
  <si>
    <t>Venom Lance</t>
  </si>
  <si>
    <t>Daora's Fang</t>
  </si>
  <si>
    <t>Kimi Ga Kiru</t>
  </si>
  <si>
    <t>Hana mo Hana Nare</t>
  </si>
  <si>
    <t>Teostra's Roar</t>
  </si>
  <si>
    <t>Dawnbreaker Lance</t>
  </si>
  <si>
    <t>Aknosom Lance</t>
  </si>
  <si>
    <t>Sinister Shadespear</t>
  </si>
  <si>
    <t>Sinister Spear</t>
  </si>
  <si>
    <t>Great Demon Lance</t>
  </si>
  <si>
    <t>Demon Lance</t>
  </si>
  <si>
    <t>Perdition's Hand</t>
  </si>
  <si>
    <t>Volvi Sweep+</t>
  </si>
  <si>
    <t>Volvi Stroke</t>
  </si>
  <si>
    <t>Tiger Stinger+</t>
  </si>
  <si>
    <t>Tiger Stinger</t>
  </si>
  <si>
    <t>Backbite</t>
  </si>
  <si>
    <t>Accursed Stinger</t>
  </si>
  <si>
    <t>Doris Spear</t>
  </si>
  <si>
    <t>Bazel Myniad Rookslayer</t>
  </si>
  <si>
    <t>Rookslayer Lance</t>
  </si>
  <si>
    <t>Svarog Blazer+</t>
  </si>
  <si>
    <t>Svarog Blazer</t>
  </si>
  <si>
    <t>Hidden Hastur</t>
  </si>
  <si>
    <t>Hydros Ullr</t>
  </si>
  <si>
    <t>Golm Tower+</t>
  </si>
  <si>
    <t>Golm Tower</t>
  </si>
  <si>
    <t>Frostmoon Spirilance+</t>
  </si>
  <si>
    <t>Frostmoon Spirilance</t>
  </si>
  <si>
    <t>Rosenranze+</t>
  </si>
  <si>
    <t>Rosenranze</t>
  </si>
  <si>
    <t>Mastlayer</t>
  </si>
  <si>
    <t>Hard Bone Lance</t>
  </si>
  <si>
    <t>Bone Lance</t>
  </si>
  <si>
    <t>Esperanza Lance</t>
  </si>
  <si>
    <t>Hope Lance</t>
  </si>
  <si>
    <t>Steel Gunlance</t>
  </si>
  <si>
    <t>Gunlance</t>
  </si>
  <si>
    <t>Iron Gunlance</t>
  </si>
  <si>
    <t>Normal</t>
  </si>
  <si>
    <t>Glutton Gunlance</t>
  </si>
  <si>
    <t>Jagras Gunlance</t>
  </si>
  <si>
    <t>Barroth Blaster</t>
  </si>
  <si>
    <t>Carapace Cannon</t>
  </si>
  <si>
    <t>Wide</t>
  </si>
  <si>
    <t>Deathfang Gunlance</t>
  </si>
  <si>
    <t>Girros Gunlance</t>
  </si>
  <si>
    <t>Kadachi Striker</t>
  </si>
  <si>
    <t>Pulsar Gunlance</t>
  </si>
  <si>
    <t>Long</t>
  </si>
  <si>
    <t>Jyura Buster</t>
  </si>
  <si>
    <t>Madness Gunlance</t>
  </si>
  <si>
    <t>Anja Cannon</t>
  </si>
  <si>
    <t>Blazing Gunlance</t>
  </si>
  <si>
    <t>Ending Fulgur</t>
  </si>
  <si>
    <t>Princess Panoply+</t>
  </si>
  <si>
    <t>Princess Panoply</t>
  </si>
  <si>
    <t>Royal Burst</t>
  </si>
  <si>
    <t>Rose Burst</t>
  </si>
  <si>
    <t>Queen's Panoply</t>
  </si>
  <si>
    <t>Legiana Cannon</t>
  </si>
  <si>
    <t>Glacial Gunlance</t>
  </si>
  <si>
    <t>Red Rook</t>
  </si>
  <si>
    <t>Rath Gunlance</t>
  </si>
  <si>
    <t>Blue Chariot</t>
  </si>
  <si>
    <t>Blue Rook</t>
  </si>
  <si>
    <t>Chariot Gun</t>
  </si>
  <si>
    <t>Mammoth Gunlance</t>
  </si>
  <si>
    <t>Twinfang+</t>
  </si>
  <si>
    <t>Twinfang</t>
  </si>
  <si>
    <t>Despot's Phlogiston</t>
  </si>
  <si>
    <t>Usurper's Roar</t>
  </si>
  <si>
    <t>Insatiable Gunlance</t>
  </si>
  <si>
    <t>Ravenous Gunlance</t>
  </si>
  <si>
    <t>High Volt Gunlance</t>
  </si>
  <si>
    <t>Full Voltage</t>
  </si>
  <si>
    <t>Daora's Brigia</t>
  </si>
  <si>
    <t>Mizumori</t>
  </si>
  <si>
    <t>Ukiyo no Yamiwo</t>
  </si>
  <si>
    <t>Dawnbreaker Gunlance</t>
  </si>
  <si>
    <t>Aknosom Gunlance</t>
  </si>
  <si>
    <t>Sinister Shadowshot</t>
  </si>
  <si>
    <t>Sinister Gunlance</t>
  </si>
  <si>
    <t>Great Demon Gunlance</t>
  </si>
  <si>
    <t>Demon Gunlance</t>
  </si>
  <si>
    <t>Eradication Flame</t>
  </si>
  <si>
    <t>Lagomberatrix</t>
  </si>
  <si>
    <t>Lagomberator</t>
  </si>
  <si>
    <t>Shatter God</t>
  </si>
  <si>
    <t>Shattershot</t>
  </si>
  <si>
    <t>Tiger Blast+</t>
  </si>
  <si>
    <t>Tiger Blast</t>
  </si>
  <si>
    <t>Flamebite</t>
  </si>
  <si>
    <t>Accursed Blast</t>
  </si>
  <si>
    <t>Bazel Buster</t>
  </si>
  <si>
    <t>Glavenus Buster</t>
  </si>
  <si>
    <t>Venomous Attar</t>
  </si>
  <si>
    <t>Hidden Cannon</t>
  </si>
  <si>
    <t>Black Ephyra</t>
  </si>
  <si>
    <t>Golm Benedictus+</t>
  </si>
  <si>
    <t>Golm Benedictus</t>
  </si>
  <si>
    <t>Frostmoon Gunlance+</t>
  </si>
  <si>
    <t>Frostmoon Gunlance</t>
  </si>
  <si>
    <t>Rosenkanone+</t>
  </si>
  <si>
    <t>Rosenkanone</t>
  </si>
  <si>
    <t>Scorched Schleien</t>
  </si>
  <si>
    <t>Bone Cannon</t>
  </si>
  <si>
    <t>Bone Gunlance</t>
  </si>
  <si>
    <t>Esperanza Gunlance</t>
  </si>
  <si>
    <t>Hope Gunlance</t>
  </si>
  <si>
    <t>Improved Steel Axe</t>
  </si>
  <si>
    <t>Switch Axe</t>
  </si>
  <si>
    <t>Proto Iron Axe</t>
  </si>
  <si>
    <t>Poison Phial</t>
  </si>
  <si>
    <t>Jagras Raider</t>
  </si>
  <si>
    <t>Jagras Axe</t>
  </si>
  <si>
    <t>Exhaust Phial</t>
  </si>
  <si>
    <t>Datura Garden</t>
  </si>
  <si>
    <t>Power Phial</t>
  </si>
  <si>
    <t>Deep Lagoon</t>
  </si>
  <si>
    <t>Power Element Phial</t>
  </si>
  <si>
    <t>Barroth Grinder</t>
  </si>
  <si>
    <t>Carapace Axe</t>
  </si>
  <si>
    <t>Paralysis Phial</t>
  </si>
  <si>
    <t>Lighting Chopper</t>
  </si>
  <si>
    <t>Thunder Axe</t>
  </si>
  <si>
    <t>Lumu Smasher</t>
  </si>
  <si>
    <t>Lumu Axe</t>
  </si>
  <si>
    <t>Nyx Smasher</t>
  </si>
  <si>
    <t>Jyura Drought</t>
  </si>
  <si>
    <t>Madness Axe</t>
  </si>
  <si>
    <t>Flammenbeil+</t>
  </si>
  <si>
    <t>Flammenbeil</t>
  </si>
  <si>
    <t>Donnerbeil+</t>
  </si>
  <si>
    <t>Donnerbeil</t>
  </si>
  <si>
    <t>Dragonmaiden Axe+</t>
  </si>
  <si>
    <t>Dragonmaiden Axe</t>
  </si>
  <si>
    <t>Golden Crescent</t>
  </si>
  <si>
    <t>Legia Frostreaver</t>
  </si>
  <si>
    <t>Glacial Axe</t>
  </si>
  <si>
    <t>Axe Semper Tyrannis</t>
  </si>
  <si>
    <t>Diablos Axe</t>
  </si>
  <si>
    <t>Axe of Demons</t>
  </si>
  <si>
    <t>Axe of Thanatos</t>
  </si>
  <si>
    <t>Rathbringer Axe</t>
  </si>
  <si>
    <t>Rathalos Axe</t>
  </si>
  <si>
    <t>Azure Rathbringer</t>
  </si>
  <si>
    <t>Silver Rathbringer</t>
  </si>
  <si>
    <t>Mammoth Halberd</t>
  </si>
  <si>
    <t>Amber Slash+</t>
  </si>
  <si>
    <t>Amber Slash</t>
  </si>
  <si>
    <t>Thundercleave</t>
  </si>
  <si>
    <t>Terror Tyrannos</t>
  </si>
  <si>
    <t>Tyrannos</t>
  </si>
  <si>
    <t>Khezu Cleaver</t>
  </si>
  <si>
    <t>Khezu Axe</t>
  </si>
  <si>
    <t>Daora's janah</t>
  </si>
  <si>
    <t>Parting Slice</t>
  </si>
  <si>
    <t>Fond Farewell</t>
  </si>
  <si>
    <t>Teostra's Castle</t>
  </si>
  <si>
    <t>Daybreak Silvaris</t>
  </si>
  <si>
    <t>Axenosom</t>
  </si>
  <si>
    <t>Sinister Shadowslice</t>
  </si>
  <si>
    <t>Sinister Axe</t>
  </si>
  <si>
    <t>Undying Light</t>
  </si>
  <si>
    <t>Undying Axe</t>
  </si>
  <si>
    <t>Dying Light</t>
  </si>
  <si>
    <t>Longear Weiss</t>
  </si>
  <si>
    <t>Longear Axe</t>
  </si>
  <si>
    <t>Vermilingua</t>
  </si>
  <si>
    <t>Binding Roller</t>
  </si>
  <si>
    <t>Rex Raider</t>
  </si>
  <si>
    <t>Accursed Raider</t>
  </si>
  <si>
    <t>Peal</t>
  </si>
  <si>
    <t>Bazel Raider</t>
  </si>
  <si>
    <t>Arzuros Revelax</t>
  </si>
  <si>
    <t>Arzuros Axe</t>
  </si>
  <si>
    <t>Glavenus Smasher</t>
  </si>
  <si>
    <t>Balor's Mirage</t>
  </si>
  <si>
    <t>Axe of Wisdom</t>
  </si>
  <si>
    <t>Wheel Axe</t>
  </si>
  <si>
    <t>Dragon Phial</t>
  </si>
  <si>
    <t>Hidden Axe+</t>
  </si>
  <si>
    <t>Hidden Axe</t>
  </si>
  <si>
    <t>Black Strobila</t>
  </si>
  <si>
    <t>Golm Axe+</t>
  </si>
  <si>
    <t>Golm Axe</t>
  </si>
  <si>
    <t>Frostmoon Eclipser+</t>
  </si>
  <si>
    <t>Frostmoon Eclipser</t>
  </si>
  <si>
    <t>Rosenacanta+</t>
  </si>
  <si>
    <t>Rosenacanta</t>
  </si>
  <si>
    <t>Fracturing Falter</t>
  </si>
  <si>
    <t>Bone Smasher</t>
  </si>
  <si>
    <t>Bone Axe</t>
  </si>
  <si>
    <t>Esperanza Axe</t>
  </si>
  <si>
    <t>Hope Axe</t>
  </si>
  <si>
    <t>Elite Commission Axe</t>
  </si>
  <si>
    <t>Charge Blade</t>
  </si>
  <si>
    <t>Proto Commission Axe</t>
  </si>
  <si>
    <t>Impact Phial</t>
  </si>
  <si>
    <t>Jagras Escudo</t>
  </si>
  <si>
    <t>Jagras Strongarm</t>
  </si>
  <si>
    <t>Girros Nadja</t>
  </si>
  <si>
    <t>Girros Strongarm</t>
  </si>
  <si>
    <t>Kadachi Kaina</t>
  </si>
  <si>
    <t>Pulsar Strongarm</t>
  </si>
  <si>
    <t>Power Elemental Phial</t>
  </si>
  <si>
    <t>Jyura Depth</t>
  </si>
  <si>
    <t>Mudslide Blade</t>
  </si>
  <si>
    <t>Dear Lutemis</t>
  </si>
  <si>
    <t>Dear Hecatelia</t>
  </si>
  <si>
    <t>Dear Hecatel</t>
  </si>
  <si>
    <t>Luna Eostre</t>
  </si>
  <si>
    <t>Gigafrost</t>
  </si>
  <si>
    <t>Everfrost Blade</t>
  </si>
  <si>
    <t>Diablos Tyrannis</t>
  </si>
  <si>
    <t>Diablos Wall</t>
  </si>
  <si>
    <t>Thanatos Force</t>
  </si>
  <si>
    <t>Aelion Blade</t>
  </si>
  <si>
    <t>Rathsblade</t>
  </si>
  <si>
    <t>Azure Soulbrand</t>
  </si>
  <si>
    <t>Hellsire Blade</t>
  </si>
  <si>
    <t>Weissritter+</t>
  </si>
  <si>
    <t>Weissritter</t>
  </si>
  <si>
    <t>Despot's Thundergale</t>
  </si>
  <si>
    <t>Usurper's Lightning</t>
  </si>
  <si>
    <t>Hate's Undying Flame</t>
  </si>
  <si>
    <t>Garon Strongarm</t>
  </si>
  <si>
    <t>Grudge</t>
  </si>
  <si>
    <t>Nether Candle</t>
  </si>
  <si>
    <t>Oppressor's Charge Blade</t>
  </si>
  <si>
    <t>Tyrant's Charge Blade</t>
  </si>
  <si>
    <t>Titan's Vise</t>
  </si>
  <si>
    <t>Giga Grips</t>
  </si>
  <si>
    <t>Daora's Thwartoise</t>
  </si>
  <si>
    <t>Final Fieldblade</t>
  </si>
  <si>
    <t>Mizuniya Drill</t>
  </si>
  <si>
    <t>Teostra's Nova</t>
  </si>
  <si>
    <t>Sinister Shade Axe</t>
  </si>
  <si>
    <t>Sinister Slasher</t>
  </si>
  <si>
    <t>Ikaji Immortal</t>
  </si>
  <si>
    <t>Undying Blade</t>
  </si>
  <si>
    <t>Devastation's Thorns</t>
  </si>
  <si>
    <t>Rotaxion</t>
  </si>
  <si>
    <t>Rough Roller</t>
  </si>
  <si>
    <t>Illusory Frilled Wail</t>
  </si>
  <si>
    <t>Bellowing Blow</t>
  </si>
  <si>
    <t>Rex Arms</t>
  </si>
  <si>
    <t>Accursed Arms</t>
  </si>
  <si>
    <t>Shrouded Kutharja</t>
  </si>
  <si>
    <t>Chata Strongarm</t>
  </si>
  <si>
    <t>Scorching Demander+</t>
  </si>
  <si>
    <t>Scorching Demander</t>
  </si>
  <si>
    <t>Etherward</t>
  </si>
  <si>
    <t>Deep Schnegel</t>
  </si>
  <si>
    <t>Hidden Guardian</t>
  </si>
  <si>
    <t>Hydros Kardia</t>
  </si>
  <si>
    <t>Golm Heart+</t>
  </si>
  <si>
    <t>Golm Heart</t>
  </si>
  <si>
    <t>Frostmoon Icecutioner+</t>
  </si>
  <si>
    <t>Frostmoon Icecutioner</t>
  </si>
  <si>
    <t>Rosenrupe+</t>
  </si>
  <si>
    <t>Rosenrupe</t>
  </si>
  <si>
    <t>Bloodeagle Adler</t>
  </si>
  <si>
    <t>Hard Bone Strongarm</t>
  </si>
  <si>
    <t>Bone Strongarm</t>
  </si>
  <si>
    <t>Esperanza Strongarm</t>
  </si>
  <si>
    <t>Hope Strongarm</t>
  </si>
  <si>
    <t>Egg Strongarm</t>
  </si>
  <si>
    <t>High Chain Blitz</t>
  </si>
  <si>
    <t>Light Bowgun</t>
  </si>
  <si>
    <t>Chain Blitz</t>
  </si>
  <si>
    <t>Normal Ammo 1 - 5 - Average - Normal</t>
  </si>
  <si>
    <t>Pierce Ammo 1 - 4 - High - Slow</t>
  </si>
  <si>
    <t>Jagras Fire</t>
  </si>
  <si>
    <t>Jagras Blitz</t>
  </si>
  <si>
    <t>Water Ammo - 6 - Average - Normal</t>
  </si>
  <si>
    <t>Slicing Water Ammo - 2 - Very high - Slow</t>
  </si>
  <si>
    <t>Laguna Blitz</t>
  </si>
  <si>
    <t>Water Ammo - 5 - Average - Normal</t>
  </si>
  <si>
    <t>Piercing Water Ammo - 4 - High - Slow</t>
  </si>
  <si>
    <t>Sticky Water Ammo - 4 - Very high - Very slow</t>
  </si>
  <si>
    <t>Carapace Rifle</t>
  </si>
  <si>
    <t>Normal Ammo 1 - 4 - Average - Normal</t>
  </si>
  <si>
    <t>Spread Ammo 1 - 3 - High - Slow</t>
  </si>
  <si>
    <t>Lightning Blitz</t>
  </si>
  <si>
    <t>Thunder Blitz</t>
  </si>
  <si>
    <t>Thunder Ammo - 5 - Average - Normal</t>
  </si>
  <si>
    <t>Slicing Thunder Ammo - 3 - Very high - Slow</t>
  </si>
  <si>
    <t>Lumu Typhon</t>
  </si>
  <si>
    <t>Lumu Blitz</t>
  </si>
  <si>
    <t>Spread Ammo 1 - 4 - High - Slow</t>
  </si>
  <si>
    <t>Nightmare's Seed</t>
  </si>
  <si>
    <t>Sleep Ammo 1 - 3 - High - Slow</t>
  </si>
  <si>
    <t>Sticky Ammo 1 - 3 - Very high - Slow</t>
  </si>
  <si>
    <t>Jyura Bullet</t>
  </si>
  <si>
    <t>Madness Rifle</t>
  </si>
  <si>
    <t>Spread Water Ammo - 4 - High - Slow</t>
  </si>
  <si>
    <t>Sticky Water Ammo - 2 - Very high - Slow</t>
  </si>
  <si>
    <t>Anja Buster</t>
  </si>
  <si>
    <t>Blazing Rifle</t>
  </si>
  <si>
    <t>Flamming Ammo - 6 - Average - Normal</t>
  </si>
  <si>
    <t>Sticky Fire Ammo - 3 - Very high - Slow</t>
  </si>
  <si>
    <t>Fulgurshot</t>
  </si>
  <si>
    <t>Spread Thunder Ammo - 3 - High - Slow</t>
  </si>
  <si>
    <t>Spread Thunder Ammo - 4 - High - Slow</t>
  </si>
  <si>
    <t>Gold Valkyrie</t>
  </si>
  <si>
    <t>Poison Ammo 1 - 4 - High - Slow</t>
  </si>
  <si>
    <t>Spread Ammo 1 - 5 - High - Slow</t>
  </si>
  <si>
    <t>Frost Blitz</t>
  </si>
  <si>
    <t>Snow Blitz</t>
  </si>
  <si>
    <t>Freeze Ammo - 5 - Average - Normal</t>
  </si>
  <si>
    <t>Spread Ice Ammo - 4 - High - Slow</t>
  </si>
  <si>
    <t>Slicing Ice Ammo - 3 - Very high - Slow</t>
  </si>
  <si>
    <t>Rathbuster</t>
  </si>
  <si>
    <t>Flame Blitz</t>
  </si>
  <si>
    <t>Flaming Ammo - 5 - Average - Normal</t>
  </si>
  <si>
    <t>Piercing Fire Ammo - 4 - High - Slow</t>
  </si>
  <si>
    <t>Slicing Fire Ammo - 3 - Very high - Slow</t>
  </si>
  <si>
    <t>Azure Soulscorcher</t>
  </si>
  <si>
    <t>Sticky Fire Ammo - 2 - Very high - Slow</t>
  </si>
  <si>
    <t>Argent Ray</t>
  </si>
  <si>
    <t>Poison Ammo 1 - 3 - High - Slow</t>
  </si>
  <si>
    <t>Mammoth Bowgun</t>
  </si>
  <si>
    <t>Sticky Ammo 1 - 2 - Very high - Slow</t>
  </si>
  <si>
    <t>Blizzard Cannon+</t>
  </si>
  <si>
    <t>Blizzard Cannon</t>
  </si>
  <si>
    <t>Spread Ice Ammo - 3 - High - Slow</t>
  </si>
  <si>
    <t>Piercing Ice Ammo - 3 - High - Slow</t>
  </si>
  <si>
    <t>Despot's Wildfire</t>
  </si>
  <si>
    <t>Usurper's Crime</t>
  </si>
  <si>
    <t>Piercing Thunder Ammo - 4 - High - Slow</t>
  </si>
  <si>
    <t>Sticky Thunder Ammo - 2 - Very high - Slow</t>
  </si>
  <si>
    <t>Fate's Ember</t>
  </si>
  <si>
    <t>Garon Rifle</t>
  </si>
  <si>
    <t>Normal Ammo 1 - 4 - Average - Fast</t>
  </si>
  <si>
    <t>Pierce Ammo 1 - 3 - High - Normal</t>
  </si>
  <si>
    <t>Ghost</t>
  </si>
  <si>
    <t>Nether Salvo</t>
  </si>
  <si>
    <t>Dragon Ammo -  4 - Average - Fast</t>
  </si>
  <si>
    <t>Piercing Dragon Ammo - 3 - High - Normal</t>
  </si>
  <si>
    <t>Devil's Madness</t>
  </si>
  <si>
    <t>Devil's Grin</t>
  </si>
  <si>
    <t>Dragon Ammo -  5 - Average - Normal</t>
  </si>
  <si>
    <t>Slicing Dragon Ammo - 3 - Very high - Slow</t>
  </si>
  <si>
    <t>Sticky Dragon Ammo - 2 - Very high - Slow</t>
  </si>
  <si>
    <t>Grenade Revolver</t>
  </si>
  <si>
    <t>Grenade Launcher</t>
  </si>
  <si>
    <t>Flaming Ammo - 4 - Low - Slow</t>
  </si>
  <si>
    <t>Sticky Fire Ammo - 2 - High - Very slow</t>
  </si>
  <si>
    <t>Khezu Hypo</t>
  </si>
  <si>
    <t>Khezu Syringe</t>
  </si>
  <si>
    <t>Piercing Thunder Ammo - 3 - High - Slow</t>
  </si>
  <si>
    <t>Daora's Hornet</t>
  </si>
  <si>
    <t>Freeze Ammo - 5 - Low - Normal</t>
  </si>
  <si>
    <t>Piercing Ice Ammo - 4 - Average - Slow</t>
  </si>
  <si>
    <t>Nifl Mist</t>
  </si>
  <si>
    <t>Desolate Mist</t>
  </si>
  <si>
    <t>Sticky Water Ammo - 3 - Very high - Slow</t>
  </si>
  <si>
    <t>Slicing Water Ammo - 3 - Very high - Slow</t>
  </si>
  <si>
    <t>Teostra's Flamebolt</t>
  </si>
  <si>
    <t>Flamming Ammo - 5 - Low - Normal</t>
  </si>
  <si>
    <t>Spread Fire Ammo - 4 - Average - Slow</t>
  </si>
  <si>
    <t>Sinister Bowgun</t>
  </si>
  <si>
    <t>Normal Ammo 1 - 6 - Average - Normal</t>
  </si>
  <si>
    <t>Cluster Bomb 1 - 2 - Very high - Slow</t>
  </si>
  <si>
    <t>Ten Thousand Volts</t>
  </si>
  <si>
    <t>Rajang Barrage</t>
  </si>
  <si>
    <t>Thunder Ammo - 4 - Average - Fast</t>
  </si>
  <si>
    <t>Spread Thunder Ammo - 5 - High - Slow</t>
  </si>
  <si>
    <t>Sticky Thunder Ammo - 3 - Very high - Slow</t>
  </si>
  <si>
    <t>Cataclysm's Trigger</t>
  </si>
  <si>
    <t>Dragon Ammo -  5 - Low - Normal</t>
  </si>
  <si>
    <t>Spread Dragon Ammo - 4 - Average - Slow</t>
  </si>
  <si>
    <t>Sticky Dragon Ammo - 3 - Very high - Slow</t>
  </si>
  <si>
    <t>Rex Fusillade</t>
  </si>
  <si>
    <t>Accursed Fire</t>
  </si>
  <si>
    <t>Pierce Ammo 1 - 3 - High - Slow</t>
  </si>
  <si>
    <t>Mythical Three-Horn</t>
  </si>
  <si>
    <t>Piercing Thunder Ammo - 5 - High - Normal</t>
  </si>
  <si>
    <t>Paralysis Ammo 1 - 3 - High - Normal</t>
  </si>
  <si>
    <t>Bazel Typhoon</t>
  </si>
  <si>
    <t>Cluster Fire Ammo - 2 - Very high - Slow</t>
  </si>
  <si>
    <t>Glavenus Blitz</t>
  </si>
  <si>
    <t>Spread Fire Ammo - 3 - High - Slow</t>
  </si>
  <si>
    <t>Cursed Lamp</t>
  </si>
  <si>
    <t>Poison Ammo 1 - 6 - High - Slow</t>
  </si>
  <si>
    <t>Pierce Ammo 1 - 5 - High - Slow</t>
  </si>
  <si>
    <t>Great Lotus Bowgun</t>
  </si>
  <si>
    <t>Lotus Bowgun</t>
  </si>
  <si>
    <t>Beo Shooter</t>
  </si>
  <si>
    <t>Sticky Ice Ammo - 3 - Very high - Slow</t>
  </si>
  <si>
    <t>Hidden Bullet</t>
  </si>
  <si>
    <t>Slicing Ammo - 3 - Very high - Slow</t>
  </si>
  <si>
    <t>Black Acinula</t>
  </si>
  <si>
    <t>Spread Water Ammo - 3 - High - Normal</t>
  </si>
  <si>
    <t>Spread Water Ammo - 4 - High - Normal</t>
  </si>
  <si>
    <t>Golm Assaulter+</t>
  </si>
  <si>
    <t>Golm Assaulter</t>
  </si>
  <si>
    <t>Normal Ammo 1 - 6 - Average - Slow</t>
  </si>
  <si>
    <t>Pierce Ammo 1 - 6 - High - Very Slow</t>
  </si>
  <si>
    <t>Frostbiter+</t>
  </si>
  <si>
    <t>Frostbiter</t>
  </si>
  <si>
    <t>Piercing Ice Ammo - 4 - High - Slow</t>
  </si>
  <si>
    <t>Rosengewehr+</t>
  </si>
  <si>
    <t>Rosengewehr</t>
  </si>
  <si>
    <t>Spread Fire Ammo - 4 - High - Slow</t>
  </si>
  <si>
    <t>Vigil Kugei</t>
  </si>
  <si>
    <t>Piercing Dragon Ammo - 4 - High - Normal</t>
  </si>
  <si>
    <t>Hunter's Rifle</t>
  </si>
  <si>
    <t>Lucky Light Bowgun</t>
  </si>
  <si>
    <t>Esperanza Rifle</t>
  </si>
  <si>
    <t>Hope Rifle</t>
  </si>
  <si>
    <t>Poison Ammo 1 - 3 - High - Normal</t>
  </si>
  <si>
    <t>Steel Assault</t>
  </si>
  <si>
    <t>Heavy Bowgun</t>
  </si>
  <si>
    <t>Iron Assault</t>
  </si>
  <si>
    <t>Normal Ammo 1 - 6 - Low - Normal</t>
  </si>
  <si>
    <t>Wyvern Ammo - 2 - Wyvern - Slow</t>
  </si>
  <si>
    <t>Jagras Cannon</t>
  </si>
  <si>
    <t>Jagras Assault</t>
  </si>
  <si>
    <t>Water Ammo - 6 - Low - Normal</t>
  </si>
  <si>
    <t>Spread Water Ammo - 6 - Average - Very slow</t>
  </si>
  <si>
    <t>Cluster Water Ammo - 2 - High - Very slow</t>
  </si>
  <si>
    <t>Datura Blaster</t>
  </si>
  <si>
    <t>Blooming Shooter</t>
  </si>
  <si>
    <t>Pierce Ammo 1 - 6 - Average - Very slow</t>
  </si>
  <si>
    <t>Poison Ammo 1 - 5 - Average - Very slow</t>
  </si>
  <si>
    <t>Laguna Blaster</t>
  </si>
  <si>
    <t>Piercing Water Ammo - 6 - Average - Very slow</t>
  </si>
  <si>
    <t>Poison Ammo 1 - 4 - Average - Slow</t>
  </si>
  <si>
    <t>Kadachi Lion</t>
  </si>
  <si>
    <t>Pulsar Shooter</t>
  </si>
  <si>
    <t>Thunder Ammo - 6 - Low - Normal</t>
  </si>
  <si>
    <t>Wyvern Thunder Ammo - 2 - Wyvern - Slow</t>
  </si>
  <si>
    <t>Piercing Thunder Ammo - 6 - Average - Very slow</t>
  </si>
  <si>
    <t>Nightmare Cannon</t>
  </si>
  <si>
    <t>Spread Ammo 1 - 7 - Average - Very slow</t>
  </si>
  <si>
    <t>Sleep Ammo 1 - 5 - Average - Very slow</t>
  </si>
  <si>
    <t>Water Cannon</t>
  </si>
  <si>
    <t>Aqua Assault</t>
  </si>
  <si>
    <t>Water Ammo - 8 - Low - Very slow</t>
  </si>
  <si>
    <t>Wyvern Water Ammo - 2 - Wyvern - Slow</t>
  </si>
  <si>
    <t>Flammenkanone</t>
  </si>
  <si>
    <t>Blazing Assault</t>
  </si>
  <si>
    <t>Spread Fire Ammo - 6 - Average - Very slow</t>
  </si>
  <si>
    <t>Cluster Fire Ammo - 2 - High - Very slow</t>
  </si>
  <si>
    <t>Donnerkanone+</t>
  </si>
  <si>
    <t>Donnerkanone</t>
  </si>
  <si>
    <t>Spread Thunder Ammo - 6 - Average - Very slow</t>
  </si>
  <si>
    <t>Queen's Farflier</t>
  </si>
  <si>
    <t>Queen's Longfire</t>
  </si>
  <si>
    <t>Poison Ammo 1 - 5 - Average - Slow</t>
  </si>
  <si>
    <t>Cluster Bomb 1 - 2 - High - Very slow</t>
  </si>
  <si>
    <t>Moonlight Sparkflier</t>
  </si>
  <si>
    <t>Poison Ammo 1 - 6 - Average - Very slow</t>
  </si>
  <si>
    <t>Pierce Ammo 1 - 8 - Average - Very slow</t>
  </si>
  <si>
    <t>Shattercryst+</t>
  </si>
  <si>
    <t>Shattercryst</t>
  </si>
  <si>
    <t>Piercing Ice Ammo - 6 - Average - Very slow</t>
  </si>
  <si>
    <t>Slicing Ice Ammo - 4 - High - Very slow</t>
  </si>
  <si>
    <t>Diablos Shooter</t>
  </si>
  <si>
    <t>Normal Ammo 1 - 4 - Low - Fast</t>
  </si>
  <si>
    <t>Griffon Blazooka</t>
  </si>
  <si>
    <t>Nero's Blazooka</t>
  </si>
  <si>
    <t>Pierce Ammo 1 - 4 - Average - Slow</t>
  </si>
  <si>
    <t>Baan Roar</t>
  </si>
  <si>
    <t>Spiked Shooter</t>
  </si>
  <si>
    <t>Sleep Ammo 1 - 4 - Average - Slow</t>
  </si>
  <si>
    <t>Wyvern Ammo - 1 - Wyvern - Slow</t>
  </si>
  <si>
    <t>Icicle Assault</t>
  </si>
  <si>
    <t>Piercing Ice Ammo - 6 - Average - Slow</t>
  </si>
  <si>
    <t>Wyvern Ice Ammo - 2 - Wyvern - Slow</t>
  </si>
  <si>
    <t>Loyal Thunder</t>
  </si>
  <si>
    <t>Mightning</t>
  </si>
  <si>
    <t>Spread Thunder Ammo - 7 - Average - Very slow</t>
  </si>
  <si>
    <t>Arma Destroyer</t>
  </si>
  <si>
    <t>Luminous Assault</t>
  </si>
  <si>
    <t>Thunder Ammo - 4 - Low - Fast</t>
  </si>
  <si>
    <t>Dark Devourer</t>
  </si>
  <si>
    <t>Gluttonous Cannon</t>
  </si>
  <si>
    <t>Spread Dragon Ammo - 7 - Average - Very slow</t>
  </si>
  <si>
    <t>Wyvern Dragon Ammo - 2 - Wyvern - Slow</t>
  </si>
  <si>
    <t>Sticky Dragon Ammo - 4 - High - Very slow</t>
  </si>
  <si>
    <t>Earth Eater</t>
  </si>
  <si>
    <t>Rock Eater</t>
  </si>
  <si>
    <t>Wyvern Fire Ammo - 2 - Wyvern - Slow</t>
  </si>
  <si>
    <t>Poison Ammo 1 - 3 - Average - Slow</t>
  </si>
  <si>
    <t>Sleep Ammo 1 - 3 - Average - Slow</t>
  </si>
  <si>
    <t>Daora Grande</t>
  </si>
  <si>
    <t>Piercing Ice Ammo - 6 - Low - Slow</t>
  </si>
  <si>
    <t>Sticky Ice Ammo - 4 - High - Very slow</t>
  </si>
  <si>
    <t>Cluster Ice Ammo - 3 - High - Very slow</t>
  </si>
  <si>
    <t>Mountainous Roar</t>
  </si>
  <si>
    <t>Cirrus Blaster</t>
  </si>
  <si>
    <t>Slicing Water Ammo - 4 - High - Very slow</t>
  </si>
  <si>
    <t>Teostra's Flames</t>
  </si>
  <si>
    <t>Piercing Fire Ammo - 6 - Low - Slow</t>
  </si>
  <si>
    <t>Sticky Fire Ammo - 4 - High - Very slow</t>
  </si>
  <si>
    <t>Cluster Fire Ammo - 3 - High - Very slow</t>
  </si>
  <si>
    <t>Sinister Volley</t>
  </si>
  <si>
    <t>Spread Ammo 1 - 7 - Average - Slow</t>
  </si>
  <si>
    <t>Slicing Ammo - 4 - High -Slow</t>
  </si>
  <si>
    <t>Cluster Bomb 1 - 3 - High - Very slow</t>
  </si>
  <si>
    <t>Rajang Destroyer</t>
  </si>
  <si>
    <t>Rajang Blaster</t>
  </si>
  <si>
    <t>Sticky Thunder Ammo - 4 - High - Very slow</t>
  </si>
  <si>
    <t>Cluster Thunder Ammo - 2 - High - Very slow</t>
  </si>
  <si>
    <t>Destruction's Fusillade</t>
  </si>
  <si>
    <t>Spheniscine Ruler</t>
  </si>
  <si>
    <t>Spheniscine Slayer</t>
  </si>
  <si>
    <t>Freeze Ammo - 4 - Low - Fast</t>
  </si>
  <si>
    <t>Rebound Shot</t>
  </si>
  <si>
    <t>Carom Shot</t>
  </si>
  <si>
    <t>Paralysis Ammo 1 - 5 - Average - Slow</t>
  </si>
  <si>
    <t>Tigrex Howl+</t>
  </si>
  <si>
    <t>Tigrex Howl</t>
  </si>
  <si>
    <t>Sticky Ammo 1 - 4 - High - Very slow</t>
  </si>
  <si>
    <t>Accursed Bellow</t>
  </si>
  <si>
    <t>Slicing Ammo - 4 - High - Very slow</t>
  </si>
  <si>
    <t>Spread Ammo 1 - 6 - Average - Very slow</t>
  </si>
  <si>
    <t>Quickcaster</t>
  </si>
  <si>
    <t>Piercing Thunder Ammo - 6 - Low - Slow</t>
  </si>
  <si>
    <t>Shrouded Muktana</t>
  </si>
  <si>
    <t>Chata Sheller</t>
  </si>
  <si>
    <t>Spread Ammo 1 - 4 - Average - Slow</t>
  </si>
  <si>
    <t>Arzuros Fishergun</t>
  </si>
  <si>
    <t>Arzuros Gun</t>
  </si>
  <si>
    <t>Pierce Ammo 1 - 7 - Average - Very slow</t>
  </si>
  <si>
    <t>Cluster Bomb 1 - 2 - High - Slow</t>
  </si>
  <si>
    <t>Burning Igna</t>
  </si>
  <si>
    <t>Piercing Fire Ammo - 6 - Average - Very slow</t>
  </si>
  <si>
    <t>Slicing Fire Ammo - 4 - High - Very slow</t>
  </si>
  <si>
    <t>Veiled Kamaeleon</t>
  </si>
  <si>
    <t>Highpriest Bowgun</t>
  </si>
  <si>
    <t>Paralysis Ammo 1 - 3 - Average - Slow</t>
  </si>
  <si>
    <t>Hidden Gambit+</t>
  </si>
  <si>
    <t>Hidden Gambit</t>
  </si>
  <si>
    <t>Hydros Laimos</t>
  </si>
  <si>
    <t>Spread Water Ammo - 8 - Average - Slow</t>
  </si>
  <si>
    <t>Sleep Ammo 1 - 5 - Average - Slow</t>
  </si>
  <si>
    <t>Golm Cannon+</t>
  </si>
  <si>
    <t>Golm Cannon</t>
  </si>
  <si>
    <t>Frostmoon Howlitzer+</t>
  </si>
  <si>
    <t>Frostmoon Howlitzer</t>
  </si>
  <si>
    <t>Piercing Ice Ammo - 5 - Average - Slow</t>
  </si>
  <si>
    <t>Rosenkugel+</t>
  </si>
  <si>
    <t>Rosenkugel</t>
  </si>
  <si>
    <t>Paralysis Ammo 1 - 5 - Average - Very slow</t>
  </si>
  <si>
    <t>Spread Fire Ammo - 7 - Average - Very slow</t>
  </si>
  <si>
    <t>Chalice of Desire</t>
  </si>
  <si>
    <t>Piercing Dragon Ammo - 6 - Low - Slow</t>
  </si>
  <si>
    <t>Slicing Dragon Ammo - 4 - High - Very slow</t>
  </si>
  <si>
    <t>Heavy Shooter</t>
  </si>
  <si>
    <t>Bone Shooter</t>
  </si>
  <si>
    <t>Pierce Ammo 1 - 6 - Average - Slow</t>
  </si>
  <si>
    <t>Esperanza Cannon</t>
  </si>
  <si>
    <t>Hope Cannon</t>
  </si>
  <si>
    <t>Summer Blaster</t>
  </si>
  <si>
    <t>Flaming Ammo - 4 - Low - Normal</t>
  </si>
  <si>
    <t>Sticky Fire Ammo - 3 - High - Very slow</t>
  </si>
  <si>
    <t>Cluster Fire Ammo - 1 - High - Very slow</t>
  </si>
  <si>
    <t>Steel Bow</t>
  </si>
  <si>
    <t>Bow</t>
  </si>
  <si>
    <t>Iron Bow</t>
  </si>
  <si>
    <t>R R R R</t>
  </si>
  <si>
    <t>1 2 3 4</t>
  </si>
  <si>
    <t>Archer's Dance</t>
  </si>
  <si>
    <t>Kulu Arrow</t>
  </si>
  <si>
    <t>R R R P</t>
  </si>
  <si>
    <t>Datura String</t>
  </si>
  <si>
    <t>Blooming Arch</t>
  </si>
  <si>
    <t>R R R S</t>
  </si>
  <si>
    <t>Laguna Shot</t>
  </si>
  <si>
    <t>R R P P</t>
  </si>
  <si>
    <t>2 3 3 4</t>
  </si>
  <si>
    <t>Kadachi Strikebow</t>
  </si>
  <si>
    <t>Pulsar Bow</t>
  </si>
  <si>
    <t>P P P P</t>
  </si>
  <si>
    <t>Nightmare String</t>
  </si>
  <si>
    <t>R R S S</t>
  </si>
  <si>
    <t>Water Shot</t>
  </si>
  <si>
    <t>Aqua Arrow</t>
  </si>
  <si>
    <t>S S R R</t>
  </si>
  <si>
    <t>Anja Arch</t>
  </si>
  <si>
    <t>Blazing Bow</t>
  </si>
  <si>
    <t>S S S S</t>
  </si>
  <si>
    <t>Fulguring Bow</t>
  </si>
  <si>
    <t>Princess Arrow</t>
  </si>
  <si>
    <t>Rosen Arrow</t>
  </si>
  <si>
    <t>P P S S</t>
  </si>
  <si>
    <t>Lunatic Arrow</t>
  </si>
  <si>
    <t>S P S P</t>
  </si>
  <si>
    <t>2 2 4 3</t>
  </si>
  <si>
    <t>Snowfletcher</t>
  </si>
  <si>
    <t>Glacial Arrow</t>
  </si>
  <si>
    <t>P P R R</t>
  </si>
  <si>
    <t>Diablos Coilbender</t>
  </si>
  <si>
    <t>Diablos Bow</t>
  </si>
  <si>
    <t>S R S R</t>
  </si>
  <si>
    <t>Cera Coilbender</t>
  </si>
  <si>
    <t>Galebender</t>
  </si>
  <si>
    <t>1 1 4 4</t>
  </si>
  <si>
    <t>Rathslinger</t>
  </si>
  <si>
    <t>Azure Mightbow</t>
  </si>
  <si>
    <t>Silver Wrathbow</t>
  </si>
  <si>
    <t>Mammoth Greatbow</t>
  </si>
  <si>
    <t>P S P S</t>
  </si>
  <si>
    <t>Icicle Blizzard</t>
  </si>
  <si>
    <t>Despot's Earlybolt</t>
  </si>
  <si>
    <t>Usurper's Rumble</t>
  </si>
  <si>
    <t>Villainous Brace</t>
  </si>
  <si>
    <t>Insurgent's Bow</t>
  </si>
  <si>
    <t>R S R P</t>
  </si>
  <si>
    <t>Khezu Bow</t>
  </si>
  <si>
    <t>Daora's Sagittarii</t>
  </si>
  <si>
    <t>R R S P</t>
  </si>
  <si>
    <t>1 2 4 4</t>
  </si>
  <si>
    <t>Heaven's Manna</t>
  </si>
  <si>
    <t>Blessed Rain</t>
  </si>
  <si>
    <t>Bow of Light &amp; Courage</t>
  </si>
  <si>
    <t>P P R S</t>
  </si>
  <si>
    <t>Sinister Soulpiercer</t>
  </si>
  <si>
    <t>Sinister Bow</t>
  </si>
  <si>
    <t>Beastking Thunderbow</t>
  </si>
  <si>
    <t>Beast Thunderbow</t>
  </si>
  <si>
    <t>Doom's Shaft</t>
  </si>
  <si>
    <t>S R P R</t>
  </si>
  <si>
    <t>Rex Bow</t>
  </si>
  <si>
    <t>Accursed Arc</t>
  </si>
  <si>
    <t>Arzuros' Honeypot</t>
  </si>
  <si>
    <t>Arzuros Bow</t>
  </si>
  <si>
    <t>S R P P</t>
  </si>
  <si>
    <t>Glavenus Arrow</t>
  </si>
  <si>
    <t>Demon's Guidance</t>
  </si>
  <si>
    <t>S S R P</t>
  </si>
  <si>
    <t>Hoodwinker's Revolver</t>
  </si>
  <si>
    <t>Wroggi Revolver</t>
  </si>
  <si>
    <t>P P P R</t>
  </si>
  <si>
    <t>Summit's Grand Glow</t>
  </si>
  <si>
    <t>Dawn Ray Bow</t>
  </si>
  <si>
    <t>S S P P</t>
  </si>
  <si>
    <t>Hidden Bow+</t>
  </si>
  <si>
    <t>Hidden Bow</t>
  </si>
  <si>
    <t>Black Planula</t>
  </si>
  <si>
    <t>Golm Bone Bow+</t>
  </si>
  <si>
    <t>Golm Bone Bow</t>
  </si>
  <si>
    <t>S R R S</t>
  </si>
  <si>
    <t>Frostmoon Crescentbow+</t>
  </si>
  <si>
    <t>Frostmoon Crescentbow</t>
  </si>
  <si>
    <t>Rosenbogen+</t>
  </si>
  <si>
    <t>Rosenbogen</t>
  </si>
  <si>
    <t>Ravenous Vampire</t>
  </si>
  <si>
    <t>Hunter's Stoutbow</t>
  </si>
  <si>
    <t>Hunter's Bow</t>
  </si>
  <si>
    <t>Esperanza Bow</t>
  </si>
  <si>
    <t>Hope Bow</t>
  </si>
  <si>
    <t xml:space="preserve">R R R 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</si>
</sst>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59"/>
  <sheetViews>
    <sheetView tabSelected="1" workbookViewId="0">
      <selection activeCell="N10" sqref="N10"/>
    </sheetView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G1" s="1" t="s">
        <v>0</v>
      </c>
      <c r="H1" s="1" t="s">
        <v>1</v>
      </c>
      <c r="I1" s="1" t="s">
        <v>5</v>
      </c>
    </row>
    <row r="2" spans="1:9" x14ac:dyDescent="0.2">
      <c r="A2" s="1">
        <v>1</v>
      </c>
      <c r="B2" s="1" t="s">
        <v>11</v>
      </c>
      <c r="C2" s="1" t="s">
        <v>13</v>
      </c>
      <c r="D2" s="1" t="s">
        <v>13</v>
      </c>
      <c r="E2" s="1">
        <f t="shared" ref="E2:E59" si="0">$A2</f>
        <v>1</v>
      </c>
      <c r="G2" s="1">
        <v>1</v>
      </c>
      <c r="H2" s="1" t="s">
        <v>41</v>
      </c>
      <c r="I2" s="1">
        <f t="shared" ref="I2:I11" si="1">G2</f>
        <v>1</v>
      </c>
    </row>
    <row r="3" spans="1:9" x14ac:dyDescent="0.2">
      <c r="A3" s="1">
        <v>2</v>
      </c>
      <c r="B3" s="1" t="s">
        <v>47</v>
      </c>
      <c r="C3" s="1" t="s">
        <v>48</v>
      </c>
      <c r="D3" s="1" t="s">
        <v>48</v>
      </c>
      <c r="E3" s="1">
        <f t="shared" si="0"/>
        <v>2</v>
      </c>
      <c r="G3" s="1">
        <v>2</v>
      </c>
      <c r="H3" s="1" t="s">
        <v>50</v>
      </c>
      <c r="I3" s="1">
        <f t="shared" si="1"/>
        <v>2</v>
      </c>
    </row>
    <row r="4" spans="1:9" x14ac:dyDescent="0.2">
      <c r="A4" s="1">
        <v>3</v>
      </c>
      <c r="B4" s="1" t="s">
        <v>52</v>
      </c>
      <c r="C4" s="1" t="s">
        <v>53</v>
      </c>
      <c r="D4" s="1" t="s">
        <v>53</v>
      </c>
      <c r="E4" s="1">
        <f t="shared" si="0"/>
        <v>3</v>
      </c>
      <c r="G4" s="1">
        <v>3</v>
      </c>
      <c r="H4" s="1" t="s">
        <v>58</v>
      </c>
      <c r="I4" s="1">
        <f t="shared" si="1"/>
        <v>3</v>
      </c>
    </row>
    <row r="5" spans="1:9" x14ac:dyDescent="0.2">
      <c r="A5" s="1">
        <v>4</v>
      </c>
      <c r="B5" s="1" t="s">
        <v>60</v>
      </c>
      <c r="C5" s="1" t="s">
        <v>61</v>
      </c>
      <c r="D5" s="1" t="s">
        <v>63</v>
      </c>
      <c r="E5" s="1">
        <f t="shared" si="0"/>
        <v>4</v>
      </c>
      <c r="G5" s="1">
        <v>4</v>
      </c>
      <c r="H5" s="1" t="s">
        <v>66</v>
      </c>
      <c r="I5" s="1">
        <f t="shared" si="1"/>
        <v>4</v>
      </c>
    </row>
    <row r="6" spans="1:9" x14ac:dyDescent="0.2">
      <c r="A6" s="1">
        <v>5</v>
      </c>
      <c r="B6" s="1" t="s">
        <v>69</v>
      </c>
      <c r="C6" s="1" t="s">
        <v>69</v>
      </c>
      <c r="D6" s="1" t="s">
        <v>69</v>
      </c>
      <c r="E6" s="1">
        <f t="shared" si="0"/>
        <v>5</v>
      </c>
      <c r="G6" s="1">
        <v>5</v>
      </c>
      <c r="H6" s="1" t="s">
        <v>71</v>
      </c>
      <c r="I6" s="1">
        <f t="shared" si="1"/>
        <v>5</v>
      </c>
    </row>
    <row r="7" spans="1:9" x14ac:dyDescent="0.2">
      <c r="A7" s="1">
        <v>6</v>
      </c>
      <c r="B7" s="1" t="s">
        <v>75</v>
      </c>
      <c r="C7" s="1" t="s">
        <v>76</v>
      </c>
      <c r="D7" s="1" t="s">
        <v>76</v>
      </c>
      <c r="E7" s="1">
        <f t="shared" si="0"/>
        <v>6</v>
      </c>
      <c r="G7" s="1">
        <v>6</v>
      </c>
      <c r="H7" s="1" t="s">
        <v>79</v>
      </c>
      <c r="I7" s="1">
        <f t="shared" si="1"/>
        <v>6</v>
      </c>
    </row>
    <row r="8" spans="1:9" x14ac:dyDescent="0.2">
      <c r="A8" s="1">
        <v>7</v>
      </c>
      <c r="B8" s="1" t="s">
        <v>81</v>
      </c>
      <c r="C8" s="1" t="s">
        <v>82</v>
      </c>
      <c r="D8" s="1" t="s">
        <v>82</v>
      </c>
      <c r="E8" s="1">
        <f t="shared" si="0"/>
        <v>7</v>
      </c>
      <c r="G8" s="1">
        <v>7</v>
      </c>
      <c r="H8" s="1" t="s">
        <v>87</v>
      </c>
      <c r="I8" s="1">
        <f t="shared" si="1"/>
        <v>7</v>
      </c>
    </row>
    <row r="9" spans="1:9" x14ac:dyDescent="0.2">
      <c r="A9" s="1">
        <v>8</v>
      </c>
      <c r="B9" s="1" t="s">
        <v>91</v>
      </c>
      <c r="C9" s="1" t="s">
        <v>91</v>
      </c>
      <c r="D9" s="1" t="s">
        <v>93</v>
      </c>
      <c r="E9" s="1">
        <f t="shared" si="0"/>
        <v>8</v>
      </c>
      <c r="G9" s="1">
        <v>8</v>
      </c>
      <c r="H9" s="1" t="s">
        <v>95</v>
      </c>
      <c r="I9" s="1">
        <f t="shared" si="1"/>
        <v>8</v>
      </c>
    </row>
    <row r="10" spans="1:9" x14ac:dyDescent="0.2">
      <c r="A10" s="1">
        <v>9</v>
      </c>
      <c r="B10" s="1" t="s">
        <v>97</v>
      </c>
      <c r="C10" s="1" t="s">
        <v>97</v>
      </c>
      <c r="D10" s="1" t="s">
        <v>98</v>
      </c>
      <c r="E10" s="1">
        <f t="shared" si="0"/>
        <v>9</v>
      </c>
      <c r="G10" s="1">
        <v>9</v>
      </c>
      <c r="H10" s="1" t="s">
        <v>100</v>
      </c>
      <c r="I10" s="1">
        <f t="shared" si="1"/>
        <v>9</v>
      </c>
    </row>
    <row r="11" spans="1:9" x14ac:dyDescent="0.2">
      <c r="A11" s="1">
        <v>10</v>
      </c>
      <c r="B11" s="1" t="s">
        <v>102</v>
      </c>
      <c r="C11" s="1" t="s">
        <v>102</v>
      </c>
      <c r="D11" s="1" t="s">
        <v>104</v>
      </c>
      <c r="E11" s="1">
        <f t="shared" si="0"/>
        <v>10</v>
      </c>
      <c r="G11" s="1">
        <v>10</v>
      </c>
      <c r="H11" s="1" t="s">
        <v>107</v>
      </c>
      <c r="I11" s="1">
        <f t="shared" si="1"/>
        <v>10</v>
      </c>
    </row>
    <row r="12" spans="1:9" x14ac:dyDescent="0.2">
      <c r="A12" s="1">
        <v>11</v>
      </c>
      <c r="B12" s="1" t="s">
        <v>109</v>
      </c>
      <c r="C12" s="1" t="s">
        <v>109</v>
      </c>
      <c r="D12" s="1" t="s">
        <v>112</v>
      </c>
      <c r="E12" s="1">
        <f t="shared" si="0"/>
        <v>11</v>
      </c>
    </row>
    <row r="13" spans="1:9" x14ac:dyDescent="0.2">
      <c r="A13" s="1">
        <v>12</v>
      </c>
      <c r="B13" s="1" t="s">
        <v>119</v>
      </c>
      <c r="C13" s="1" t="s">
        <v>121</v>
      </c>
      <c r="D13" s="1" t="s">
        <v>121</v>
      </c>
      <c r="E13" s="1">
        <f t="shared" si="0"/>
        <v>12</v>
      </c>
    </row>
    <row r="14" spans="1:9" x14ac:dyDescent="0.2">
      <c r="A14" s="1">
        <v>13</v>
      </c>
      <c r="B14" s="1" t="s">
        <v>125</v>
      </c>
      <c r="C14" s="1" t="s">
        <v>125</v>
      </c>
      <c r="D14" s="1" t="s">
        <v>125</v>
      </c>
      <c r="E14" s="1">
        <f t="shared" si="0"/>
        <v>13</v>
      </c>
    </row>
    <row r="15" spans="1:9" x14ac:dyDescent="0.2">
      <c r="A15" s="1">
        <v>14</v>
      </c>
      <c r="B15" s="1" t="s">
        <v>131</v>
      </c>
      <c r="C15" s="1" t="s">
        <v>131</v>
      </c>
      <c r="D15" s="1" t="s">
        <v>133</v>
      </c>
      <c r="E15" s="1">
        <f t="shared" si="0"/>
        <v>14</v>
      </c>
    </row>
    <row r="16" spans="1:9" x14ac:dyDescent="0.2">
      <c r="A16" s="1">
        <v>15</v>
      </c>
      <c r="B16" s="1" t="s">
        <v>137</v>
      </c>
      <c r="C16" s="1" t="s">
        <v>140</v>
      </c>
      <c r="D16" s="1" t="s">
        <v>140</v>
      </c>
      <c r="E16" s="1">
        <f t="shared" si="0"/>
        <v>15</v>
      </c>
    </row>
    <row r="17" spans="1:5" x14ac:dyDescent="0.2">
      <c r="A17" s="1">
        <v>16</v>
      </c>
      <c r="B17" s="1" t="s">
        <v>146</v>
      </c>
      <c r="C17" s="1" t="s">
        <v>146</v>
      </c>
      <c r="D17" s="1" t="s">
        <v>146</v>
      </c>
      <c r="E17" s="1">
        <f t="shared" si="0"/>
        <v>16</v>
      </c>
    </row>
    <row r="18" spans="1:5" x14ac:dyDescent="0.2">
      <c r="A18" s="1">
        <v>17</v>
      </c>
      <c r="B18" s="1" t="s">
        <v>151</v>
      </c>
      <c r="C18" s="1" t="s">
        <v>151</v>
      </c>
      <c r="D18" s="1" t="s">
        <v>151</v>
      </c>
      <c r="E18" s="1">
        <f t="shared" si="0"/>
        <v>17</v>
      </c>
    </row>
    <row r="19" spans="1:5" x14ac:dyDescent="0.2">
      <c r="A19" s="1">
        <v>18</v>
      </c>
      <c r="B19" s="1" t="s">
        <v>155</v>
      </c>
      <c r="C19" s="1" t="s">
        <v>155</v>
      </c>
      <c r="D19" s="1" t="s">
        <v>157</v>
      </c>
      <c r="E19" s="1">
        <f t="shared" si="0"/>
        <v>18</v>
      </c>
    </row>
    <row r="20" spans="1:5" x14ac:dyDescent="0.2">
      <c r="A20" s="1">
        <v>19</v>
      </c>
      <c r="B20" s="1" t="s">
        <v>160</v>
      </c>
      <c r="C20" s="1" t="s">
        <v>160</v>
      </c>
      <c r="D20" s="1" t="s">
        <v>160</v>
      </c>
      <c r="E20" s="1">
        <f t="shared" si="0"/>
        <v>19</v>
      </c>
    </row>
    <row r="21" spans="1:5" x14ac:dyDescent="0.2">
      <c r="A21" s="1">
        <v>20</v>
      </c>
      <c r="B21" s="1" t="s">
        <v>165</v>
      </c>
      <c r="C21" s="1" t="s">
        <v>165</v>
      </c>
      <c r="D21" s="1" t="s">
        <v>167</v>
      </c>
      <c r="E21" s="1">
        <f t="shared" si="0"/>
        <v>20</v>
      </c>
    </row>
    <row r="22" spans="1:5" x14ac:dyDescent="0.2">
      <c r="A22" s="1">
        <v>21</v>
      </c>
      <c r="B22" s="1" t="s">
        <v>171</v>
      </c>
      <c r="C22" s="1" t="s">
        <v>173</v>
      </c>
      <c r="D22" s="1" t="s">
        <v>173</v>
      </c>
      <c r="E22" s="1">
        <f t="shared" si="0"/>
        <v>21</v>
      </c>
    </row>
    <row r="23" spans="1:5" x14ac:dyDescent="0.2">
      <c r="A23" s="1">
        <v>22</v>
      </c>
      <c r="B23" s="1" t="s">
        <v>176</v>
      </c>
      <c r="C23" s="1" t="s">
        <v>176</v>
      </c>
      <c r="D23" s="1" t="s">
        <v>179</v>
      </c>
      <c r="E23" s="1">
        <f t="shared" si="0"/>
        <v>22</v>
      </c>
    </row>
    <row r="24" spans="1:5" x14ac:dyDescent="0.2">
      <c r="A24" s="1">
        <v>23</v>
      </c>
      <c r="B24" s="1" t="s">
        <v>184</v>
      </c>
      <c r="C24" s="1" t="s">
        <v>184</v>
      </c>
      <c r="D24" s="1" t="s">
        <v>184</v>
      </c>
      <c r="E24" s="1">
        <f t="shared" si="0"/>
        <v>23</v>
      </c>
    </row>
    <row r="25" spans="1:5" x14ac:dyDescent="0.2">
      <c r="A25" s="1">
        <v>24</v>
      </c>
      <c r="B25" s="1" t="s">
        <v>190</v>
      </c>
      <c r="C25" s="1" t="s">
        <v>190</v>
      </c>
      <c r="D25" s="1" t="s">
        <v>190</v>
      </c>
      <c r="E25" s="1">
        <f t="shared" si="0"/>
        <v>24</v>
      </c>
    </row>
    <row r="26" spans="1:5" x14ac:dyDescent="0.2">
      <c r="A26" s="1">
        <v>25</v>
      </c>
      <c r="B26" s="1" t="s">
        <v>193</v>
      </c>
      <c r="C26" s="1" t="s">
        <v>193</v>
      </c>
      <c r="D26" s="1" t="s">
        <v>193</v>
      </c>
      <c r="E26" s="1">
        <f t="shared" si="0"/>
        <v>25</v>
      </c>
    </row>
    <row r="27" spans="1:5" x14ac:dyDescent="0.2">
      <c r="A27" s="1">
        <v>26</v>
      </c>
      <c r="B27" s="1" t="s">
        <v>197</v>
      </c>
      <c r="C27" s="1" t="s">
        <v>199</v>
      </c>
      <c r="D27" s="1" t="s">
        <v>199</v>
      </c>
      <c r="E27" s="1">
        <f t="shared" si="0"/>
        <v>26</v>
      </c>
    </row>
    <row r="28" spans="1:5" x14ac:dyDescent="0.2">
      <c r="A28" s="1">
        <v>27</v>
      </c>
      <c r="B28" s="1" t="s">
        <v>205</v>
      </c>
      <c r="C28" s="1" t="s">
        <v>205</v>
      </c>
      <c r="D28" s="1" t="s">
        <v>205</v>
      </c>
      <c r="E28" s="1">
        <f t="shared" si="0"/>
        <v>27</v>
      </c>
    </row>
    <row r="29" spans="1:5" x14ac:dyDescent="0.2">
      <c r="A29" s="1">
        <v>28</v>
      </c>
      <c r="B29" s="1" t="s">
        <v>210</v>
      </c>
      <c r="C29" s="1" t="s">
        <v>212</v>
      </c>
      <c r="D29" s="1" t="s">
        <v>212</v>
      </c>
      <c r="E29" s="1">
        <f t="shared" si="0"/>
        <v>28</v>
      </c>
    </row>
    <row r="30" spans="1:5" x14ac:dyDescent="0.2">
      <c r="A30" s="1">
        <v>29</v>
      </c>
      <c r="B30" s="1" t="s">
        <v>216</v>
      </c>
      <c r="C30" s="1" t="s">
        <v>216</v>
      </c>
      <c r="D30" s="1" t="s">
        <v>219</v>
      </c>
      <c r="E30" s="1">
        <f t="shared" si="0"/>
        <v>29</v>
      </c>
    </row>
    <row r="31" spans="1:5" x14ac:dyDescent="0.2">
      <c r="A31" s="1">
        <v>30</v>
      </c>
      <c r="B31" s="1" t="s">
        <v>223</v>
      </c>
      <c r="C31" s="1" t="s">
        <v>223</v>
      </c>
      <c r="D31" s="1" t="s">
        <v>223</v>
      </c>
      <c r="E31" s="1">
        <f t="shared" si="0"/>
        <v>30</v>
      </c>
    </row>
    <row r="32" spans="1:5" x14ac:dyDescent="0.2">
      <c r="A32" s="1">
        <v>31</v>
      </c>
      <c r="B32" s="1" t="s">
        <v>229</v>
      </c>
      <c r="C32" s="1" t="s">
        <v>229</v>
      </c>
      <c r="D32" s="1" t="s">
        <v>229</v>
      </c>
      <c r="E32" s="1">
        <f t="shared" si="0"/>
        <v>31</v>
      </c>
    </row>
    <row r="33" spans="1:5" x14ac:dyDescent="0.2">
      <c r="A33" s="1">
        <v>32</v>
      </c>
      <c r="B33" s="1" t="s">
        <v>234</v>
      </c>
      <c r="C33" s="1" t="s">
        <v>236</v>
      </c>
      <c r="D33" s="1" t="s">
        <v>236</v>
      </c>
      <c r="E33" s="1">
        <f t="shared" si="0"/>
        <v>32</v>
      </c>
    </row>
    <row r="34" spans="1:5" x14ac:dyDescent="0.2">
      <c r="A34" s="1">
        <v>33</v>
      </c>
      <c r="B34" s="1" t="s">
        <v>239</v>
      </c>
      <c r="C34" s="1" t="s">
        <v>239</v>
      </c>
      <c r="D34" s="1" t="s">
        <v>239</v>
      </c>
      <c r="E34" s="1">
        <f t="shared" si="0"/>
        <v>33</v>
      </c>
    </row>
    <row r="35" spans="1:5" x14ac:dyDescent="0.2">
      <c r="A35" s="1">
        <v>34</v>
      </c>
      <c r="B35" s="1" t="s">
        <v>245</v>
      </c>
      <c r="C35" s="1" t="s">
        <v>246</v>
      </c>
      <c r="D35" s="1" t="s">
        <v>246</v>
      </c>
      <c r="E35" s="1">
        <f t="shared" si="0"/>
        <v>34</v>
      </c>
    </row>
    <row r="36" spans="1:5" x14ac:dyDescent="0.2">
      <c r="A36" s="1">
        <v>35</v>
      </c>
      <c r="B36" s="1" t="s">
        <v>251</v>
      </c>
      <c r="C36" s="1" t="s">
        <v>251</v>
      </c>
      <c r="D36" s="1" t="s">
        <v>251</v>
      </c>
      <c r="E36" s="1">
        <f t="shared" si="0"/>
        <v>35</v>
      </c>
    </row>
    <row r="37" spans="1:5" x14ac:dyDescent="0.2">
      <c r="A37" s="1">
        <v>36</v>
      </c>
      <c r="B37" s="1" t="s">
        <v>256</v>
      </c>
      <c r="C37" s="1" t="s">
        <v>258</v>
      </c>
      <c r="D37" s="1" t="s">
        <v>258</v>
      </c>
      <c r="E37" s="1">
        <f t="shared" si="0"/>
        <v>36</v>
      </c>
    </row>
    <row r="38" spans="1:5" x14ac:dyDescent="0.2">
      <c r="A38" s="1">
        <v>37</v>
      </c>
      <c r="B38" s="1" t="s">
        <v>263</v>
      </c>
      <c r="C38" s="1" t="s">
        <v>264</v>
      </c>
      <c r="D38" s="1" t="s">
        <v>264</v>
      </c>
      <c r="E38" s="1">
        <f t="shared" si="0"/>
        <v>37</v>
      </c>
    </row>
    <row r="39" spans="1:5" x14ac:dyDescent="0.2">
      <c r="A39" s="1">
        <v>38</v>
      </c>
      <c r="B39" s="1" t="s">
        <v>268</v>
      </c>
      <c r="C39" s="1" t="s">
        <v>268</v>
      </c>
      <c r="D39" s="1" t="s">
        <v>268</v>
      </c>
      <c r="E39" s="1">
        <f t="shared" si="0"/>
        <v>38</v>
      </c>
    </row>
    <row r="40" spans="1:5" x14ac:dyDescent="0.2">
      <c r="A40" s="1">
        <v>39</v>
      </c>
      <c r="B40" s="1" t="s">
        <v>273</v>
      </c>
      <c r="C40" s="1" t="s">
        <v>273</v>
      </c>
      <c r="D40" s="1" t="s">
        <v>273</v>
      </c>
      <c r="E40" s="1">
        <f t="shared" si="0"/>
        <v>39</v>
      </c>
    </row>
    <row r="41" spans="1:5" x14ac:dyDescent="0.2">
      <c r="A41" s="1">
        <v>40</v>
      </c>
      <c r="B41" s="1" t="s">
        <v>278</v>
      </c>
      <c r="C41" s="1" t="s">
        <v>278</v>
      </c>
      <c r="D41" s="1" t="s">
        <v>278</v>
      </c>
      <c r="E41" s="1">
        <f t="shared" si="0"/>
        <v>40</v>
      </c>
    </row>
    <row r="42" spans="1:5" x14ac:dyDescent="0.2">
      <c r="A42" s="1">
        <v>41</v>
      </c>
      <c r="B42" s="1" t="s">
        <v>288</v>
      </c>
      <c r="C42" s="1" t="s">
        <v>288</v>
      </c>
      <c r="D42" s="1" t="s">
        <v>288</v>
      </c>
      <c r="E42" s="1">
        <f t="shared" si="0"/>
        <v>41</v>
      </c>
    </row>
    <row r="43" spans="1:5" x14ac:dyDescent="0.2">
      <c r="A43" s="1">
        <v>42</v>
      </c>
      <c r="B43" s="1" t="s">
        <v>293</v>
      </c>
      <c r="C43" s="1" t="s">
        <v>293</v>
      </c>
      <c r="D43" s="1" t="s">
        <v>293</v>
      </c>
      <c r="E43" s="1">
        <f t="shared" si="0"/>
        <v>42</v>
      </c>
    </row>
    <row r="44" spans="1:5" x14ac:dyDescent="0.2">
      <c r="A44" s="1">
        <v>43</v>
      </c>
      <c r="B44" s="1" t="s">
        <v>298</v>
      </c>
      <c r="C44" s="1" t="s">
        <v>300</v>
      </c>
      <c r="D44" s="1" t="s">
        <v>300</v>
      </c>
      <c r="E44" s="1">
        <f t="shared" si="0"/>
        <v>43</v>
      </c>
    </row>
    <row r="45" spans="1:5" x14ac:dyDescent="0.2">
      <c r="A45" s="1">
        <v>44</v>
      </c>
      <c r="B45" s="1" t="s">
        <v>302</v>
      </c>
      <c r="C45" s="1" t="s">
        <v>302</v>
      </c>
      <c r="D45" s="1" t="s">
        <v>302</v>
      </c>
      <c r="E45" s="1">
        <f t="shared" si="0"/>
        <v>44</v>
      </c>
    </row>
    <row r="46" spans="1:5" x14ac:dyDescent="0.2">
      <c r="A46" s="1">
        <v>45</v>
      </c>
      <c r="B46" s="1" t="s">
        <v>305</v>
      </c>
      <c r="C46" s="1" t="s">
        <v>305</v>
      </c>
      <c r="D46" s="1" t="s">
        <v>305</v>
      </c>
      <c r="E46" s="1">
        <f t="shared" si="0"/>
        <v>45</v>
      </c>
    </row>
    <row r="47" spans="1:5" x14ac:dyDescent="0.2">
      <c r="A47" s="1">
        <v>46</v>
      </c>
      <c r="B47" s="1" t="s">
        <v>310</v>
      </c>
      <c r="C47" s="1" t="s">
        <v>310</v>
      </c>
      <c r="D47" s="1" t="s">
        <v>310</v>
      </c>
      <c r="E47" s="1">
        <f t="shared" si="0"/>
        <v>46</v>
      </c>
    </row>
    <row r="48" spans="1:5" x14ac:dyDescent="0.2">
      <c r="A48" s="1">
        <v>47</v>
      </c>
      <c r="B48" s="1" t="s">
        <v>316</v>
      </c>
      <c r="C48" s="1" t="s">
        <v>316</v>
      </c>
      <c r="D48" s="1" t="s">
        <v>316</v>
      </c>
      <c r="E48" s="1">
        <f t="shared" si="0"/>
        <v>47</v>
      </c>
    </row>
    <row r="49" spans="1:5" x14ac:dyDescent="0.2">
      <c r="A49" s="1">
        <v>48</v>
      </c>
      <c r="B49" s="1" t="s">
        <v>320</v>
      </c>
      <c r="C49" s="1" t="s">
        <v>320</v>
      </c>
      <c r="D49" s="1" t="s">
        <v>320</v>
      </c>
      <c r="E49" s="1">
        <f t="shared" si="0"/>
        <v>48</v>
      </c>
    </row>
    <row r="50" spans="1:5" x14ac:dyDescent="0.2">
      <c r="A50" s="1">
        <v>49</v>
      </c>
      <c r="B50" s="1" t="s">
        <v>328</v>
      </c>
      <c r="C50" s="1" t="s">
        <v>330</v>
      </c>
      <c r="D50" s="1" t="s">
        <v>330</v>
      </c>
      <c r="E50" s="1">
        <f t="shared" si="0"/>
        <v>49</v>
      </c>
    </row>
    <row r="51" spans="1:5" x14ac:dyDescent="0.2">
      <c r="A51" s="1">
        <v>50</v>
      </c>
      <c r="B51" s="1" t="s">
        <v>334</v>
      </c>
      <c r="C51" s="1" t="s">
        <v>336</v>
      </c>
      <c r="D51" s="1" t="s">
        <v>336</v>
      </c>
      <c r="E51" s="1">
        <f t="shared" si="0"/>
        <v>50</v>
      </c>
    </row>
    <row r="52" spans="1:5" x14ac:dyDescent="0.2">
      <c r="A52" s="1">
        <v>51</v>
      </c>
      <c r="B52" s="1" t="s">
        <v>339</v>
      </c>
      <c r="C52" s="1" t="s">
        <v>339</v>
      </c>
      <c r="D52" s="1" t="s">
        <v>339</v>
      </c>
      <c r="E52" s="1">
        <f t="shared" si="0"/>
        <v>51</v>
      </c>
    </row>
    <row r="53" spans="1:5" x14ac:dyDescent="0.2">
      <c r="A53" s="1">
        <v>52</v>
      </c>
      <c r="B53" s="1" t="s">
        <v>343</v>
      </c>
      <c r="C53" s="1" t="s">
        <v>343</v>
      </c>
      <c r="D53" s="1" t="s">
        <v>343</v>
      </c>
      <c r="E53" s="1">
        <f t="shared" si="0"/>
        <v>52</v>
      </c>
    </row>
    <row r="54" spans="1:5" x14ac:dyDescent="0.2">
      <c r="A54" s="1">
        <v>53</v>
      </c>
      <c r="B54" s="1" t="s">
        <v>349</v>
      </c>
      <c r="C54" s="1" t="s">
        <v>349</v>
      </c>
      <c r="D54" s="1" t="s">
        <v>349</v>
      </c>
      <c r="E54" s="1">
        <f t="shared" si="0"/>
        <v>53</v>
      </c>
    </row>
    <row r="55" spans="1:5" x14ac:dyDescent="0.2">
      <c r="A55" s="1">
        <v>54</v>
      </c>
      <c r="B55" s="1" t="s">
        <v>354</v>
      </c>
      <c r="C55" s="1" t="s">
        <v>356</v>
      </c>
      <c r="D55" s="1" t="s">
        <v>356</v>
      </c>
      <c r="E55" s="1">
        <f t="shared" si="0"/>
        <v>54</v>
      </c>
    </row>
    <row r="56" spans="1:5" x14ac:dyDescent="0.2">
      <c r="A56" s="1">
        <v>55</v>
      </c>
      <c r="B56" s="1" t="s">
        <v>360</v>
      </c>
      <c r="C56" s="1" t="s">
        <v>360</v>
      </c>
      <c r="D56" s="1" t="s">
        <v>363</v>
      </c>
      <c r="E56" s="1">
        <f t="shared" si="0"/>
        <v>55</v>
      </c>
    </row>
    <row r="57" spans="1:5" x14ac:dyDescent="0.2">
      <c r="A57" s="1">
        <v>56</v>
      </c>
      <c r="B57" s="1" t="s">
        <v>365</v>
      </c>
      <c r="C57" s="1" t="s">
        <v>365</v>
      </c>
      <c r="D57" s="1" t="s">
        <v>365</v>
      </c>
      <c r="E57" s="1">
        <f t="shared" si="0"/>
        <v>56</v>
      </c>
    </row>
    <row r="58" spans="1:5" x14ac:dyDescent="0.2">
      <c r="A58" s="1">
        <v>57</v>
      </c>
      <c r="B58" s="1" t="s">
        <v>370</v>
      </c>
      <c r="C58" s="1" t="s">
        <v>370</v>
      </c>
      <c r="D58" s="1" t="s">
        <v>370</v>
      </c>
      <c r="E58" s="1">
        <f t="shared" si="0"/>
        <v>57</v>
      </c>
    </row>
    <row r="59" spans="1:5" x14ac:dyDescent="0.2">
      <c r="A59" s="1">
        <v>58</v>
      </c>
      <c r="B59" s="1" t="s">
        <v>374</v>
      </c>
      <c r="C59" s="1" t="s">
        <v>374</v>
      </c>
      <c r="D59" s="1" t="s">
        <v>374</v>
      </c>
      <c r="E59" s="1">
        <f t="shared" si="0"/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1064"/>
  <sheetViews>
    <sheetView workbookViewId="0"/>
  </sheetViews>
  <sheetFormatPr defaultColWidth="12.5703125" defaultRowHeight="15.75" customHeight="1" x14ac:dyDescent="0.2"/>
  <cols>
    <col min="5" max="5" width="15.7109375" customWidth="1"/>
    <col min="6" max="6" width="18.7109375" customWidth="1"/>
    <col min="13" max="13" width="18.28515625" customWidth="1"/>
  </cols>
  <sheetData>
    <row r="1" spans="1:14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27</v>
      </c>
      <c r="M1" s="1" t="s">
        <v>29</v>
      </c>
      <c r="N1" s="1" t="s">
        <v>5</v>
      </c>
    </row>
    <row r="2" spans="1:14" x14ac:dyDescent="0.2">
      <c r="A2" s="1">
        <v>1</v>
      </c>
      <c r="B2" s="1" t="s">
        <v>33</v>
      </c>
      <c r="C2" s="1" t="s">
        <v>34</v>
      </c>
      <c r="D2" s="1" t="s">
        <v>36</v>
      </c>
      <c r="E2" s="1" t="s">
        <v>39</v>
      </c>
      <c r="F2" s="1"/>
      <c r="G2" s="1">
        <f>IF(ISNA(VLOOKUP(F2,Monster!B:E,4,FALSE)),0,VLOOKUP(F2,Monster!B:E,4,FALSE))</f>
        <v>0</v>
      </c>
      <c r="H2" s="1">
        <v>1</v>
      </c>
      <c r="N2" s="1">
        <f t="shared" ref="N2:N251" si="0">$A2</f>
        <v>1</v>
      </c>
    </row>
    <row r="3" spans="1:14" x14ac:dyDescent="0.2">
      <c r="A3" s="1">
        <v>2</v>
      </c>
      <c r="B3" s="1" t="s">
        <v>89</v>
      </c>
      <c r="C3" s="1" t="s">
        <v>34</v>
      </c>
      <c r="D3" s="1" t="s">
        <v>92</v>
      </c>
      <c r="E3" s="1" t="s">
        <v>92</v>
      </c>
      <c r="F3" s="1"/>
      <c r="G3" s="1">
        <f>IF(ISNA(VLOOKUP(F3,Monster!B:E,4,FALSE)),0,VLOOKUP(F3,Monster!B:E,4,FALSE))</f>
        <v>0</v>
      </c>
      <c r="H3" s="1">
        <v>1</v>
      </c>
      <c r="N3" s="1">
        <f t="shared" si="0"/>
        <v>2</v>
      </c>
    </row>
    <row r="4" spans="1:14" x14ac:dyDescent="0.2">
      <c r="A4" s="1">
        <v>3</v>
      </c>
      <c r="B4" s="1" t="s">
        <v>114</v>
      </c>
      <c r="C4" s="1" t="s">
        <v>34</v>
      </c>
      <c r="D4" s="1" t="s">
        <v>117</v>
      </c>
      <c r="E4" s="1" t="s">
        <v>118</v>
      </c>
      <c r="F4" s="1"/>
      <c r="G4" s="1">
        <f>IF(ISNA(VLOOKUP(F4,Monster!B:E,4,FALSE)),0,VLOOKUP(F4,Monster!B:E,4,FALSE))</f>
        <v>0</v>
      </c>
      <c r="H4" s="1">
        <v>1</v>
      </c>
      <c r="N4" s="1">
        <f t="shared" si="0"/>
        <v>3</v>
      </c>
    </row>
    <row r="5" spans="1:14" x14ac:dyDescent="0.2">
      <c r="A5" s="1">
        <v>4</v>
      </c>
      <c r="B5" s="1" t="s">
        <v>138</v>
      </c>
      <c r="C5" s="1" t="s">
        <v>34</v>
      </c>
      <c r="D5" s="1" t="s">
        <v>142</v>
      </c>
      <c r="E5" s="1" t="s">
        <v>143</v>
      </c>
      <c r="F5" s="1"/>
      <c r="G5" s="1">
        <f>IF(ISNA(VLOOKUP(F5,Monster!B:E,4,FALSE)),0,VLOOKUP(F5,Monster!B:E,4,FALSE))</f>
        <v>0</v>
      </c>
      <c r="H5" s="1">
        <v>1</v>
      </c>
      <c r="N5" s="1">
        <f t="shared" si="0"/>
        <v>4</v>
      </c>
    </row>
    <row r="6" spans="1:14" x14ac:dyDescent="0.2">
      <c r="A6" s="1">
        <v>5</v>
      </c>
      <c r="B6" s="1" t="s">
        <v>183</v>
      </c>
      <c r="C6" s="1" t="s">
        <v>34</v>
      </c>
      <c r="D6" s="1" t="s">
        <v>185</v>
      </c>
      <c r="E6" s="1" t="s">
        <v>186</v>
      </c>
      <c r="F6" s="1"/>
      <c r="G6" s="1">
        <f>IF(ISNA(VLOOKUP(F6,Monster!B:E,4,FALSE)),0,VLOOKUP(F6,Monster!B:E,4,FALSE))</f>
        <v>0</v>
      </c>
      <c r="H6" s="1">
        <v>1</v>
      </c>
      <c r="N6" s="1">
        <f t="shared" si="0"/>
        <v>5</v>
      </c>
    </row>
    <row r="7" spans="1:14" x14ac:dyDescent="0.2">
      <c r="A7" s="1">
        <v>6</v>
      </c>
      <c r="B7" s="1" t="s">
        <v>202</v>
      </c>
      <c r="C7" s="1" t="s">
        <v>203</v>
      </c>
      <c r="D7" s="1" t="s">
        <v>36</v>
      </c>
      <c r="E7" s="1" t="s">
        <v>36</v>
      </c>
      <c r="F7" s="1"/>
      <c r="G7" s="1">
        <f>IF(ISNA(VLOOKUP(F7,Monster!B:E,4,FALSE)),0,VLOOKUP(F7,Monster!B:E,4,FALSE))</f>
        <v>0</v>
      </c>
      <c r="H7" s="1">
        <v>1</v>
      </c>
      <c r="N7" s="1">
        <f t="shared" si="0"/>
        <v>6</v>
      </c>
    </row>
    <row r="8" spans="1:14" x14ac:dyDescent="0.2">
      <c r="A8" s="1">
        <v>7</v>
      </c>
      <c r="B8" s="1" t="s">
        <v>226</v>
      </c>
      <c r="C8" s="1" t="s">
        <v>203</v>
      </c>
      <c r="D8" s="1" t="s">
        <v>92</v>
      </c>
      <c r="E8" s="1" t="s">
        <v>92</v>
      </c>
      <c r="F8" s="1"/>
      <c r="G8" s="1">
        <f>IF(ISNA(VLOOKUP(F8,Monster!B:E,4,FALSE)),0,VLOOKUP(F8,Monster!B:E,4,FALSE))</f>
        <v>0</v>
      </c>
      <c r="H8" s="1">
        <v>1</v>
      </c>
      <c r="N8" s="1">
        <f t="shared" si="0"/>
        <v>7</v>
      </c>
    </row>
    <row r="9" spans="1:14" x14ac:dyDescent="0.2">
      <c r="A9" s="1">
        <v>8</v>
      </c>
      <c r="B9" s="1" t="s">
        <v>255</v>
      </c>
      <c r="C9" s="1" t="s">
        <v>203</v>
      </c>
      <c r="D9" s="1" t="s">
        <v>117</v>
      </c>
      <c r="E9" s="1" t="s">
        <v>117</v>
      </c>
      <c r="F9" s="1"/>
      <c r="G9" s="1">
        <f>IF(ISNA(VLOOKUP(F9,Monster!B:E,4,FALSE)),0,VLOOKUP(F9,Monster!B:E,4,FALSE))</f>
        <v>0</v>
      </c>
      <c r="H9" s="1">
        <v>1</v>
      </c>
      <c r="N9" s="1">
        <f t="shared" si="0"/>
        <v>8</v>
      </c>
    </row>
    <row r="10" spans="1:14" x14ac:dyDescent="0.2">
      <c r="A10" s="1">
        <v>9</v>
      </c>
      <c r="B10" s="1" t="s">
        <v>280</v>
      </c>
      <c r="C10" s="1" t="s">
        <v>203</v>
      </c>
      <c r="D10" s="1" t="s">
        <v>142</v>
      </c>
      <c r="E10" s="1" t="s">
        <v>142</v>
      </c>
      <c r="F10" s="1"/>
      <c r="G10" s="1">
        <f>IF(ISNA(VLOOKUP(F10,Monster!B:E,4,FALSE)),0,VLOOKUP(F10,Monster!B:E,4,FALSE))</f>
        <v>0</v>
      </c>
      <c r="H10" s="1">
        <v>1</v>
      </c>
      <c r="N10" s="1">
        <f t="shared" si="0"/>
        <v>9</v>
      </c>
    </row>
    <row r="11" spans="1:14" x14ac:dyDescent="0.2">
      <c r="A11" s="1">
        <v>10</v>
      </c>
      <c r="B11" s="1" t="s">
        <v>299</v>
      </c>
      <c r="C11" s="1" t="s">
        <v>203</v>
      </c>
      <c r="D11" s="1" t="s">
        <v>185</v>
      </c>
      <c r="E11" s="1" t="s">
        <v>185</v>
      </c>
      <c r="F11" s="1"/>
      <c r="G11" s="1">
        <f>IF(ISNA(VLOOKUP(F11,Monster!B:E,4,FALSE)),0,VLOOKUP(F11,Monster!B:E,4,FALSE))</f>
        <v>0</v>
      </c>
      <c r="H11" s="1">
        <v>1</v>
      </c>
      <c r="N11" s="1">
        <f t="shared" si="0"/>
        <v>10</v>
      </c>
    </row>
    <row r="12" spans="1:14" x14ac:dyDescent="0.2">
      <c r="A12" s="1">
        <v>11</v>
      </c>
      <c r="B12" s="1" t="s">
        <v>322</v>
      </c>
      <c r="C12" s="1" t="s">
        <v>324</v>
      </c>
      <c r="D12" s="1" t="s">
        <v>36</v>
      </c>
      <c r="E12" s="1" t="s">
        <v>36</v>
      </c>
      <c r="F12" s="1" t="s">
        <v>11</v>
      </c>
      <c r="G12" s="1">
        <f>IF(ISNA(VLOOKUP(F12,Monster!B:E,4,FALSE)),0,VLOOKUP(F12,Monster!B:E,4,FALSE))</f>
        <v>1</v>
      </c>
      <c r="H12" s="1">
        <v>2</v>
      </c>
      <c r="N12" s="1">
        <f t="shared" si="0"/>
        <v>11</v>
      </c>
    </row>
    <row r="13" spans="1:14" x14ac:dyDescent="0.2">
      <c r="A13" s="1">
        <v>12</v>
      </c>
      <c r="B13" s="1" t="s">
        <v>357</v>
      </c>
      <c r="C13" s="1" t="s">
        <v>324</v>
      </c>
      <c r="D13" s="1" t="s">
        <v>92</v>
      </c>
      <c r="E13" s="1" t="s">
        <v>92</v>
      </c>
      <c r="F13" s="1" t="s">
        <v>11</v>
      </c>
      <c r="G13" s="1">
        <f>IF(ISNA(VLOOKUP(F13,Monster!B:E,4,FALSE)),0,VLOOKUP(F13,Monster!B:E,4,FALSE))</f>
        <v>1</v>
      </c>
      <c r="H13" s="1">
        <v>1</v>
      </c>
      <c r="N13" s="1">
        <f t="shared" si="0"/>
        <v>12</v>
      </c>
    </row>
    <row r="14" spans="1:14" x14ac:dyDescent="0.2">
      <c r="A14" s="1">
        <v>13</v>
      </c>
      <c r="B14" s="1" t="s">
        <v>382</v>
      </c>
      <c r="C14" s="1" t="s">
        <v>324</v>
      </c>
      <c r="D14" s="1" t="s">
        <v>117</v>
      </c>
      <c r="E14" s="1" t="s">
        <v>117</v>
      </c>
      <c r="F14" s="1" t="s">
        <v>11</v>
      </c>
      <c r="G14" s="1">
        <f>IF(ISNA(VLOOKUP(F14,Monster!B:E,4,FALSE)),0,VLOOKUP(F14,Monster!B:E,4,FALSE))</f>
        <v>1</v>
      </c>
      <c r="H14" s="1">
        <v>1</v>
      </c>
      <c r="N14" s="1">
        <f t="shared" si="0"/>
        <v>13</v>
      </c>
    </row>
    <row r="15" spans="1:14" x14ac:dyDescent="0.2">
      <c r="A15" s="1">
        <v>14</v>
      </c>
      <c r="B15" s="1" t="s">
        <v>401</v>
      </c>
      <c r="C15" s="1" t="s">
        <v>324</v>
      </c>
      <c r="D15" s="1" t="s">
        <v>142</v>
      </c>
      <c r="E15" s="1" t="s">
        <v>142</v>
      </c>
      <c r="F15" s="1" t="s">
        <v>11</v>
      </c>
      <c r="G15" s="1">
        <f>IF(ISNA(VLOOKUP(F15,Monster!B:E,4,FALSE)),0,VLOOKUP(F15,Monster!B:E,4,FALSE))</f>
        <v>1</v>
      </c>
      <c r="H15" s="1">
        <v>1</v>
      </c>
      <c r="N15" s="1">
        <f t="shared" si="0"/>
        <v>14</v>
      </c>
    </row>
    <row r="16" spans="1:14" x14ac:dyDescent="0.2">
      <c r="A16" s="1">
        <v>15</v>
      </c>
      <c r="B16" s="1" t="s">
        <v>419</v>
      </c>
      <c r="C16" s="1" t="s">
        <v>324</v>
      </c>
      <c r="D16" s="1" t="s">
        <v>185</v>
      </c>
      <c r="E16" s="1" t="s">
        <v>185</v>
      </c>
      <c r="F16" s="1" t="s">
        <v>11</v>
      </c>
      <c r="G16" s="1">
        <f>IF(ISNA(VLOOKUP(F16,Monster!B:E,4,FALSE)),0,VLOOKUP(F16,Monster!B:E,4,FALSE))</f>
        <v>1</v>
      </c>
      <c r="H16" s="1">
        <v>1</v>
      </c>
      <c r="N16" s="1">
        <f t="shared" si="0"/>
        <v>15</v>
      </c>
    </row>
    <row r="17" spans="1:14" x14ac:dyDescent="0.2">
      <c r="A17" s="1">
        <v>16</v>
      </c>
      <c r="B17" s="1" t="s">
        <v>437</v>
      </c>
      <c r="C17" s="1" t="s">
        <v>439</v>
      </c>
      <c r="D17" s="1" t="s">
        <v>36</v>
      </c>
      <c r="E17" s="1" t="s">
        <v>441</v>
      </c>
      <c r="F17" s="1" t="s">
        <v>47</v>
      </c>
      <c r="G17" s="1">
        <f>IF(ISNA(VLOOKUP(F17,Monster!B:E,4,FALSE)),0,VLOOKUP(F17,Monster!B:E,4,FALSE))</f>
        <v>2</v>
      </c>
      <c r="H17" s="1">
        <v>1</v>
      </c>
      <c r="N17" s="1">
        <f t="shared" si="0"/>
        <v>16</v>
      </c>
    </row>
    <row r="18" spans="1:14" x14ac:dyDescent="0.2">
      <c r="A18" s="1">
        <v>17</v>
      </c>
      <c r="B18" s="1" t="s">
        <v>454</v>
      </c>
      <c r="C18" s="1" t="s">
        <v>439</v>
      </c>
      <c r="D18" s="1" t="s">
        <v>92</v>
      </c>
      <c r="E18" s="1" t="s">
        <v>92</v>
      </c>
      <c r="F18" s="1" t="s">
        <v>47</v>
      </c>
      <c r="G18" s="1">
        <f>IF(ISNA(VLOOKUP(F18,Monster!B:E,4,FALSE)),0,VLOOKUP(F18,Monster!B:E,4,FALSE))</f>
        <v>2</v>
      </c>
      <c r="H18" s="1">
        <v>2</v>
      </c>
      <c r="N18" s="1">
        <f t="shared" si="0"/>
        <v>17</v>
      </c>
    </row>
    <row r="19" spans="1:14" x14ac:dyDescent="0.2">
      <c r="A19" s="1">
        <v>18</v>
      </c>
      <c r="B19" s="1" t="s">
        <v>477</v>
      </c>
      <c r="C19" s="1" t="s">
        <v>439</v>
      </c>
      <c r="D19" s="1" t="s">
        <v>117</v>
      </c>
      <c r="E19" s="1" t="s">
        <v>117</v>
      </c>
      <c r="F19" s="1" t="s">
        <v>47</v>
      </c>
      <c r="G19" s="1">
        <f>IF(ISNA(VLOOKUP(F19,Monster!B:E,4,FALSE)),0,VLOOKUP(F19,Monster!B:E,4,FALSE))</f>
        <v>2</v>
      </c>
      <c r="H19" s="1">
        <v>1</v>
      </c>
      <c r="N19" s="1">
        <f t="shared" si="0"/>
        <v>18</v>
      </c>
    </row>
    <row r="20" spans="1:14" x14ac:dyDescent="0.2">
      <c r="A20" s="1">
        <v>19</v>
      </c>
      <c r="B20" s="1" t="s">
        <v>508</v>
      </c>
      <c r="C20" s="1" t="s">
        <v>439</v>
      </c>
      <c r="D20" s="1" t="s">
        <v>142</v>
      </c>
      <c r="E20" s="1" t="s">
        <v>142</v>
      </c>
      <c r="F20" s="1" t="s">
        <v>47</v>
      </c>
      <c r="G20" s="1">
        <f>IF(ISNA(VLOOKUP(F20,Monster!B:E,4,FALSE)),0,VLOOKUP(F20,Monster!B:E,4,FALSE))</f>
        <v>2</v>
      </c>
      <c r="H20" s="1">
        <v>2</v>
      </c>
      <c r="N20" s="1">
        <f t="shared" si="0"/>
        <v>19</v>
      </c>
    </row>
    <row r="21" spans="1:14" x14ac:dyDescent="0.2">
      <c r="A21" s="1">
        <v>20</v>
      </c>
      <c r="B21" s="1" t="s">
        <v>523</v>
      </c>
      <c r="C21" s="1" t="s">
        <v>439</v>
      </c>
      <c r="D21" s="1" t="s">
        <v>185</v>
      </c>
      <c r="E21" s="1" t="s">
        <v>185</v>
      </c>
      <c r="F21" s="1" t="s">
        <v>47</v>
      </c>
      <c r="G21" s="1">
        <f>IF(ISNA(VLOOKUP(F21,Monster!B:E,4,FALSE)),0,VLOOKUP(F21,Monster!B:E,4,FALSE))</f>
        <v>2</v>
      </c>
      <c r="H21" s="1">
        <v>1</v>
      </c>
      <c r="N21" s="1">
        <f t="shared" si="0"/>
        <v>20</v>
      </c>
    </row>
    <row r="22" spans="1:14" x14ac:dyDescent="0.2">
      <c r="A22" s="1">
        <v>21</v>
      </c>
      <c r="B22" s="1" t="s">
        <v>539</v>
      </c>
      <c r="C22" s="1" t="s">
        <v>541</v>
      </c>
      <c r="D22" s="1" t="s">
        <v>36</v>
      </c>
      <c r="E22" s="1" t="s">
        <v>36</v>
      </c>
      <c r="F22" s="1" t="s">
        <v>52</v>
      </c>
      <c r="G22" s="1">
        <f>IF(ISNA(VLOOKUP(F22,Monster!B:E,4,FALSE)),0,VLOOKUP(F22,Monster!B:E,4,FALSE))</f>
        <v>3</v>
      </c>
      <c r="H22" s="1">
        <v>1</v>
      </c>
      <c r="N22" s="1">
        <f t="shared" si="0"/>
        <v>21</v>
      </c>
    </row>
    <row r="23" spans="1:14" x14ac:dyDescent="0.2">
      <c r="A23" s="1">
        <v>22</v>
      </c>
      <c r="B23" s="1" t="s">
        <v>556</v>
      </c>
      <c r="C23" s="1" t="s">
        <v>541</v>
      </c>
      <c r="D23" s="1" t="s">
        <v>92</v>
      </c>
      <c r="E23" s="1" t="s">
        <v>92</v>
      </c>
      <c r="F23" s="1" t="s">
        <v>52</v>
      </c>
      <c r="G23" s="1">
        <f>IF(ISNA(VLOOKUP(F23,Monster!B:E,4,FALSE)),0,VLOOKUP(F23,Monster!B:E,4,FALSE))</f>
        <v>3</v>
      </c>
      <c r="H23" s="1">
        <v>1</v>
      </c>
      <c r="N23" s="1">
        <f t="shared" si="0"/>
        <v>22</v>
      </c>
    </row>
    <row r="24" spans="1:14" x14ac:dyDescent="0.2">
      <c r="A24" s="1">
        <v>23</v>
      </c>
      <c r="B24" s="1" t="s">
        <v>572</v>
      </c>
      <c r="C24" s="1" t="s">
        <v>541</v>
      </c>
      <c r="D24" s="1" t="s">
        <v>117</v>
      </c>
      <c r="E24" s="1" t="s">
        <v>117</v>
      </c>
      <c r="F24" s="1" t="s">
        <v>52</v>
      </c>
      <c r="G24" s="1">
        <f>IF(ISNA(VLOOKUP(F24,Monster!B:E,4,FALSE)),0,VLOOKUP(F24,Monster!B:E,4,FALSE))</f>
        <v>3</v>
      </c>
      <c r="H24" s="1">
        <v>1</v>
      </c>
      <c r="N24" s="1">
        <f t="shared" si="0"/>
        <v>23</v>
      </c>
    </row>
    <row r="25" spans="1:14" x14ac:dyDescent="0.2">
      <c r="A25" s="1">
        <v>24</v>
      </c>
      <c r="B25" s="1" t="s">
        <v>586</v>
      </c>
      <c r="C25" s="1" t="s">
        <v>541</v>
      </c>
      <c r="D25" s="1" t="s">
        <v>142</v>
      </c>
      <c r="E25" s="1" t="s">
        <v>142</v>
      </c>
      <c r="F25" s="1" t="s">
        <v>52</v>
      </c>
      <c r="G25" s="1">
        <f>IF(ISNA(VLOOKUP(F25,Monster!B:E,4,FALSE)),0,VLOOKUP(F25,Monster!B:E,4,FALSE))</f>
        <v>3</v>
      </c>
      <c r="H25" s="1">
        <v>1</v>
      </c>
      <c r="N25" s="1">
        <f t="shared" si="0"/>
        <v>24</v>
      </c>
    </row>
    <row r="26" spans="1:14" x14ac:dyDescent="0.2">
      <c r="A26" s="1">
        <v>25</v>
      </c>
      <c r="B26" s="1" t="s">
        <v>604</v>
      </c>
      <c r="C26" s="1" t="s">
        <v>541</v>
      </c>
      <c r="D26" s="1" t="s">
        <v>185</v>
      </c>
      <c r="E26" s="1" t="s">
        <v>185</v>
      </c>
      <c r="F26" s="1" t="s">
        <v>52</v>
      </c>
      <c r="G26" s="1">
        <f>IF(ISNA(VLOOKUP(F26,Monster!B:E,4,FALSE)),0,VLOOKUP(F26,Monster!B:E,4,FALSE))</f>
        <v>3</v>
      </c>
      <c r="H26" s="1">
        <v>2</v>
      </c>
      <c r="N26" s="1">
        <f t="shared" si="0"/>
        <v>25</v>
      </c>
    </row>
    <row r="27" spans="1:14" x14ac:dyDescent="0.2">
      <c r="A27" s="1">
        <v>26</v>
      </c>
      <c r="B27" s="1" t="s">
        <v>616</v>
      </c>
      <c r="C27" s="1" t="s">
        <v>617</v>
      </c>
      <c r="D27" s="1" t="s">
        <v>36</v>
      </c>
      <c r="E27" s="1" t="s">
        <v>36</v>
      </c>
      <c r="F27" s="1" t="s">
        <v>60</v>
      </c>
      <c r="G27" s="1">
        <f>IF(ISNA(VLOOKUP(F27,Monster!B:E,4,FALSE)),0,VLOOKUP(F27,Monster!B:E,4,FALSE))</f>
        <v>4</v>
      </c>
      <c r="H27" s="1">
        <v>1</v>
      </c>
      <c r="N27" s="1">
        <f t="shared" si="0"/>
        <v>26</v>
      </c>
    </row>
    <row r="28" spans="1:14" x14ac:dyDescent="0.2">
      <c r="A28" s="1">
        <v>27</v>
      </c>
      <c r="B28" s="1" t="s">
        <v>632</v>
      </c>
      <c r="C28" s="1" t="s">
        <v>617</v>
      </c>
      <c r="D28" s="1" t="s">
        <v>92</v>
      </c>
      <c r="E28" s="1" t="s">
        <v>92</v>
      </c>
      <c r="F28" s="1" t="s">
        <v>60</v>
      </c>
      <c r="G28" s="1">
        <f>IF(ISNA(VLOOKUP(F28,Monster!B:E,4,FALSE)),0,VLOOKUP(F28,Monster!B:E,4,FALSE))</f>
        <v>4</v>
      </c>
      <c r="H28" s="1">
        <v>1</v>
      </c>
      <c r="N28" s="1">
        <f t="shared" si="0"/>
        <v>27</v>
      </c>
    </row>
    <row r="29" spans="1:14" x14ac:dyDescent="0.2">
      <c r="A29" s="1">
        <v>28</v>
      </c>
      <c r="B29" s="1" t="s">
        <v>645</v>
      </c>
      <c r="C29" s="1" t="s">
        <v>617</v>
      </c>
      <c r="D29" s="1" t="s">
        <v>117</v>
      </c>
      <c r="E29" s="1" t="s">
        <v>117</v>
      </c>
      <c r="F29" s="1" t="s">
        <v>60</v>
      </c>
      <c r="G29" s="1">
        <f>IF(ISNA(VLOOKUP(F29,Monster!B:E,4,FALSE)),0,VLOOKUP(F29,Monster!B:E,4,FALSE))</f>
        <v>4</v>
      </c>
      <c r="H29" s="1">
        <v>1</v>
      </c>
      <c r="N29" s="1">
        <f t="shared" si="0"/>
        <v>28</v>
      </c>
    </row>
    <row r="30" spans="1:14" x14ac:dyDescent="0.2">
      <c r="A30" s="1">
        <v>29</v>
      </c>
      <c r="B30" s="1" t="s">
        <v>663</v>
      </c>
      <c r="C30" s="1" t="s">
        <v>617</v>
      </c>
      <c r="D30" s="1" t="s">
        <v>142</v>
      </c>
      <c r="E30" s="1" t="s">
        <v>142</v>
      </c>
      <c r="F30" s="1" t="s">
        <v>60</v>
      </c>
      <c r="G30" s="1">
        <f>IF(ISNA(VLOOKUP(F30,Monster!B:E,4,FALSE)),0,VLOOKUP(F30,Monster!B:E,4,FALSE))</f>
        <v>4</v>
      </c>
      <c r="H30" s="1">
        <v>1</v>
      </c>
      <c r="N30" s="1">
        <f t="shared" si="0"/>
        <v>29</v>
      </c>
    </row>
    <row r="31" spans="1:14" x14ac:dyDescent="0.2">
      <c r="A31" s="1">
        <v>30</v>
      </c>
      <c r="B31" s="1" t="s">
        <v>681</v>
      </c>
      <c r="C31" s="1" t="s">
        <v>617</v>
      </c>
      <c r="D31" s="1" t="s">
        <v>185</v>
      </c>
      <c r="E31" s="1" t="s">
        <v>185</v>
      </c>
      <c r="F31" s="1" t="s">
        <v>60</v>
      </c>
      <c r="G31" s="1">
        <f>IF(ISNA(VLOOKUP(F31,Monster!B:E,4,FALSE)),0,VLOOKUP(F31,Monster!B:E,4,FALSE))</f>
        <v>4</v>
      </c>
      <c r="H31" s="1">
        <v>1</v>
      </c>
      <c r="N31" s="1">
        <f t="shared" si="0"/>
        <v>30</v>
      </c>
    </row>
    <row r="32" spans="1:14" x14ac:dyDescent="0.2">
      <c r="A32" s="1">
        <v>31</v>
      </c>
      <c r="B32" s="1" t="s">
        <v>694</v>
      </c>
      <c r="C32" s="1" t="s">
        <v>696</v>
      </c>
      <c r="D32" s="1" t="s">
        <v>36</v>
      </c>
      <c r="E32" s="1" t="s">
        <v>36</v>
      </c>
      <c r="F32" s="1" t="s">
        <v>69</v>
      </c>
      <c r="G32" s="1">
        <f>IF(ISNA(VLOOKUP(F32,Monster!B:E,4,FALSE)),0,VLOOKUP(F32,Monster!B:E,4,FALSE))</f>
        <v>5</v>
      </c>
      <c r="H32" s="1">
        <v>1</v>
      </c>
      <c r="N32" s="1">
        <f t="shared" si="0"/>
        <v>31</v>
      </c>
    </row>
    <row r="33" spans="1:14" x14ac:dyDescent="0.2">
      <c r="A33" s="1">
        <v>32</v>
      </c>
      <c r="B33" s="1" t="s">
        <v>709</v>
      </c>
      <c r="C33" s="1" t="s">
        <v>696</v>
      </c>
      <c r="D33" s="1" t="s">
        <v>92</v>
      </c>
      <c r="E33" s="1" t="s">
        <v>92</v>
      </c>
      <c r="F33" s="1" t="s">
        <v>69</v>
      </c>
      <c r="G33" s="1">
        <f>IF(ISNA(VLOOKUP(F33,Monster!B:E,4,FALSE)),0,VLOOKUP(F33,Monster!B:E,4,FALSE))</f>
        <v>5</v>
      </c>
      <c r="H33" s="1">
        <v>1</v>
      </c>
      <c r="N33" s="1">
        <f t="shared" si="0"/>
        <v>32</v>
      </c>
    </row>
    <row r="34" spans="1:14" x14ac:dyDescent="0.2">
      <c r="A34" s="1">
        <v>33</v>
      </c>
      <c r="B34" s="1" t="s">
        <v>713</v>
      </c>
      <c r="C34" s="1" t="s">
        <v>696</v>
      </c>
      <c r="D34" s="1" t="s">
        <v>117</v>
      </c>
      <c r="E34" s="1" t="s">
        <v>117</v>
      </c>
      <c r="F34" s="1" t="s">
        <v>69</v>
      </c>
      <c r="G34" s="1">
        <f>IF(ISNA(VLOOKUP(F34,Monster!B:E,4,FALSE)),0,VLOOKUP(F34,Monster!B:E,4,FALSE))</f>
        <v>5</v>
      </c>
      <c r="H34" s="1">
        <v>1</v>
      </c>
      <c r="N34" s="1">
        <f t="shared" si="0"/>
        <v>33</v>
      </c>
    </row>
    <row r="35" spans="1:14" x14ac:dyDescent="0.2">
      <c r="A35" s="1">
        <v>34</v>
      </c>
      <c r="B35" s="1" t="s">
        <v>715</v>
      </c>
      <c r="C35" s="1" t="s">
        <v>696</v>
      </c>
      <c r="D35" s="1" t="s">
        <v>142</v>
      </c>
      <c r="E35" s="1" t="s">
        <v>142</v>
      </c>
      <c r="F35" s="1" t="s">
        <v>69</v>
      </c>
      <c r="G35" s="1">
        <f>IF(ISNA(VLOOKUP(F35,Monster!B:E,4,FALSE)),0,VLOOKUP(F35,Monster!B:E,4,FALSE))</f>
        <v>5</v>
      </c>
      <c r="H35" s="1">
        <v>1</v>
      </c>
      <c r="N35" s="1">
        <f t="shared" si="0"/>
        <v>34</v>
      </c>
    </row>
    <row r="36" spans="1:14" x14ac:dyDescent="0.2">
      <c r="A36" s="1">
        <v>35</v>
      </c>
      <c r="B36" s="1" t="s">
        <v>716</v>
      </c>
      <c r="C36" s="1" t="s">
        <v>696</v>
      </c>
      <c r="D36" s="1" t="s">
        <v>185</v>
      </c>
      <c r="E36" s="1" t="s">
        <v>185</v>
      </c>
      <c r="F36" s="1" t="s">
        <v>69</v>
      </c>
      <c r="G36" s="1">
        <f>IF(ISNA(VLOOKUP(F36,Monster!B:E,4,FALSE)),0,VLOOKUP(F36,Monster!B:E,4,FALSE))</f>
        <v>5</v>
      </c>
      <c r="H36" s="1">
        <v>1</v>
      </c>
      <c r="N36" s="1">
        <f t="shared" si="0"/>
        <v>35</v>
      </c>
    </row>
    <row r="37" spans="1:14" x14ac:dyDescent="0.2">
      <c r="A37" s="1">
        <v>36</v>
      </c>
      <c r="B37" s="1" t="s">
        <v>718</v>
      </c>
      <c r="C37" s="1" t="s">
        <v>719</v>
      </c>
      <c r="D37" s="1" t="s">
        <v>36</v>
      </c>
      <c r="E37" s="1" t="s">
        <v>36</v>
      </c>
      <c r="F37" s="1" t="s">
        <v>75</v>
      </c>
      <c r="G37" s="1">
        <f>IF(ISNA(VLOOKUP(F37,Monster!B:E,4,FALSE)),0,VLOOKUP(F37,Monster!B:E,4,FALSE))</f>
        <v>6</v>
      </c>
      <c r="H37" s="1">
        <v>2</v>
      </c>
      <c r="N37" s="1">
        <f t="shared" si="0"/>
        <v>36</v>
      </c>
    </row>
    <row r="38" spans="1:14" x14ac:dyDescent="0.2">
      <c r="A38" s="1">
        <v>37</v>
      </c>
      <c r="B38" s="1" t="s">
        <v>720</v>
      </c>
      <c r="C38" s="1" t="s">
        <v>719</v>
      </c>
      <c r="D38" s="1" t="s">
        <v>92</v>
      </c>
      <c r="E38" s="1" t="s">
        <v>92</v>
      </c>
      <c r="F38" s="1" t="s">
        <v>75</v>
      </c>
      <c r="G38" s="1">
        <f>IF(ISNA(VLOOKUP(F38,Monster!B:E,4,FALSE)),0,VLOOKUP(F38,Monster!B:E,4,FALSE))</f>
        <v>6</v>
      </c>
      <c r="H38" s="1">
        <v>1</v>
      </c>
      <c r="N38" s="1">
        <f t="shared" si="0"/>
        <v>37</v>
      </c>
    </row>
    <row r="39" spans="1:14" x14ac:dyDescent="0.2">
      <c r="A39" s="1">
        <v>38</v>
      </c>
      <c r="B39" s="1" t="s">
        <v>723</v>
      </c>
      <c r="C39" s="1" t="s">
        <v>719</v>
      </c>
      <c r="D39" s="1" t="s">
        <v>117</v>
      </c>
      <c r="E39" s="1" t="s">
        <v>117</v>
      </c>
      <c r="F39" s="1" t="s">
        <v>75</v>
      </c>
      <c r="G39" s="1">
        <f>IF(ISNA(VLOOKUP(F39,Monster!B:E,4,FALSE)),0,VLOOKUP(F39,Monster!B:E,4,FALSE))</f>
        <v>6</v>
      </c>
      <c r="H39" s="1">
        <v>1</v>
      </c>
      <c r="N39" s="1">
        <f t="shared" si="0"/>
        <v>38</v>
      </c>
    </row>
    <row r="40" spans="1:14" x14ac:dyDescent="0.2">
      <c r="A40" s="1">
        <v>39</v>
      </c>
      <c r="B40" s="1" t="s">
        <v>724</v>
      </c>
      <c r="C40" s="1" t="s">
        <v>719</v>
      </c>
      <c r="D40" s="1" t="s">
        <v>142</v>
      </c>
      <c r="E40" s="1" t="s">
        <v>142</v>
      </c>
      <c r="F40" s="1" t="s">
        <v>75</v>
      </c>
      <c r="G40" s="1">
        <f>IF(ISNA(VLOOKUP(F40,Monster!B:E,4,FALSE)),0,VLOOKUP(F40,Monster!B:E,4,FALSE))</f>
        <v>6</v>
      </c>
      <c r="H40" s="1">
        <v>1</v>
      </c>
      <c r="N40" s="1">
        <f t="shared" si="0"/>
        <v>39</v>
      </c>
    </row>
    <row r="41" spans="1:14" x14ac:dyDescent="0.2">
      <c r="A41" s="1">
        <v>40</v>
      </c>
      <c r="B41" s="1" t="s">
        <v>727</v>
      </c>
      <c r="C41" s="1" t="s">
        <v>719</v>
      </c>
      <c r="D41" s="1" t="s">
        <v>185</v>
      </c>
      <c r="E41" s="1" t="s">
        <v>185</v>
      </c>
      <c r="F41" s="1" t="s">
        <v>75</v>
      </c>
      <c r="G41" s="1">
        <f>IF(ISNA(VLOOKUP(F41,Monster!B:E,4,FALSE)),0,VLOOKUP(F41,Monster!B:E,4,FALSE))</f>
        <v>6</v>
      </c>
      <c r="H41" s="1">
        <v>1</v>
      </c>
      <c r="N41" s="1">
        <f t="shared" si="0"/>
        <v>40</v>
      </c>
    </row>
    <row r="42" spans="1:14" x14ac:dyDescent="0.2">
      <c r="A42" s="1">
        <v>41</v>
      </c>
      <c r="B42" s="1" t="s">
        <v>728</v>
      </c>
      <c r="C42" s="1" t="s">
        <v>729</v>
      </c>
      <c r="D42" s="1" t="s">
        <v>36</v>
      </c>
      <c r="E42" s="1" t="s">
        <v>36</v>
      </c>
      <c r="F42" s="1" t="s">
        <v>81</v>
      </c>
      <c r="G42" s="1">
        <f>IF(ISNA(VLOOKUP(F42,Monster!B:E,4,FALSE)),0,VLOOKUP(F42,Monster!B:E,4,FALSE))</f>
        <v>7</v>
      </c>
      <c r="H42" s="1">
        <v>1</v>
      </c>
      <c r="N42" s="1">
        <f t="shared" si="0"/>
        <v>41</v>
      </c>
    </row>
    <row r="43" spans="1:14" x14ac:dyDescent="0.2">
      <c r="A43" s="1">
        <v>42</v>
      </c>
      <c r="B43" s="1" t="s">
        <v>732</v>
      </c>
      <c r="C43" s="1" t="s">
        <v>729</v>
      </c>
      <c r="D43" s="1" t="s">
        <v>92</v>
      </c>
      <c r="E43" s="1" t="s">
        <v>92</v>
      </c>
      <c r="F43" s="1" t="s">
        <v>81</v>
      </c>
      <c r="G43" s="1">
        <f>IF(ISNA(VLOOKUP(F43,Monster!B:E,4,FALSE)),0,VLOOKUP(F43,Monster!B:E,4,FALSE))</f>
        <v>7</v>
      </c>
      <c r="H43" s="1">
        <v>1</v>
      </c>
      <c r="N43" s="1">
        <f t="shared" si="0"/>
        <v>42</v>
      </c>
    </row>
    <row r="44" spans="1:14" x14ac:dyDescent="0.2">
      <c r="A44" s="1">
        <v>43</v>
      </c>
      <c r="B44" s="1" t="s">
        <v>733</v>
      </c>
      <c r="C44" s="1" t="s">
        <v>729</v>
      </c>
      <c r="D44" s="1" t="s">
        <v>117</v>
      </c>
      <c r="E44" s="1" t="s">
        <v>117</v>
      </c>
      <c r="F44" s="1" t="s">
        <v>81</v>
      </c>
      <c r="G44" s="1">
        <f>IF(ISNA(VLOOKUP(F44,Monster!B:E,4,FALSE)),0,VLOOKUP(F44,Monster!B:E,4,FALSE))</f>
        <v>7</v>
      </c>
      <c r="H44" s="1">
        <v>1</v>
      </c>
      <c r="N44" s="1">
        <f t="shared" si="0"/>
        <v>43</v>
      </c>
    </row>
    <row r="45" spans="1:14" x14ac:dyDescent="0.2">
      <c r="A45" s="1">
        <v>44</v>
      </c>
      <c r="B45" s="1" t="s">
        <v>737</v>
      </c>
      <c r="C45" s="1" t="s">
        <v>729</v>
      </c>
      <c r="D45" s="1" t="s">
        <v>142</v>
      </c>
      <c r="E45" s="1" t="s">
        <v>142</v>
      </c>
      <c r="F45" s="1" t="s">
        <v>81</v>
      </c>
      <c r="G45" s="1">
        <f>IF(ISNA(VLOOKUP(F45,Monster!B:E,4,FALSE)),0,VLOOKUP(F45,Monster!B:E,4,FALSE))</f>
        <v>7</v>
      </c>
      <c r="H45" s="1">
        <v>1</v>
      </c>
      <c r="N45" s="1">
        <f t="shared" si="0"/>
        <v>44</v>
      </c>
    </row>
    <row r="46" spans="1:14" x14ac:dyDescent="0.2">
      <c r="A46" s="1">
        <v>45</v>
      </c>
      <c r="B46" s="1" t="s">
        <v>738</v>
      </c>
      <c r="C46" s="1" t="s">
        <v>729</v>
      </c>
      <c r="D46" s="1" t="s">
        <v>185</v>
      </c>
      <c r="E46" s="1" t="s">
        <v>185</v>
      </c>
      <c r="F46" s="1" t="s">
        <v>81</v>
      </c>
      <c r="G46" s="1">
        <f>IF(ISNA(VLOOKUP(F46,Monster!B:E,4,FALSE)),0,VLOOKUP(F46,Monster!B:E,4,FALSE))</f>
        <v>7</v>
      </c>
      <c r="H46" s="1">
        <v>1</v>
      </c>
      <c r="N46" s="1">
        <f t="shared" si="0"/>
        <v>45</v>
      </c>
    </row>
    <row r="47" spans="1:14" x14ac:dyDescent="0.2">
      <c r="A47" s="1">
        <v>46</v>
      </c>
      <c r="B47" s="1" t="s">
        <v>741</v>
      </c>
      <c r="C47" s="1" t="s">
        <v>735</v>
      </c>
      <c r="D47" s="1" t="s">
        <v>36</v>
      </c>
      <c r="E47" s="1" t="s">
        <v>742</v>
      </c>
      <c r="F47" s="1" t="s">
        <v>91</v>
      </c>
      <c r="G47" s="1">
        <f>IF(ISNA(VLOOKUP(F47,Monster!B:E,4,FALSE)),0,VLOOKUP(F47,Monster!B:E,4,FALSE))</f>
        <v>8</v>
      </c>
      <c r="H47" s="1">
        <v>1</v>
      </c>
      <c r="N47" s="1">
        <f t="shared" si="0"/>
        <v>46</v>
      </c>
    </row>
    <row r="48" spans="1:14" x14ac:dyDescent="0.2">
      <c r="A48" s="1">
        <v>47</v>
      </c>
      <c r="B48" s="1" t="s">
        <v>743</v>
      </c>
      <c r="C48" s="1" t="s">
        <v>735</v>
      </c>
      <c r="D48" s="1" t="s">
        <v>92</v>
      </c>
      <c r="E48" s="1" t="s">
        <v>92</v>
      </c>
      <c r="F48" s="1" t="s">
        <v>91</v>
      </c>
      <c r="G48" s="1">
        <f>IF(ISNA(VLOOKUP(F48,Monster!B:E,4,FALSE)),0,VLOOKUP(F48,Monster!B:E,4,FALSE))</f>
        <v>8</v>
      </c>
      <c r="H48" s="1">
        <v>1</v>
      </c>
      <c r="N48" s="1">
        <f t="shared" si="0"/>
        <v>47</v>
      </c>
    </row>
    <row r="49" spans="1:14" x14ac:dyDescent="0.2">
      <c r="A49" s="1">
        <v>48</v>
      </c>
      <c r="B49" s="1" t="s">
        <v>746</v>
      </c>
      <c r="C49" s="1" t="s">
        <v>735</v>
      </c>
      <c r="D49" s="1" t="s">
        <v>117</v>
      </c>
      <c r="E49" s="1" t="s">
        <v>117</v>
      </c>
      <c r="F49" s="1" t="s">
        <v>91</v>
      </c>
      <c r="G49" s="1">
        <f>IF(ISNA(VLOOKUP(F49,Monster!B:E,4,FALSE)),0,VLOOKUP(F49,Monster!B:E,4,FALSE))</f>
        <v>8</v>
      </c>
      <c r="H49" s="1">
        <v>1</v>
      </c>
      <c r="N49" s="1">
        <f t="shared" si="0"/>
        <v>48</v>
      </c>
    </row>
    <row r="50" spans="1:14" x14ac:dyDescent="0.2">
      <c r="A50" s="1">
        <v>49</v>
      </c>
      <c r="B50" s="1" t="s">
        <v>748</v>
      </c>
      <c r="C50" s="1" t="s">
        <v>735</v>
      </c>
      <c r="D50" s="1" t="s">
        <v>142</v>
      </c>
      <c r="E50" s="1" t="s">
        <v>142</v>
      </c>
      <c r="F50" s="1" t="s">
        <v>91</v>
      </c>
      <c r="G50" s="1">
        <f>IF(ISNA(VLOOKUP(F50,Monster!B:E,4,FALSE)),0,VLOOKUP(F50,Monster!B:E,4,FALSE))</f>
        <v>8</v>
      </c>
      <c r="H50" s="1">
        <v>2</v>
      </c>
      <c r="N50" s="1">
        <f t="shared" si="0"/>
        <v>49</v>
      </c>
    </row>
    <row r="51" spans="1:14" x14ac:dyDescent="0.2">
      <c r="A51" s="1">
        <v>50</v>
      </c>
      <c r="B51" s="1" t="s">
        <v>751</v>
      </c>
      <c r="C51" s="1" t="s">
        <v>735</v>
      </c>
      <c r="D51" s="1" t="s">
        <v>185</v>
      </c>
      <c r="E51" s="1" t="s">
        <v>185</v>
      </c>
      <c r="F51" s="1" t="s">
        <v>91</v>
      </c>
      <c r="G51" s="1">
        <f>IF(ISNA(VLOOKUP(F51,Monster!B:E,4,FALSE)),0,VLOOKUP(F51,Monster!B:E,4,FALSE))</f>
        <v>8</v>
      </c>
      <c r="H51" s="1">
        <v>1</v>
      </c>
      <c r="N51" s="1">
        <f t="shared" si="0"/>
        <v>50</v>
      </c>
    </row>
    <row r="52" spans="1:14" x14ac:dyDescent="0.2">
      <c r="A52" s="1">
        <v>51</v>
      </c>
      <c r="B52" s="1" t="s">
        <v>753</v>
      </c>
      <c r="C52" s="1" t="s">
        <v>740</v>
      </c>
      <c r="D52" s="1" t="s">
        <v>36</v>
      </c>
      <c r="E52" s="1" t="s">
        <v>754</v>
      </c>
      <c r="F52" s="1" t="s">
        <v>97</v>
      </c>
      <c r="G52" s="1">
        <f>IF(ISNA(VLOOKUP(F52,Monster!B:E,4,FALSE)),0,VLOOKUP(F52,Monster!B:E,4,FALSE))</f>
        <v>9</v>
      </c>
      <c r="H52" s="1">
        <v>1</v>
      </c>
      <c r="N52" s="1">
        <f t="shared" si="0"/>
        <v>51</v>
      </c>
    </row>
    <row r="53" spans="1:14" x14ac:dyDescent="0.2">
      <c r="A53" s="1">
        <v>52</v>
      </c>
      <c r="B53" s="1" t="s">
        <v>757</v>
      </c>
      <c r="C53" s="1" t="s">
        <v>740</v>
      </c>
      <c r="D53" s="1" t="s">
        <v>92</v>
      </c>
      <c r="E53" s="1" t="s">
        <v>92</v>
      </c>
      <c r="F53" s="1" t="s">
        <v>97</v>
      </c>
      <c r="G53" s="1">
        <f>IF(ISNA(VLOOKUP(F53,Monster!B:E,4,FALSE)),0,VLOOKUP(F53,Monster!B:E,4,FALSE))</f>
        <v>9</v>
      </c>
      <c r="H53" s="1">
        <v>1</v>
      </c>
      <c r="N53" s="1">
        <f t="shared" si="0"/>
        <v>52</v>
      </c>
    </row>
    <row r="54" spans="1:14" x14ac:dyDescent="0.2">
      <c r="A54" s="1">
        <v>53</v>
      </c>
      <c r="B54" s="1" t="s">
        <v>758</v>
      </c>
      <c r="C54" s="1" t="s">
        <v>740</v>
      </c>
      <c r="D54" s="1" t="s">
        <v>117</v>
      </c>
      <c r="E54" s="1" t="s">
        <v>759</v>
      </c>
      <c r="F54" s="1" t="s">
        <v>97</v>
      </c>
      <c r="G54" s="1">
        <f>IF(ISNA(VLOOKUP(F54,Monster!B:E,4,FALSE)),0,VLOOKUP(F54,Monster!B:E,4,FALSE))</f>
        <v>9</v>
      </c>
      <c r="H54" s="1">
        <v>1</v>
      </c>
      <c r="N54" s="1">
        <f t="shared" si="0"/>
        <v>53</v>
      </c>
    </row>
    <row r="55" spans="1:14" x14ac:dyDescent="0.2">
      <c r="A55" s="1">
        <v>54</v>
      </c>
      <c r="B55" s="1" t="s">
        <v>762</v>
      </c>
      <c r="C55" s="1" t="s">
        <v>740</v>
      </c>
      <c r="D55" s="1" t="s">
        <v>142</v>
      </c>
      <c r="E55" s="1" t="s">
        <v>142</v>
      </c>
      <c r="F55" s="1" t="s">
        <v>97</v>
      </c>
      <c r="G55" s="1">
        <f>IF(ISNA(VLOOKUP(F55,Monster!B:E,4,FALSE)),0,VLOOKUP(F55,Monster!B:E,4,FALSE))</f>
        <v>9</v>
      </c>
      <c r="H55" s="1">
        <v>1</v>
      </c>
      <c r="N55" s="1">
        <f t="shared" si="0"/>
        <v>54</v>
      </c>
    </row>
    <row r="56" spans="1:14" x14ac:dyDescent="0.2">
      <c r="A56" s="1">
        <v>55</v>
      </c>
      <c r="B56" s="1" t="s">
        <v>764</v>
      </c>
      <c r="C56" s="1" t="s">
        <v>740</v>
      </c>
      <c r="D56" s="1" t="s">
        <v>185</v>
      </c>
      <c r="E56" s="1" t="s">
        <v>185</v>
      </c>
      <c r="F56" s="1" t="s">
        <v>97</v>
      </c>
      <c r="G56" s="1">
        <f>IF(ISNA(VLOOKUP(F56,Monster!B:E,4,FALSE)),0,VLOOKUP(F56,Monster!B:E,4,FALSE))</f>
        <v>9</v>
      </c>
      <c r="H56" s="1">
        <v>1</v>
      </c>
      <c r="N56" s="1">
        <f t="shared" si="0"/>
        <v>55</v>
      </c>
    </row>
    <row r="57" spans="1:14" x14ac:dyDescent="0.2">
      <c r="A57" s="1">
        <v>56</v>
      </c>
      <c r="B57" s="1" t="s">
        <v>767</v>
      </c>
      <c r="C57" s="1" t="s">
        <v>745</v>
      </c>
      <c r="D57" s="1" t="s">
        <v>36</v>
      </c>
      <c r="E57" s="1" t="s">
        <v>36</v>
      </c>
      <c r="F57" s="1" t="s">
        <v>102</v>
      </c>
      <c r="G57" s="1">
        <f>IF(ISNA(VLOOKUP(F57,Monster!B:E,4,FALSE)),0,VLOOKUP(F57,Monster!B:E,4,FALSE))</f>
        <v>10</v>
      </c>
      <c r="H57" s="1">
        <v>2</v>
      </c>
      <c r="N57" s="1">
        <f t="shared" si="0"/>
        <v>56</v>
      </c>
    </row>
    <row r="58" spans="1:14" x14ac:dyDescent="0.2">
      <c r="A58" s="1">
        <v>57</v>
      </c>
      <c r="B58" s="1" t="s">
        <v>769</v>
      </c>
      <c r="C58" s="1" t="s">
        <v>745</v>
      </c>
      <c r="D58" s="1" t="s">
        <v>92</v>
      </c>
      <c r="E58" s="1" t="s">
        <v>92</v>
      </c>
      <c r="F58" s="1" t="s">
        <v>102</v>
      </c>
      <c r="G58" s="1">
        <f>IF(ISNA(VLOOKUP(F58,Monster!B:E,4,FALSE)),0,VLOOKUP(F58,Monster!B:E,4,FALSE))</f>
        <v>10</v>
      </c>
      <c r="H58" s="1">
        <v>1</v>
      </c>
      <c r="N58" s="1">
        <f t="shared" si="0"/>
        <v>57</v>
      </c>
    </row>
    <row r="59" spans="1:14" x14ac:dyDescent="0.2">
      <c r="A59" s="1">
        <v>58</v>
      </c>
      <c r="B59" s="1" t="s">
        <v>772</v>
      </c>
      <c r="C59" s="1" t="s">
        <v>745</v>
      </c>
      <c r="D59" s="1" t="s">
        <v>117</v>
      </c>
      <c r="E59" s="1" t="s">
        <v>117</v>
      </c>
      <c r="F59" s="1" t="s">
        <v>102</v>
      </c>
      <c r="G59" s="1">
        <f>IF(ISNA(VLOOKUP(F59,Monster!B:E,4,FALSE)),0,VLOOKUP(F59,Monster!B:E,4,FALSE))</f>
        <v>10</v>
      </c>
      <c r="H59" s="1">
        <v>1</v>
      </c>
      <c r="N59" s="1">
        <f t="shared" si="0"/>
        <v>58</v>
      </c>
    </row>
    <row r="60" spans="1:14" x14ac:dyDescent="0.2">
      <c r="A60" s="1">
        <v>59</v>
      </c>
      <c r="B60" s="1" t="s">
        <v>773</v>
      </c>
      <c r="C60" s="1" t="s">
        <v>745</v>
      </c>
      <c r="D60" s="1" t="s">
        <v>142</v>
      </c>
      <c r="E60" s="1" t="s">
        <v>142</v>
      </c>
      <c r="F60" s="1" t="s">
        <v>102</v>
      </c>
      <c r="G60" s="1">
        <f>IF(ISNA(VLOOKUP(F60,Monster!B:E,4,FALSE)),0,VLOOKUP(F60,Monster!B:E,4,FALSE))</f>
        <v>10</v>
      </c>
      <c r="H60" s="1">
        <v>2</v>
      </c>
      <c r="N60" s="1">
        <f t="shared" si="0"/>
        <v>59</v>
      </c>
    </row>
    <row r="61" spans="1:14" x14ac:dyDescent="0.2">
      <c r="A61" s="1">
        <v>60</v>
      </c>
      <c r="B61" s="1" t="s">
        <v>776</v>
      </c>
      <c r="C61" s="1" t="s">
        <v>745</v>
      </c>
      <c r="D61" s="1" t="s">
        <v>185</v>
      </c>
      <c r="E61" s="1" t="s">
        <v>185</v>
      </c>
      <c r="F61" s="1" t="s">
        <v>102</v>
      </c>
      <c r="G61" s="1">
        <f>IF(ISNA(VLOOKUP(F61,Monster!B:E,4,FALSE)),0,VLOOKUP(F61,Monster!B:E,4,FALSE))</f>
        <v>10</v>
      </c>
      <c r="H61" s="1">
        <v>1</v>
      </c>
      <c r="N61" s="1">
        <f t="shared" si="0"/>
        <v>60</v>
      </c>
    </row>
    <row r="62" spans="1:14" x14ac:dyDescent="0.2">
      <c r="A62" s="1">
        <v>61</v>
      </c>
      <c r="B62" s="1" t="s">
        <v>778</v>
      </c>
      <c r="C62" s="1" t="s">
        <v>750</v>
      </c>
      <c r="D62" s="1" t="s">
        <v>36</v>
      </c>
      <c r="E62" s="1" t="s">
        <v>36</v>
      </c>
      <c r="F62" s="1" t="s">
        <v>109</v>
      </c>
      <c r="G62" s="1">
        <f>IF(ISNA(VLOOKUP(F62,Monster!B:E,4,FALSE)),0,VLOOKUP(F62,Monster!B:E,4,FALSE))</f>
        <v>11</v>
      </c>
      <c r="H62" s="1">
        <v>1</v>
      </c>
      <c r="N62" s="1">
        <f t="shared" si="0"/>
        <v>61</v>
      </c>
    </row>
    <row r="63" spans="1:14" x14ac:dyDescent="0.2">
      <c r="A63" s="1">
        <v>62</v>
      </c>
      <c r="B63" s="1" t="s">
        <v>780</v>
      </c>
      <c r="C63" s="1" t="s">
        <v>750</v>
      </c>
      <c r="D63" s="1" t="s">
        <v>92</v>
      </c>
      <c r="E63" s="1" t="s">
        <v>92</v>
      </c>
      <c r="F63" s="1" t="s">
        <v>109</v>
      </c>
      <c r="G63" s="1">
        <f>IF(ISNA(VLOOKUP(F63,Monster!B:E,4,FALSE)),0,VLOOKUP(F63,Monster!B:E,4,FALSE))</f>
        <v>11</v>
      </c>
      <c r="H63" s="1">
        <v>1</v>
      </c>
      <c r="N63" s="1">
        <f t="shared" si="0"/>
        <v>62</v>
      </c>
    </row>
    <row r="64" spans="1:14" x14ac:dyDescent="0.2">
      <c r="A64" s="1">
        <v>63</v>
      </c>
      <c r="B64" s="1" t="s">
        <v>781</v>
      </c>
      <c r="C64" s="1" t="s">
        <v>750</v>
      </c>
      <c r="D64" s="1" t="s">
        <v>117</v>
      </c>
      <c r="E64" s="1" t="s">
        <v>117</v>
      </c>
      <c r="F64" s="1" t="s">
        <v>109</v>
      </c>
      <c r="G64" s="1">
        <f>IF(ISNA(VLOOKUP(F64,Monster!B:E,4,FALSE)),0,VLOOKUP(F64,Monster!B:E,4,FALSE))</f>
        <v>11</v>
      </c>
      <c r="H64" s="1">
        <v>1</v>
      </c>
      <c r="N64" s="1">
        <f t="shared" si="0"/>
        <v>63</v>
      </c>
    </row>
    <row r="65" spans="1:14" x14ac:dyDescent="0.2">
      <c r="A65" s="1">
        <v>64</v>
      </c>
      <c r="B65" s="1" t="s">
        <v>783</v>
      </c>
      <c r="C65" s="1" t="s">
        <v>750</v>
      </c>
      <c r="D65" s="1" t="s">
        <v>142</v>
      </c>
      <c r="E65" s="1" t="s">
        <v>142</v>
      </c>
      <c r="F65" s="1" t="s">
        <v>109</v>
      </c>
      <c r="G65" s="1">
        <f>IF(ISNA(VLOOKUP(F65,Monster!B:E,4,FALSE)),0,VLOOKUP(F65,Monster!B:E,4,FALSE))</f>
        <v>11</v>
      </c>
      <c r="H65" s="1">
        <v>1</v>
      </c>
      <c r="N65" s="1">
        <f t="shared" si="0"/>
        <v>64</v>
      </c>
    </row>
    <row r="66" spans="1:14" x14ac:dyDescent="0.2">
      <c r="A66" s="1">
        <v>65</v>
      </c>
      <c r="B66" s="1" t="s">
        <v>784</v>
      </c>
      <c r="C66" s="1" t="s">
        <v>750</v>
      </c>
      <c r="D66" s="1" t="s">
        <v>185</v>
      </c>
      <c r="E66" s="1" t="s">
        <v>185</v>
      </c>
      <c r="F66" s="1" t="s">
        <v>109</v>
      </c>
      <c r="G66" s="1">
        <f>IF(ISNA(VLOOKUP(F66,Monster!B:E,4,FALSE)),0,VLOOKUP(F66,Monster!B:E,4,FALSE))</f>
        <v>11</v>
      </c>
      <c r="H66" s="1">
        <v>1</v>
      </c>
      <c r="N66" s="1">
        <f t="shared" si="0"/>
        <v>65</v>
      </c>
    </row>
    <row r="67" spans="1:14" x14ac:dyDescent="0.2">
      <c r="A67" s="1">
        <v>61</v>
      </c>
      <c r="B67" s="1" t="s">
        <v>787</v>
      </c>
      <c r="C67" s="1" t="s">
        <v>756</v>
      </c>
      <c r="D67" s="1" t="s">
        <v>36</v>
      </c>
      <c r="E67" s="1" t="s">
        <v>36</v>
      </c>
      <c r="F67" s="1" t="s">
        <v>119</v>
      </c>
      <c r="G67" s="1">
        <f>IF(ISNA(VLOOKUP(F67,Monster!B:E,4,FALSE)),0,VLOOKUP(F67,Monster!B:E,4,FALSE))</f>
        <v>12</v>
      </c>
      <c r="H67" s="1">
        <v>1</v>
      </c>
      <c r="I67" s="1" t="str">
        <f>VLOOKUP(G67,Monster!A:E,4,FALSE) &amp; " " &amp; E67</f>
        <v>Fulgur Helm</v>
      </c>
      <c r="J67" s="1" t="str">
        <f>VLOOKUP(G67,Monster!A:E,3,FALSE) &amp; " Set"</f>
        <v>Fulgur Set</v>
      </c>
      <c r="N67" s="1">
        <f t="shared" si="0"/>
        <v>61</v>
      </c>
    </row>
    <row r="68" spans="1:14" x14ac:dyDescent="0.2">
      <c r="A68" s="1">
        <v>62</v>
      </c>
      <c r="B68" s="1" t="s">
        <v>791</v>
      </c>
      <c r="C68" s="1" t="s">
        <v>756</v>
      </c>
      <c r="D68" s="1" t="s">
        <v>92</v>
      </c>
      <c r="E68" s="1" t="s">
        <v>92</v>
      </c>
      <c r="F68" s="1" t="s">
        <v>119</v>
      </c>
      <c r="G68" s="1">
        <f>IF(ISNA(VLOOKUP(F68,Monster!B:E,4,FALSE)),0,VLOOKUP(F68,Monster!B:E,4,FALSE))</f>
        <v>12</v>
      </c>
      <c r="H68" s="1">
        <v>1</v>
      </c>
      <c r="I68" s="1" t="str">
        <f>VLOOKUP(G68,Monster!A:E,4,FALSE) &amp; " " &amp; E68</f>
        <v>Fulgur Mail</v>
      </c>
      <c r="J68" s="1" t="str">
        <f>VLOOKUP(G68,Monster!A:E,3,FALSE) &amp; " Set"</f>
        <v>Fulgur Set</v>
      </c>
      <c r="N68" s="1">
        <f t="shared" si="0"/>
        <v>62</v>
      </c>
    </row>
    <row r="69" spans="1:14" x14ac:dyDescent="0.2">
      <c r="A69" s="1">
        <v>63</v>
      </c>
      <c r="B69" s="1" t="s">
        <v>792</v>
      </c>
      <c r="C69" s="1" t="s">
        <v>756</v>
      </c>
      <c r="D69" s="1" t="s">
        <v>117</v>
      </c>
      <c r="E69" s="1" t="s">
        <v>117</v>
      </c>
      <c r="F69" s="1" t="s">
        <v>119</v>
      </c>
      <c r="G69" s="1">
        <f>IF(ISNA(VLOOKUP(F69,Monster!B:E,4,FALSE)),0,VLOOKUP(F69,Monster!B:E,4,FALSE))</f>
        <v>12</v>
      </c>
      <c r="H69" s="1">
        <v>1</v>
      </c>
      <c r="I69" s="1" t="str">
        <f>VLOOKUP(G69,Monster!A:E,4,FALSE) &amp; " " &amp; E69</f>
        <v>Fulgur Vambraces</v>
      </c>
      <c r="J69" s="1" t="str">
        <f>VLOOKUP(G69,Monster!A:E,3,FALSE) &amp; " Set"</f>
        <v>Fulgur Set</v>
      </c>
      <c r="N69" s="1">
        <f t="shared" si="0"/>
        <v>63</v>
      </c>
    </row>
    <row r="70" spans="1:14" x14ac:dyDescent="0.2">
      <c r="A70" s="1">
        <v>64</v>
      </c>
      <c r="B70" s="1" t="s">
        <v>795</v>
      </c>
      <c r="C70" s="1" t="s">
        <v>756</v>
      </c>
      <c r="D70" s="1" t="s">
        <v>142</v>
      </c>
      <c r="E70" s="1" t="s">
        <v>142</v>
      </c>
      <c r="F70" s="1" t="s">
        <v>119</v>
      </c>
      <c r="G70" s="1">
        <f>IF(ISNA(VLOOKUP(F70,Monster!B:E,4,FALSE)),0,VLOOKUP(F70,Monster!B:E,4,FALSE))</f>
        <v>12</v>
      </c>
      <c r="H70" s="1">
        <v>1</v>
      </c>
      <c r="I70" s="1" t="str">
        <f>VLOOKUP(G70,Monster!A:E,4,FALSE) &amp; " " &amp; E70</f>
        <v>Fulgur Coil</v>
      </c>
      <c r="J70" s="1" t="str">
        <f>VLOOKUP(G70,Monster!A:E,3,FALSE) &amp; " Set"</f>
        <v>Fulgur Set</v>
      </c>
      <c r="N70" s="1">
        <f t="shared" si="0"/>
        <v>64</v>
      </c>
    </row>
    <row r="71" spans="1:14" x14ac:dyDescent="0.2">
      <c r="A71" s="1">
        <v>65</v>
      </c>
      <c r="B71" s="1" t="s">
        <v>799</v>
      </c>
      <c r="C71" s="1" t="s">
        <v>756</v>
      </c>
      <c r="D71" s="1" t="s">
        <v>185</v>
      </c>
      <c r="E71" s="1" t="s">
        <v>185</v>
      </c>
      <c r="F71" s="1" t="s">
        <v>119</v>
      </c>
      <c r="G71" s="1">
        <f>IF(ISNA(VLOOKUP(F71,Monster!B:E,4,FALSE)),0,VLOOKUP(F71,Monster!B:E,4,FALSE))</f>
        <v>12</v>
      </c>
      <c r="H71" s="1">
        <v>1</v>
      </c>
      <c r="I71" s="1" t="str">
        <f>VLOOKUP(G71,Monster!A:E,4,FALSE) &amp; " " &amp; E71</f>
        <v>Fulgur Greaves</v>
      </c>
      <c r="J71" s="1" t="str">
        <f>VLOOKUP(G71,Monster!A:E,3,FALSE) &amp; " Set"</f>
        <v>Fulgur Set</v>
      </c>
      <c r="N71" s="1">
        <f t="shared" si="0"/>
        <v>65</v>
      </c>
    </row>
    <row r="72" spans="1:14" x14ac:dyDescent="0.2">
      <c r="A72" s="1">
        <v>66</v>
      </c>
      <c r="B72" s="1" t="s">
        <v>801</v>
      </c>
      <c r="C72" s="1" t="s">
        <v>761</v>
      </c>
      <c r="D72" s="1" t="s">
        <v>36</v>
      </c>
      <c r="E72" s="1" t="s">
        <v>36</v>
      </c>
      <c r="F72" s="1" t="s">
        <v>125</v>
      </c>
      <c r="G72" s="1">
        <f>IF(ISNA(VLOOKUP(F72,Monster!B:E,4,FALSE)),0,VLOOKUP(F72,Monster!B:E,4,FALSE))</f>
        <v>13</v>
      </c>
      <c r="H72" s="1">
        <v>1</v>
      </c>
      <c r="N72" s="1">
        <f t="shared" si="0"/>
        <v>66</v>
      </c>
    </row>
    <row r="73" spans="1:14" x14ac:dyDescent="0.2">
      <c r="A73" s="1">
        <v>67</v>
      </c>
      <c r="B73" s="1" t="s">
        <v>805</v>
      </c>
      <c r="C73" s="1" t="s">
        <v>761</v>
      </c>
      <c r="D73" s="1" t="s">
        <v>92</v>
      </c>
      <c r="E73" s="1" t="s">
        <v>92</v>
      </c>
      <c r="F73" s="1" t="s">
        <v>125</v>
      </c>
      <c r="G73" s="1">
        <f>IF(ISNA(VLOOKUP(F73,Monster!B:E,4,FALSE)),0,VLOOKUP(F73,Monster!B:E,4,FALSE))</f>
        <v>13</v>
      </c>
      <c r="H73" s="1">
        <v>1</v>
      </c>
      <c r="N73" s="1">
        <f t="shared" si="0"/>
        <v>67</v>
      </c>
    </row>
    <row r="74" spans="1:14" x14ac:dyDescent="0.2">
      <c r="A74" s="1">
        <v>68</v>
      </c>
      <c r="B74" s="1" t="s">
        <v>808</v>
      </c>
      <c r="C74" s="1" t="s">
        <v>761</v>
      </c>
      <c r="D74" s="1" t="s">
        <v>117</v>
      </c>
      <c r="E74" s="1" t="s">
        <v>117</v>
      </c>
      <c r="F74" s="1" t="s">
        <v>125</v>
      </c>
      <c r="G74" s="1">
        <f>IF(ISNA(VLOOKUP(F74,Monster!B:E,4,FALSE)),0,VLOOKUP(F74,Monster!B:E,4,FALSE))</f>
        <v>13</v>
      </c>
      <c r="H74" s="1">
        <v>1</v>
      </c>
      <c r="N74" s="1">
        <f t="shared" si="0"/>
        <v>68</v>
      </c>
    </row>
    <row r="75" spans="1:14" x14ac:dyDescent="0.2">
      <c r="A75" s="1">
        <v>69</v>
      </c>
      <c r="B75" s="1" t="s">
        <v>811</v>
      </c>
      <c r="C75" s="1" t="s">
        <v>761</v>
      </c>
      <c r="D75" s="1" t="s">
        <v>142</v>
      </c>
      <c r="E75" s="1" t="s">
        <v>142</v>
      </c>
      <c r="F75" s="1" t="s">
        <v>125</v>
      </c>
      <c r="G75" s="1">
        <f>IF(ISNA(VLOOKUP(F75,Monster!B:E,4,FALSE)),0,VLOOKUP(F75,Monster!B:E,4,FALSE))</f>
        <v>13</v>
      </c>
      <c r="H75" s="1">
        <v>1</v>
      </c>
      <c r="N75" s="1">
        <f t="shared" si="0"/>
        <v>69</v>
      </c>
    </row>
    <row r="76" spans="1:14" x14ac:dyDescent="0.2">
      <c r="A76" s="1">
        <v>70</v>
      </c>
      <c r="B76" s="1" t="s">
        <v>812</v>
      </c>
      <c r="C76" s="1" t="s">
        <v>761</v>
      </c>
      <c r="D76" s="1" t="s">
        <v>185</v>
      </c>
      <c r="E76" s="1" t="s">
        <v>185</v>
      </c>
      <c r="F76" s="1" t="s">
        <v>125</v>
      </c>
      <c r="G76" s="1">
        <f>IF(ISNA(VLOOKUP(F76,Monster!B:E,4,FALSE)),0,VLOOKUP(F76,Monster!B:E,4,FALSE))</f>
        <v>13</v>
      </c>
      <c r="H76" s="1">
        <v>2</v>
      </c>
      <c r="N76" s="1">
        <f t="shared" si="0"/>
        <v>70</v>
      </c>
    </row>
    <row r="77" spans="1:14" x14ac:dyDescent="0.2">
      <c r="A77" s="1">
        <v>71</v>
      </c>
      <c r="B77" s="1" t="s">
        <v>814</v>
      </c>
      <c r="C77" s="1" t="s">
        <v>766</v>
      </c>
      <c r="D77" s="1" t="s">
        <v>36</v>
      </c>
      <c r="E77" s="1" t="s">
        <v>36</v>
      </c>
      <c r="F77" s="1" t="s">
        <v>131</v>
      </c>
      <c r="G77" s="1">
        <f>IF(ISNA(VLOOKUP(F77,Monster!B:E,4,FALSE)),0,VLOOKUP(F77,Monster!B:E,4,FALSE))</f>
        <v>14</v>
      </c>
      <c r="H77" s="1">
        <v>1</v>
      </c>
      <c r="N77" s="1">
        <f t="shared" si="0"/>
        <v>71</v>
      </c>
    </row>
    <row r="78" spans="1:14" x14ac:dyDescent="0.2">
      <c r="A78" s="1">
        <v>72</v>
      </c>
      <c r="B78" s="1" t="s">
        <v>815</v>
      </c>
      <c r="C78" s="1" t="s">
        <v>766</v>
      </c>
      <c r="D78" s="1" t="s">
        <v>92</v>
      </c>
      <c r="E78" s="1" t="s">
        <v>92</v>
      </c>
      <c r="F78" s="1" t="s">
        <v>131</v>
      </c>
      <c r="G78" s="1">
        <f>IF(ISNA(VLOOKUP(F78,Monster!B:E,4,FALSE)),0,VLOOKUP(F78,Monster!B:E,4,FALSE))</f>
        <v>14</v>
      </c>
      <c r="H78" s="1">
        <v>1</v>
      </c>
      <c r="N78" s="1">
        <f t="shared" si="0"/>
        <v>72</v>
      </c>
    </row>
    <row r="79" spans="1:14" x14ac:dyDescent="0.2">
      <c r="A79" s="1">
        <v>73</v>
      </c>
      <c r="B79" s="1" t="s">
        <v>817</v>
      </c>
      <c r="C79" s="1" t="s">
        <v>766</v>
      </c>
      <c r="D79" s="1" t="s">
        <v>117</v>
      </c>
      <c r="E79" s="1" t="s">
        <v>818</v>
      </c>
      <c r="F79" s="1" t="s">
        <v>131</v>
      </c>
      <c r="G79" s="1">
        <f>IF(ISNA(VLOOKUP(F79,Monster!B:E,4,FALSE)),0,VLOOKUP(F79,Monster!B:E,4,FALSE))</f>
        <v>14</v>
      </c>
      <c r="H79" s="1">
        <v>1</v>
      </c>
      <c r="N79" s="1">
        <f t="shared" si="0"/>
        <v>73</v>
      </c>
    </row>
    <row r="80" spans="1:14" x14ac:dyDescent="0.2">
      <c r="A80" s="1">
        <v>74</v>
      </c>
      <c r="B80" s="1" t="s">
        <v>819</v>
      </c>
      <c r="C80" s="1" t="s">
        <v>766</v>
      </c>
      <c r="D80" s="1" t="s">
        <v>142</v>
      </c>
      <c r="E80" s="1" t="s">
        <v>142</v>
      </c>
      <c r="F80" s="1" t="s">
        <v>131</v>
      </c>
      <c r="G80" s="1">
        <f>IF(ISNA(VLOOKUP(F80,Monster!B:E,4,FALSE)),0,VLOOKUP(F80,Monster!B:E,4,FALSE))</f>
        <v>14</v>
      </c>
      <c r="H80" s="1">
        <v>1</v>
      </c>
      <c r="N80" s="1">
        <f t="shared" si="0"/>
        <v>74</v>
      </c>
    </row>
    <row r="81" spans="1:14" x14ac:dyDescent="0.2">
      <c r="A81" s="1">
        <v>75</v>
      </c>
      <c r="B81" s="1" t="s">
        <v>822</v>
      </c>
      <c r="C81" s="1" t="s">
        <v>766</v>
      </c>
      <c r="D81" s="1" t="s">
        <v>185</v>
      </c>
      <c r="E81" s="1" t="s">
        <v>185</v>
      </c>
      <c r="F81" s="1" t="s">
        <v>131</v>
      </c>
      <c r="G81" s="1">
        <f>IF(ISNA(VLOOKUP(F81,Monster!B:E,4,FALSE)),0,VLOOKUP(F81,Monster!B:E,4,FALSE))</f>
        <v>14</v>
      </c>
      <c r="H81" s="1">
        <v>1</v>
      </c>
      <c r="N81" s="1">
        <f t="shared" si="0"/>
        <v>75</v>
      </c>
    </row>
    <row r="82" spans="1:14" x14ac:dyDescent="0.2">
      <c r="A82" s="1">
        <v>76</v>
      </c>
      <c r="B82" s="1" t="s">
        <v>824</v>
      </c>
      <c r="C82" s="1" t="s">
        <v>771</v>
      </c>
      <c r="D82" s="1" t="s">
        <v>36</v>
      </c>
      <c r="E82" s="1" t="s">
        <v>36</v>
      </c>
      <c r="F82" s="1" t="s">
        <v>137</v>
      </c>
      <c r="G82" s="1">
        <f>IF(ISNA(VLOOKUP(F82,Monster!B:E,4,FALSE)),0,VLOOKUP(F82,Monster!B:E,4,FALSE))</f>
        <v>15</v>
      </c>
      <c r="H82" s="1">
        <v>1</v>
      </c>
      <c r="N82" s="1">
        <f t="shared" si="0"/>
        <v>76</v>
      </c>
    </row>
    <row r="83" spans="1:14" x14ac:dyDescent="0.2">
      <c r="A83" s="1">
        <v>77</v>
      </c>
      <c r="B83" s="1" t="s">
        <v>826</v>
      </c>
      <c r="C83" s="1" t="s">
        <v>771</v>
      </c>
      <c r="D83" s="1" t="s">
        <v>92</v>
      </c>
      <c r="E83" s="1" t="s">
        <v>92</v>
      </c>
      <c r="F83" s="1" t="s">
        <v>137</v>
      </c>
      <c r="G83" s="1">
        <f>IF(ISNA(VLOOKUP(F83,Monster!B:E,4,FALSE)),0,VLOOKUP(F83,Monster!B:E,4,FALSE))</f>
        <v>15</v>
      </c>
      <c r="H83" s="1">
        <v>1</v>
      </c>
      <c r="N83" s="1">
        <f t="shared" si="0"/>
        <v>77</v>
      </c>
    </row>
    <row r="84" spans="1:14" x14ac:dyDescent="0.2">
      <c r="A84" s="1">
        <v>78</v>
      </c>
      <c r="B84" s="1" t="s">
        <v>827</v>
      </c>
      <c r="C84" s="1" t="s">
        <v>771</v>
      </c>
      <c r="D84" s="1" t="s">
        <v>117</v>
      </c>
      <c r="E84" s="1" t="s">
        <v>818</v>
      </c>
      <c r="F84" s="1" t="s">
        <v>137</v>
      </c>
      <c r="G84" s="1">
        <f>IF(ISNA(VLOOKUP(F84,Monster!B:E,4,FALSE)),0,VLOOKUP(F84,Monster!B:E,4,FALSE))</f>
        <v>15</v>
      </c>
      <c r="H84" s="1">
        <v>1</v>
      </c>
      <c r="N84" s="1">
        <f t="shared" si="0"/>
        <v>78</v>
      </c>
    </row>
    <row r="85" spans="1:14" x14ac:dyDescent="0.2">
      <c r="A85" s="1">
        <v>79</v>
      </c>
      <c r="B85" s="1" t="s">
        <v>830</v>
      </c>
      <c r="C85" s="1" t="s">
        <v>771</v>
      </c>
      <c r="D85" s="1" t="s">
        <v>142</v>
      </c>
      <c r="E85" s="1" t="s">
        <v>142</v>
      </c>
      <c r="F85" s="1" t="s">
        <v>137</v>
      </c>
      <c r="G85" s="1">
        <f>IF(ISNA(VLOOKUP(F85,Monster!B:E,4,FALSE)),0,VLOOKUP(F85,Monster!B:E,4,FALSE))</f>
        <v>15</v>
      </c>
      <c r="H85" s="1">
        <v>1</v>
      </c>
      <c r="N85" s="1">
        <f t="shared" si="0"/>
        <v>79</v>
      </c>
    </row>
    <row r="86" spans="1:14" x14ac:dyDescent="0.2">
      <c r="A86" s="1">
        <v>80</v>
      </c>
      <c r="B86" s="1" t="s">
        <v>832</v>
      </c>
      <c r="C86" s="1" t="s">
        <v>771</v>
      </c>
      <c r="D86" s="1" t="s">
        <v>185</v>
      </c>
      <c r="E86" s="1" t="s">
        <v>185</v>
      </c>
      <c r="F86" s="1" t="s">
        <v>137</v>
      </c>
      <c r="G86" s="1">
        <f>IF(ISNA(VLOOKUP(F86,Monster!B:E,4,FALSE)),0,VLOOKUP(F86,Monster!B:E,4,FALSE))</f>
        <v>15</v>
      </c>
      <c r="H86" s="1">
        <v>1</v>
      </c>
      <c r="N86" s="1">
        <f t="shared" si="0"/>
        <v>80</v>
      </c>
    </row>
    <row r="87" spans="1:14" x14ac:dyDescent="0.2">
      <c r="A87" s="1">
        <v>81</v>
      </c>
      <c r="B87" s="1" t="s">
        <v>835</v>
      </c>
      <c r="C87" s="1" t="s">
        <v>775</v>
      </c>
      <c r="D87" s="1" t="s">
        <v>36</v>
      </c>
      <c r="E87" s="1" t="s">
        <v>36</v>
      </c>
      <c r="F87" s="1" t="s">
        <v>146</v>
      </c>
      <c r="G87" s="1">
        <f>IF(ISNA(VLOOKUP(F87,Monster!B:E,4,FALSE)),0,VLOOKUP(F87,Monster!B:E,4,FALSE))</f>
        <v>16</v>
      </c>
      <c r="H87" s="1">
        <v>1</v>
      </c>
      <c r="N87" s="1">
        <f t="shared" si="0"/>
        <v>81</v>
      </c>
    </row>
    <row r="88" spans="1:14" x14ac:dyDescent="0.2">
      <c r="A88" s="1">
        <v>82</v>
      </c>
      <c r="B88" s="1" t="s">
        <v>836</v>
      </c>
      <c r="C88" s="1" t="s">
        <v>775</v>
      </c>
      <c r="D88" s="1" t="s">
        <v>92</v>
      </c>
      <c r="E88" s="1" t="s">
        <v>92</v>
      </c>
      <c r="F88" s="1" t="s">
        <v>146</v>
      </c>
      <c r="G88" s="1">
        <f>IF(ISNA(VLOOKUP(F88,Monster!B:E,4,FALSE)),0,VLOOKUP(F88,Monster!B:E,4,FALSE))</f>
        <v>16</v>
      </c>
      <c r="H88" s="1">
        <v>1</v>
      </c>
      <c r="N88" s="1">
        <f t="shared" si="0"/>
        <v>82</v>
      </c>
    </row>
    <row r="89" spans="1:14" x14ac:dyDescent="0.2">
      <c r="A89" s="1">
        <v>83</v>
      </c>
      <c r="B89" s="1" t="s">
        <v>837</v>
      </c>
      <c r="C89" s="1" t="s">
        <v>775</v>
      </c>
      <c r="D89" s="1" t="s">
        <v>117</v>
      </c>
      <c r="E89" s="1" t="s">
        <v>117</v>
      </c>
      <c r="F89" s="1" t="s">
        <v>146</v>
      </c>
      <c r="G89" s="1">
        <f>IF(ISNA(VLOOKUP(F89,Monster!B:E,4,FALSE)),0,VLOOKUP(F89,Monster!B:E,4,FALSE))</f>
        <v>16</v>
      </c>
      <c r="H89" s="1">
        <v>1</v>
      </c>
      <c r="N89" s="1">
        <f t="shared" si="0"/>
        <v>83</v>
      </c>
    </row>
    <row r="90" spans="1:14" x14ac:dyDescent="0.2">
      <c r="A90" s="1">
        <v>84</v>
      </c>
      <c r="B90" s="1" t="s">
        <v>840</v>
      </c>
      <c r="C90" s="1" t="s">
        <v>775</v>
      </c>
      <c r="D90" s="1" t="s">
        <v>142</v>
      </c>
      <c r="E90" s="1" t="s">
        <v>142</v>
      </c>
      <c r="F90" s="1" t="s">
        <v>146</v>
      </c>
      <c r="G90" s="1">
        <f>IF(ISNA(VLOOKUP(F90,Monster!B:E,4,FALSE)),0,VLOOKUP(F90,Monster!B:E,4,FALSE))</f>
        <v>16</v>
      </c>
      <c r="H90" s="1">
        <v>1</v>
      </c>
      <c r="N90" s="1">
        <f t="shared" si="0"/>
        <v>84</v>
      </c>
    </row>
    <row r="91" spans="1:14" x14ac:dyDescent="0.2">
      <c r="A91" s="1">
        <v>85</v>
      </c>
      <c r="B91" s="1" t="s">
        <v>842</v>
      </c>
      <c r="C91" s="1" t="s">
        <v>775</v>
      </c>
      <c r="D91" s="1" t="s">
        <v>185</v>
      </c>
      <c r="E91" s="1" t="s">
        <v>185</v>
      </c>
      <c r="F91" s="1" t="s">
        <v>146</v>
      </c>
      <c r="G91" s="1">
        <f>IF(ISNA(VLOOKUP(F91,Monster!B:E,4,FALSE)),0,VLOOKUP(F91,Monster!B:E,4,FALSE))</f>
        <v>16</v>
      </c>
      <c r="H91" s="1">
        <v>1</v>
      </c>
      <c r="N91" s="1">
        <f t="shared" si="0"/>
        <v>85</v>
      </c>
    </row>
    <row r="92" spans="1:14" x14ac:dyDescent="0.2">
      <c r="A92" s="1">
        <v>86</v>
      </c>
      <c r="B92" s="1" t="s">
        <v>843</v>
      </c>
      <c r="C92" s="1" t="s">
        <v>779</v>
      </c>
      <c r="D92" s="1" t="s">
        <v>36</v>
      </c>
      <c r="E92" s="1" t="s">
        <v>36</v>
      </c>
      <c r="F92" s="1" t="s">
        <v>151</v>
      </c>
      <c r="G92" s="1">
        <f>IF(ISNA(VLOOKUP(F92,Monster!B:E,4,FALSE)),0,VLOOKUP(F92,Monster!B:E,4,FALSE))</f>
        <v>17</v>
      </c>
      <c r="H92" s="1">
        <v>1</v>
      </c>
      <c r="N92" s="1">
        <f t="shared" si="0"/>
        <v>86</v>
      </c>
    </row>
    <row r="93" spans="1:14" x14ac:dyDescent="0.2">
      <c r="A93" s="1">
        <v>87</v>
      </c>
      <c r="B93" s="1" t="s">
        <v>846</v>
      </c>
      <c r="C93" s="1" t="s">
        <v>779</v>
      </c>
      <c r="D93" s="1" t="s">
        <v>92</v>
      </c>
      <c r="E93" s="1" t="s">
        <v>92</v>
      </c>
      <c r="F93" s="1" t="s">
        <v>151</v>
      </c>
      <c r="G93" s="1">
        <f>IF(ISNA(VLOOKUP(F93,Monster!B:E,4,FALSE)),0,VLOOKUP(F93,Monster!B:E,4,FALSE))</f>
        <v>17</v>
      </c>
      <c r="H93" s="1">
        <v>1</v>
      </c>
      <c r="N93" s="1">
        <f t="shared" si="0"/>
        <v>87</v>
      </c>
    </row>
    <row r="94" spans="1:14" x14ac:dyDescent="0.2">
      <c r="A94" s="1">
        <v>88</v>
      </c>
      <c r="B94" s="1" t="s">
        <v>847</v>
      </c>
      <c r="C94" s="1" t="s">
        <v>779</v>
      </c>
      <c r="D94" s="1" t="s">
        <v>117</v>
      </c>
      <c r="E94" s="1" t="s">
        <v>117</v>
      </c>
      <c r="F94" s="1" t="s">
        <v>151</v>
      </c>
      <c r="G94" s="1">
        <f>IF(ISNA(VLOOKUP(F94,Monster!B:E,4,FALSE)),0,VLOOKUP(F94,Monster!B:E,4,FALSE))</f>
        <v>17</v>
      </c>
      <c r="H94" s="1">
        <v>1</v>
      </c>
      <c r="N94" s="1">
        <f t="shared" si="0"/>
        <v>88</v>
      </c>
    </row>
    <row r="95" spans="1:14" x14ac:dyDescent="0.2">
      <c r="A95" s="1">
        <v>89</v>
      </c>
      <c r="B95" s="1" t="s">
        <v>848</v>
      </c>
      <c r="C95" s="1" t="s">
        <v>779</v>
      </c>
      <c r="D95" s="1" t="s">
        <v>142</v>
      </c>
      <c r="E95" s="1" t="s">
        <v>142</v>
      </c>
      <c r="F95" s="1" t="s">
        <v>151</v>
      </c>
      <c r="G95" s="1">
        <f>IF(ISNA(VLOOKUP(F95,Monster!B:E,4,FALSE)),0,VLOOKUP(F95,Monster!B:E,4,FALSE))</f>
        <v>17</v>
      </c>
      <c r="H95" s="1">
        <v>1</v>
      </c>
      <c r="N95" s="1">
        <f t="shared" si="0"/>
        <v>89</v>
      </c>
    </row>
    <row r="96" spans="1:14" x14ac:dyDescent="0.2">
      <c r="A96" s="1">
        <v>90</v>
      </c>
      <c r="B96" s="1" t="s">
        <v>850</v>
      </c>
      <c r="C96" s="1" t="s">
        <v>779</v>
      </c>
      <c r="D96" s="1" t="s">
        <v>185</v>
      </c>
      <c r="E96" s="1" t="s">
        <v>185</v>
      </c>
      <c r="F96" s="1" t="s">
        <v>151</v>
      </c>
      <c r="G96" s="1">
        <f>IF(ISNA(VLOOKUP(F96,Monster!B:E,4,FALSE)),0,VLOOKUP(F96,Monster!B:E,4,FALSE))</f>
        <v>17</v>
      </c>
      <c r="H96" s="1">
        <v>1</v>
      </c>
      <c r="N96" s="1">
        <f t="shared" si="0"/>
        <v>90</v>
      </c>
    </row>
    <row r="97" spans="1:14" x14ac:dyDescent="0.2">
      <c r="A97" s="1">
        <v>91</v>
      </c>
      <c r="B97" s="1" t="s">
        <v>851</v>
      </c>
      <c r="C97" s="1" t="s">
        <v>782</v>
      </c>
      <c r="D97" s="1" t="s">
        <v>36</v>
      </c>
      <c r="E97" s="1" t="s">
        <v>36</v>
      </c>
      <c r="F97" s="1" t="s">
        <v>155</v>
      </c>
      <c r="G97" s="1">
        <f>IF(ISNA(VLOOKUP(F97,Monster!B:E,4,FALSE)),0,VLOOKUP(F97,Monster!B:E,4,FALSE))</f>
        <v>18</v>
      </c>
      <c r="H97" s="1">
        <v>1</v>
      </c>
      <c r="N97" s="1">
        <f t="shared" si="0"/>
        <v>91</v>
      </c>
    </row>
    <row r="98" spans="1:14" x14ac:dyDescent="0.2">
      <c r="A98" s="1">
        <v>92</v>
      </c>
      <c r="B98" s="1" t="s">
        <v>855</v>
      </c>
      <c r="C98" s="1" t="s">
        <v>782</v>
      </c>
      <c r="D98" s="1" t="s">
        <v>92</v>
      </c>
      <c r="E98" s="1" t="s">
        <v>92</v>
      </c>
      <c r="F98" s="1" t="s">
        <v>155</v>
      </c>
      <c r="G98" s="1">
        <f>IF(ISNA(VLOOKUP(F98,Monster!B:E,4,FALSE)),0,VLOOKUP(F98,Monster!B:E,4,FALSE))</f>
        <v>18</v>
      </c>
      <c r="H98" s="1">
        <v>1</v>
      </c>
      <c r="N98" s="1">
        <f t="shared" si="0"/>
        <v>92</v>
      </c>
    </row>
    <row r="99" spans="1:14" x14ac:dyDescent="0.2">
      <c r="A99" s="1">
        <v>93</v>
      </c>
      <c r="B99" s="1" t="s">
        <v>858</v>
      </c>
      <c r="C99" s="1" t="s">
        <v>782</v>
      </c>
      <c r="D99" s="1" t="s">
        <v>117</v>
      </c>
      <c r="E99" s="1" t="s">
        <v>818</v>
      </c>
      <c r="F99" s="1" t="s">
        <v>155</v>
      </c>
      <c r="G99" s="1">
        <f>IF(ISNA(VLOOKUP(F99,Monster!B:E,4,FALSE)),0,VLOOKUP(F99,Monster!B:E,4,FALSE))</f>
        <v>18</v>
      </c>
      <c r="H99" s="1">
        <v>1</v>
      </c>
      <c r="N99" s="1">
        <f t="shared" si="0"/>
        <v>93</v>
      </c>
    </row>
    <row r="100" spans="1:14" x14ac:dyDescent="0.2">
      <c r="A100" s="1">
        <v>94</v>
      </c>
      <c r="B100" s="1" t="s">
        <v>860</v>
      </c>
      <c r="C100" s="1" t="s">
        <v>782</v>
      </c>
      <c r="D100" s="1" t="s">
        <v>142</v>
      </c>
      <c r="E100" s="1" t="s">
        <v>142</v>
      </c>
      <c r="F100" s="1" t="s">
        <v>155</v>
      </c>
      <c r="G100" s="1">
        <f>IF(ISNA(VLOOKUP(F100,Monster!B:E,4,FALSE)),0,VLOOKUP(F100,Monster!B:E,4,FALSE))</f>
        <v>18</v>
      </c>
      <c r="H100" s="1">
        <v>1</v>
      </c>
      <c r="N100" s="1">
        <f t="shared" si="0"/>
        <v>94</v>
      </c>
    </row>
    <row r="101" spans="1:14" x14ac:dyDescent="0.2">
      <c r="A101" s="1">
        <v>95</v>
      </c>
      <c r="B101" s="1" t="s">
        <v>862</v>
      </c>
      <c r="C101" s="1" t="s">
        <v>782</v>
      </c>
      <c r="D101" s="1" t="s">
        <v>185</v>
      </c>
      <c r="E101" s="1" t="s">
        <v>185</v>
      </c>
      <c r="F101" s="1" t="s">
        <v>155</v>
      </c>
      <c r="G101" s="1">
        <f>IF(ISNA(VLOOKUP(F101,Monster!B:E,4,FALSE)),0,VLOOKUP(F101,Monster!B:E,4,FALSE))</f>
        <v>18</v>
      </c>
      <c r="H101" s="1">
        <v>1</v>
      </c>
      <c r="N101" s="1">
        <f t="shared" si="0"/>
        <v>95</v>
      </c>
    </row>
    <row r="102" spans="1:14" x14ac:dyDescent="0.2">
      <c r="A102" s="1">
        <v>96</v>
      </c>
      <c r="B102" s="1" t="s">
        <v>864</v>
      </c>
      <c r="C102" s="1" t="s">
        <v>786</v>
      </c>
      <c r="D102" s="1" t="s">
        <v>36</v>
      </c>
      <c r="E102" s="1" t="s">
        <v>36</v>
      </c>
      <c r="F102" s="1" t="s">
        <v>160</v>
      </c>
      <c r="G102" s="1">
        <f>IF(ISNA(VLOOKUP(F102,Monster!B:E,4,FALSE)),0,VLOOKUP(F102,Monster!B:E,4,FALSE))</f>
        <v>19</v>
      </c>
      <c r="H102" s="1">
        <v>1</v>
      </c>
      <c r="N102" s="1">
        <f t="shared" si="0"/>
        <v>96</v>
      </c>
    </row>
    <row r="103" spans="1:14" x14ac:dyDescent="0.2">
      <c r="A103" s="1">
        <v>97</v>
      </c>
      <c r="B103" s="1" t="s">
        <v>865</v>
      </c>
      <c r="C103" s="1" t="s">
        <v>786</v>
      </c>
      <c r="D103" s="1" t="s">
        <v>92</v>
      </c>
      <c r="E103" s="1" t="s">
        <v>92</v>
      </c>
      <c r="F103" s="1" t="s">
        <v>160</v>
      </c>
      <c r="G103" s="1">
        <f>IF(ISNA(VLOOKUP(F103,Monster!B:E,4,FALSE)),0,VLOOKUP(F103,Monster!B:E,4,FALSE))</f>
        <v>19</v>
      </c>
      <c r="H103" s="1">
        <v>1</v>
      </c>
      <c r="N103" s="1">
        <f t="shared" si="0"/>
        <v>97</v>
      </c>
    </row>
    <row r="104" spans="1:14" x14ac:dyDescent="0.2">
      <c r="A104" s="1">
        <v>98</v>
      </c>
      <c r="B104" s="1" t="s">
        <v>867</v>
      </c>
      <c r="C104" s="1" t="s">
        <v>786</v>
      </c>
      <c r="D104" s="1" t="s">
        <v>117</v>
      </c>
      <c r="E104" s="1" t="s">
        <v>117</v>
      </c>
      <c r="F104" s="1" t="s">
        <v>160</v>
      </c>
      <c r="G104" s="1">
        <f>IF(ISNA(VLOOKUP(F104,Monster!B:E,4,FALSE)),0,VLOOKUP(F104,Monster!B:E,4,FALSE))</f>
        <v>19</v>
      </c>
      <c r="H104" s="1">
        <v>2</v>
      </c>
      <c r="N104" s="1">
        <f t="shared" si="0"/>
        <v>98</v>
      </c>
    </row>
    <row r="105" spans="1:14" x14ac:dyDescent="0.2">
      <c r="A105" s="1">
        <v>99</v>
      </c>
      <c r="B105" s="1" t="s">
        <v>868</v>
      </c>
      <c r="C105" s="1" t="s">
        <v>786</v>
      </c>
      <c r="D105" s="1" t="s">
        <v>142</v>
      </c>
      <c r="E105" s="1" t="s">
        <v>142</v>
      </c>
      <c r="F105" s="1" t="s">
        <v>160</v>
      </c>
      <c r="G105" s="1">
        <f>IF(ISNA(VLOOKUP(F105,Monster!B:E,4,FALSE)),0,VLOOKUP(F105,Monster!B:E,4,FALSE))</f>
        <v>19</v>
      </c>
      <c r="H105" s="1">
        <v>1</v>
      </c>
      <c r="N105" s="1">
        <f t="shared" si="0"/>
        <v>99</v>
      </c>
    </row>
    <row r="106" spans="1:14" x14ac:dyDescent="0.2">
      <c r="A106" s="1">
        <v>100</v>
      </c>
      <c r="B106" s="1" t="s">
        <v>870</v>
      </c>
      <c r="C106" s="1" t="s">
        <v>786</v>
      </c>
      <c r="D106" s="1" t="s">
        <v>185</v>
      </c>
      <c r="E106" s="1" t="s">
        <v>185</v>
      </c>
      <c r="F106" s="1" t="s">
        <v>160</v>
      </c>
      <c r="G106" s="1">
        <f>IF(ISNA(VLOOKUP(F106,Monster!B:E,4,FALSE)),0,VLOOKUP(F106,Monster!B:E,4,FALSE))</f>
        <v>19</v>
      </c>
      <c r="H106" s="1">
        <v>1</v>
      </c>
      <c r="N106" s="1">
        <f t="shared" si="0"/>
        <v>100</v>
      </c>
    </row>
    <row r="107" spans="1:14" x14ac:dyDescent="0.2">
      <c r="A107" s="1">
        <v>101</v>
      </c>
      <c r="B107" s="1" t="s">
        <v>871</v>
      </c>
      <c r="C107" s="1" t="s">
        <v>790</v>
      </c>
      <c r="D107" s="1" t="s">
        <v>36</v>
      </c>
      <c r="E107" s="1" t="s">
        <v>36</v>
      </c>
      <c r="F107" s="1" t="s">
        <v>165</v>
      </c>
      <c r="G107" s="1">
        <f>IF(ISNA(VLOOKUP(F107,Monster!B:E,4,FALSE)),0,VLOOKUP(F107,Monster!B:E,4,FALSE))</f>
        <v>20</v>
      </c>
      <c r="H107" s="1">
        <v>1</v>
      </c>
      <c r="N107" s="1">
        <f t="shared" si="0"/>
        <v>101</v>
      </c>
    </row>
    <row r="108" spans="1:14" x14ac:dyDescent="0.2">
      <c r="A108" s="1">
        <v>102</v>
      </c>
      <c r="B108" s="1" t="s">
        <v>873</v>
      </c>
      <c r="C108" s="1" t="s">
        <v>790</v>
      </c>
      <c r="D108" s="1" t="s">
        <v>92</v>
      </c>
      <c r="E108" s="1" t="s">
        <v>92</v>
      </c>
      <c r="F108" s="1" t="s">
        <v>165</v>
      </c>
      <c r="G108" s="1">
        <f>IF(ISNA(VLOOKUP(F108,Monster!B:E,4,FALSE)),0,VLOOKUP(F108,Monster!B:E,4,FALSE))</f>
        <v>20</v>
      </c>
      <c r="H108" s="1">
        <v>1</v>
      </c>
      <c r="N108" s="1">
        <f t="shared" si="0"/>
        <v>102</v>
      </c>
    </row>
    <row r="109" spans="1:14" x14ac:dyDescent="0.2">
      <c r="A109" s="1">
        <v>103</v>
      </c>
      <c r="B109" s="1" t="s">
        <v>876</v>
      </c>
      <c r="C109" s="1" t="s">
        <v>790</v>
      </c>
      <c r="D109" s="1" t="s">
        <v>117</v>
      </c>
      <c r="E109" s="1" t="s">
        <v>117</v>
      </c>
      <c r="F109" s="1" t="s">
        <v>165</v>
      </c>
      <c r="G109" s="1">
        <f>IF(ISNA(VLOOKUP(F109,Monster!B:E,4,FALSE)),0,VLOOKUP(F109,Monster!B:E,4,FALSE))</f>
        <v>20</v>
      </c>
      <c r="H109" s="1">
        <v>1</v>
      </c>
      <c r="N109" s="1">
        <f t="shared" si="0"/>
        <v>103</v>
      </c>
    </row>
    <row r="110" spans="1:14" x14ac:dyDescent="0.2">
      <c r="A110" s="1">
        <v>104</v>
      </c>
      <c r="B110" s="1" t="s">
        <v>878</v>
      </c>
      <c r="C110" s="1" t="s">
        <v>790</v>
      </c>
      <c r="D110" s="1" t="s">
        <v>142</v>
      </c>
      <c r="E110" s="1" t="s">
        <v>142</v>
      </c>
      <c r="F110" s="1" t="s">
        <v>165</v>
      </c>
      <c r="G110" s="1">
        <f>IF(ISNA(VLOOKUP(F110,Monster!B:E,4,FALSE)),0,VLOOKUP(F110,Monster!B:E,4,FALSE))</f>
        <v>20</v>
      </c>
      <c r="H110" s="1">
        <v>1</v>
      </c>
      <c r="N110" s="1">
        <f t="shared" si="0"/>
        <v>104</v>
      </c>
    </row>
    <row r="111" spans="1:14" x14ac:dyDescent="0.2">
      <c r="A111" s="1">
        <v>105</v>
      </c>
      <c r="B111" s="1" t="s">
        <v>881</v>
      </c>
      <c r="C111" s="1" t="s">
        <v>790</v>
      </c>
      <c r="D111" s="1" t="s">
        <v>185</v>
      </c>
      <c r="E111" s="1" t="s">
        <v>185</v>
      </c>
      <c r="F111" s="1" t="s">
        <v>165</v>
      </c>
      <c r="G111" s="1">
        <f>IF(ISNA(VLOOKUP(F111,Monster!B:E,4,FALSE)),0,VLOOKUP(F111,Monster!B:E,4,FALSE))</f>
        <v>20</v>
      </c>
      <c r="H111" s="1">
        <v>1</v>
      </c>
      <c r="N111" s="1">
        <f t="shared" si="0"/>
        <v>105</v>
      </c>
    </row>
    <row r="112" spans="1:14" x14ac:dyDescent="0.2">
      <c r="A112" s="1">
        <v>106</v>
      </c>
      <c r="B112" s="1" t="s">
        <v>883</v>
      </c>
      <c r="C112" s="1" t="s">
        <v>794</v>
      </c>
      <c r="D112" s="1" t="s">
        <v>36</v>
      </c>
      <c r="E112" s="1" t="s">
        <v>36</v>
      </c>
      <c r="F112" s="1" t="s">
        <v>171</v>
      </c>
      <c r="G112" s="1">
        <f>IF(ISNA(VLOOKUP(F112,Monster!B:E,4,FALSE)),0,VLOOKUP(F112,Monster!B:E,4,FALSE))</f>
        <v>21</v>
      </c>
      <c r="H112" s="1">
        <v>1</v>
      </c>
      <c r="N112" s="1">
        <f t="shared" si="0"/>
        <v>106</v>
      </c>
    </row>
    <row r="113" spans="1:14" x14ac:dyDescent="0.2">
      <c r="A113" s="1">
        <v>107</v>
      </c>
      <c r="B113" s="1" t="s">
        <v>886</v>
      </c>
      <c r="C113" s="1" t="s">
        <v>794</v>
      </c>
      <c r="D113" s="1" t="s">
        <v>92</v>
      </c>
      <c r="E113" s="1" t="s">
        <v>92</v>
      </c>
      <c r="F113" s="1" t="s">
        <v>171</v>
      </c>
      <c r="G113" s="1">
        <f>IF(ISNA(VLOOKUP(F113,Monster!B:E,4,FALSE)),0,VLOOKUP(F113,Monster!B:E,4,FALSE))</f>
        <v>21</v>
      </c>
      <c r="H113" s="1">
        <v>1</v>
      </c>
      <c r="N113" s="1">
        <f t="shared" si="0"/>
        <v>107</v>
      </c>
    </row>
    <row r="114" spans="1:14" x14ac:dyDescent="0.2">
      <c r="A114" s="1">
        <v>108</v>
      </c>
      <c r="B114" s="1" t="s">
        <v>887</v>
      </c>
      <c r="C114" s="1" t="s">
        <v>794</v>
      </c>
      <c r="D114" s="1" t="s">
        <v>117</v>
      </c>
      <c r="E114" s="1" t="s">
        <v>818</v>
      </c>
      <c r="F114" s="1" t="s">
        <v>171</v>
      </c>
      <c r="G114" s="1">
        <f>IF(ISNA(VLOOKUP(F114,Monster!B:E,4,FALSE)),0,VLOOKUP(F114,Monster!B:E,4,FALSE))</f>
        <v>21</v>
      </c>
      <c r="H114" s="1">
        <v>1</v>
      </c>
      <c r="N114" s="1">
        <f t="shared" si="0"/>
        <v>108</v>
      </c>
    </row>
    <row r="115" spans="1:14" x14ac:dyDescent="0.2">
      <c r="A115" s="1">
        <v>109</v>
      </c>
      <c r="B115" s="1" t="s">
        <v>889</v>
      </c>
      <c r="C115" s="1" t="s">
        <v>794</v>
      </c>
      <c r="D115" s="1" t="s">
        <v>142</v>
      </c>
      <c r="E115" s="1" t="s">
        <v>142</v>
      </c>
      <c r="F115" s="1" t="s">
        <v>171</v>
      </c>
      <c r="G115" s="1">
        <f>IF(ISNA(VLOOKUP(F115,Monster!B:E,4,FALSE)),0,VLOOKUP(F115,Monster!B:E,4,FALSE))</f>
        <v>21</v>
      </c>
      <c r="H115" s="1">
        <v>2</v>
      </c>
      <c r="N115" s="1">
        <f t="shared" si="0"/>
        <v>109</v>
      </c>
    </row>
    <row r="116" spans="1:14" x14ac:dyDescent="0.2">
      <c r="A116" s="1">
        <v>110</v>
      </c>
      <c r="B116" s="1" t="s">
        <v>890</v>
      </c>
      <c r="C116" s="1" t="s">
        <v>794</v>
      </c>
      <c r="D116" s="1" t="s">
        <v>185</v>
      </c>
      <c r="E116" s="1" t="s">
        <v>185</v>
      </c>
      <c r="F116" s="1" t="s">
        <v>171</v>
      </c>
      <c r="G116" s="1">
        <f>IF(ISNA(VLOOKUP(F116,Monster!B:E,4,FALSE)),0,VLOOKUP(F116,Monster!B:E,4,FALSE))</f>
        <v>21</v>
      </c>
      <c r="H116" s="1">
        <v>1</v>
      </c>
      <c r="N116" s="1">
        <f t="shared" si="0"/>
        <v>110</v>
      </c>
    </row>
    <row r="117" spans="1:14" x14ac:dyDescent="0.2">
      <c r="A117" s="1">
        <v>111</v>
      </c>
      <c r="B117" s="1" t="s">
        <v>893</v>
      </c>
      <c r="C117" s="1" t="s">
        <v>797</v>
      </c>
      <c r="D117" s="1" t="s">
        <v>36</v>
      </c>
      <c r="E117" s="1" t="s">
        <v>36</v>
      </c>
      <c r="F117" s="1" t="s">
        <v>176</v>
      </c>
      <c r="G117" s="1">
        <f>IF(ISNA(VLOOKUP(F117,Monster!B:E,4,FALSE)),0,VLOOKUP(F117,Monster!B:E,4,FALSE))</f>
        <v>22</v>
      </c>
      <c r="H117" s="1">
        <v>1</v>
      </c>
      <c r="N117" s="1">
        <f t="shared" si="0"/>
        <v>111</v>
      </c>
    </row>
    <row r="118" spans="1:14" x14ac:dyDescent="0.2">
      <c r="A118" s="1">
        <v>112</v>
      </c>
      <c r="B118" s="1" t="s">
        <v>895</v>
      </c>
      <c r="C118" s="1" t="s">
        <v>797</v>
      </c>
      <c r="D118" s="1" t="s">
        <v>92</v>
      </c>
      <c r="E118" s="1" t="s">
        <v>92</v>
      </c>
      <c r="F118" s="1" t="s">
        <v>176</v>
      </c>
      <c r="G118" s="1">
        <f>IF(ISNA(VLOOKUP(F118,Monster!B:E,4,FALSE)),0,VLOOKUP(F118,Monster!B:E,4,FALSE))</f>
        <v>22</v>
      </c>
      <c r="H118" s="1">
        <v>1</v>
      </c>
      <c r="N118" s="1">
        <f t="shared" si="0"/>
        <v>112</v>
      </c>
    </row>
    <row r="119" spans="1:14" x14ac:dyDescent="0.2">
      <c r="A119" s="1">
        <v>113</v>
      </c>
      <c r="B119" s="1" t="s">
        <v>897</v>
      </c>
      <c r="C119" s="1" t="s">
        <v>797</v>
      </c>
      <c r="D119" s="1" t="s">
        <v>117</v>
      </c>
      <c r="E119" s="1" t="s">
        <v>117</v>
      </c>
      <c r="F119" s="1" t="s">
        <v>176</v>
      </c>
      <c r="G119" s="1">
        <f>IF(ISNA(VLOOKUP(F119,Monster!B:E,4,FALSE)),0,VLOOKUP(F119,Monster!B:E,4,FALSE))</f>
        <v>22</v>
      </c>
      <c r="H119" s="1">
        <v>1</v>
      </c>
      <c r="N119" s="1">
        <f t="shared" si="0"/>
        <v>113</v>
      </c>
    </row>
    <row r="120" spans="1:14" x14ac:dyDescent="0.2">
      <c r="A120" s="1">
        <v>114</v>
      </c>
      <c r="B120" s="1" t="s">
        <v>898</v>
      </c>
      <c r="C120" s="1" t="s">
        <v>797</v>
      </c>
      <c r="D120" s="1" t="s">
        <v>142</v>
      </c>
      <c r="E120" s="1" t="s">
        <v>142</v>
      </c>
      <c r="F120" s="1" t="s">
        <v>176</v>
      </c>
      <c r="G120" s="1">
        <f>IF(ISNA(VLOOKUP(F120,Monster!B:E,4,FALSE)),0,VLOOKUP(F120,Monster!B:E,4,FALSE))</f>
        <v>22</v>
      </c>
      <c r="H120" s="1">
        <v>1</v>
      </c>
      <c r="N120" s="1">
        <f t="shared" si="0"/>
        <v>114</v>
      </c>
    </row>
    <row r="121" spans="1:14" x14ac:dyDescent="0.2">
      <c r="A121" s="1">
        <v>115</v>
      </c>
      <c r="B121" s="1" t="s">
        <v>901</v>
      </c>
      <c r="C121" s="1" t="s">
        <v>797</v>
      </c>
      <c r="D121" s="1" t="s">
        <v>185</v>
      </c>
      <c r="E121" s="1" t="s">
        <v>185</v>
      </c>
      <c r="F121" s="1" t="s">
        <v>176</v>
      </c>
      <c r="G121" s="1">
        <f>IF(ISNA(VLOOKUP(F121,Monster!B:E,4,FALSE)),0,VLOOKUP(F121,Monster!B:E,4,FALSE))</f>
        <v>22</v>
      </c>
      <c r="H121" s="1">
        <v>1</v>
      </c>
      <c r="N121" s="1">
        <f t="shared" si="0"/>
        <v>115</v>
      </c>
    </row>
    <row r="122" spans="1:14" x14ac:dyDescent="0.2">
      <c r="A122" s="1">
        <v>116</v>
      </c>
      <c r="B122" s="1" t="s">
        <v>902</v>
      </c>
      <c r="C122" s="1" t="s">
        <v>800</v>
      </c>
      <c r="D122" s="1" t="s">
        <v>36</v>
      </c>
      <c r="E122" s="1" t="s">
        <v>36</v>
      </c>
      <c r="F122" s="1" t="s">
        <v>184</v>
      </c>
      <c r="G122" s="1">
        <f>IF(ISNA(VLOOKUP(F122,Monster!B:E,4,FALSE)),0,VLOOKUP(F122,Monster!B:E,4,FALSE))</f>
        <v>23</v>
      </c>
      <c r="H122" s="1">
        <v>1</v>
      </c>
      <c r="N122" s="1">
        <f t="shared" si="0"/>
        <v>116</v>
      </c>
    </row>
    <row r="123" spans="1:14" x14ac:dyDescent="0.2">
      <c r="A123" s="1">
        <v>117</v>
      </c>
      <c r="B123" s="1" t="s">
        <v>903</v>
      </c>
      <c r="C123" s="1" t="s">
        <v>800</v>
      </c>
      <c r="D123" s="1" t="s">
        <v>92</v>
      </c>
      <c r="E123" s="1" t="s">
        <v>92</v>
      </c>
      <c r="F123" s="1" t="s">
        <v>184</v>
      </c>
      <c r="G123" s="1">
        <f>IF(ISNA(VLOOKUP(F123,Monster!B:E,4,FALSE)),0,VLOOKUP(F123,Monster!B:E,4,FALSE))</f>
        <v>23</v>
      </c>
      <c r="H123" s="1">
        <v>1</v>
      </c>
      <c r="N123" s="1">
        <f t="shared" si="0"/>
        <v>117</v>
      </c>
    </row>
    <row r="124" spans="1:14" x14ac:dyDescent="0.2">
      <c r="A124" s="1">
        <v>118</v>
      </c>
      <c r="B124" s="1" t="s">
        <v>905</v>
      </c>
      <c r="C124" s="1" t="s">
        <v>800</v>
      </c>
      <c r="D124" s="1" t="s">
        <v>117</v>
      </c>
      <c r="E124" s="1" t="s">
        <v>117</v>
      </c>
      <c r="F124" s="1" t="s">
        <v>184</v>
      </c>
      <c r="G124" s="1">
        <f>IF(ISNA(VLOOKUP(F124,Monster!B:E,4,FALSE)),0,VLOOKUP(F124,Monster!B:E,4,FALSE))</f>
        <v>23</v>
      </c>
      <c r="H124" s="1">
        <v>1</v>
      </c>
      <c r="N124" s="1">
        <f t="shared" si="0"/>
        <v>118</v>
      </c>
    </row>
    <row r="125" spans="1:14" x14ac:dyDescent="0.2">
      <c r="A125" s="1">
        <v>119</v>
      </c>
      <c r="B125" s="1" t="s">
        <v>906</v>
      </c>
      <c r="C125" s="1" t="s">
        <v>800</v>
      </c>
      <c r="D125" s="1" t="s">
        <v>142</v>
      </c>
      <c r="E125" s="1" t="s">
        <v>142</v>
      </c>
      <c r="F125" s="1" t="s">
        <v>184</v>
      </c>
      <c r="G125" s="1">
        <f>IF(ISNA(VLOOKUP(F125,Monster!B:E,4,FALSE)),0,VLOOKUP(F125,Monster!B:E,4,FALSE))</f>
        <v>23</v>
      </c>
      <c r="H125" s="1">
        <v>1</v>
      </c>
      <c r="N125" s="1">
        <f t="shared" si="0"/>
        <v>119</v>
      </c>
    </row>
    <row r="126" spans="1:14" x14ac:dyDescent="0.2">
      <c r="A126" s="1">
        <v>120</v>
      </c>
      <c r="B126" s="1" t="s">
        <v>909</v>
      </c>
      <c r="C126" s="1" t="s">
        <v>800</v>
      </c>
      <c r="D126" s="1" t="s">
        <v>185</v>
      </c>
      <c r="E126" s="1" t="s">
        <v>185</v>
      </c>
      <c r="F126" s="1" t="s">
        <v>184</v>
      </c>
      <c r="G126" s="1">
        <f>IF(ISNA(VLOOKUP(F126,Monster!B:E,4,FALSE)),0,VLOOKUP(F126,Monster!B:E,4,FALSE))</f>
        <v>23</v>
      </c>
      <c r="H126" s="1">
        <v>1</v>
      </c>
      <c r="N126" s="1">
        <f t="shared" si="0"/>
        <v>120</v>
      </c>
    </row>
    <row r="127" spans="1:14" x14ac:dyDescent="0.2">
      <c r="A127" s="1">
        <v>121</v>
      </c>
      <c r="B127" s="1" t="s">
        <v>911</v>
      </c>
      <c r="C127" s="1" t="s">
        <v>803</v>
      </c>
      <c r="D127" s="1" t="s">
        <v>36</v>
      </c>
      <c r="E127" s="1" t="s">
        <v>36</v>
      </c>
      <c r="F127" s="1" t="s">
        <v>190</v>
      </c>
      <c r="G127" s="1">
        <f>IF(ISNA(VLOOKUP(F127,Monster!B:E,4,FALSE)),0,VLOOKUP(F127,Monster!B:E,4,FALSE))</f>
        <v>24</v>
      </c>
      <c r="H127" s="1">
        <v>1</v>
      </c>
      <c r="N127" s="1">
        <f t="shared" si="0"/>
        <v>121</v>
      </c>
    </row>
    <row r="128" spans="1:14" x14ac:dyDescent="0.2">
      <c r="A128" s="1">
        <v>122</v>
      </c>
      <c r="B128" s="1" t="s">
        <v>914</v>
      </c>
      <c r="C128" s="1" t="s">
        <v>803</v>
      </c>
      <c r="D128" s="1" t="s">
        <v>92</v>
      </c>
      <c r="E128" s="1" t="s">
        <v>92</v>
      </c>
      <c r="F128" s="1" t="s">
        <v>190</v>
      </c>
      <c r="G128" s="1">
        <f>IF(ISNA(VLOOKUP(F128,Monster!B:E,4,FALSE)),0,VLOOKUP(F128,Monster!B:E,4,FALSE))</f>
        <v>24</v>
      </c>
      <c r="H128" s="1">
        <v>1</v>
      </c>
      <c r="N128" s="1">
        <f t="shared" si="0"/>
        <v>122</v>
      </c>
    </row>
    <row r="129" spans="1:14" x14ac:dyDescent="0.2">
      <c r="A129" s="1">
        <v>123</v>
      </c>
      <c r="B129" s="1" t="s">
        <v>916</v>
      </c>
      <c r="C129" s="1" t="s">
        <v>803</v>
      </c>
      <c r="D129" s="1" t="s">
        <v>117</v>
      </c>
      <c r="E129" s="1" t="s">
        <v>117</v>
      </c>
      <c r="F129" s="1" t="s">
        <v>190</v>
      </c>
      <c r="G129" s="1">
        <f>IF(ISNA(VLOOKUP(F129,Monster!B:E,4,FALSE)),0,VLOOKUP(F129,Monster!B:E,4,FALSE))</f>
        <v>24</v>
      </c>
      <c r="H129" s="1">
        <v>1</v>
      </c>
      <c r="N129" s="1">
        <f t="shared" si="0"/>
        <v>123</v>
      </c>
    </row>
    <row r="130" spans="1:14" x14ac:dyDescent="0.2">
      <c r="A130" s="1">
        <v>124</v>
      </c>
      <c r="B130" s="1" t="s">
        <v>918</v>
      </c>
      <c r="C130" s="1" t="s">
        <v>803</v>
      </c>
      <c r="D130" s="1" t="s">
        <v>142</v>
      </c>
      <c r="E130" s="1" t="s">
        <v>919</v>
      </c>
      <c r="F130" s="1" t="s">
        <v>190</v>
      </c>
      <c r="G130" s="1">
        <f>IF(ISNA(VLOOKUP(F130,Monster!B:E,4,FALSE)),0,VLOOKUP(F130,Monster!B:E,4,FALSE))</f>
        <v>24</v>
      </c>
      <c r="H130" s="1">
        <v>1</v>
      </c>
      <c r="N130" s="1">
        <f t="shared" si="0"/>
        <v>124</v>
      </c>
    </row>
    <row r="131" spans="1:14" x14ac:dyDescent="0.2">
      <c r="A131" s="1">
        <v>125</v>
      </c>
      <c r="B131" s="1" t="s">
        <v>920</v>
      </c>
      <c r="C131" s="1" t="s">
        <v>803</v>
      </c>
      <c r="D131" s="1" t="s">
        <v>185</v>
      </c>
      <c r="E131" s="1" t="s">
        <v>185</v>
      </c>
      <c r="F131" s="1" t="s">
        <v>190</v>
      </c>
      <c r="G131" s="1">
        <f>IF(ISNA(VLOOKUP(F131,Monster!B:E,4,FALSE)),0,VLOOKUP(F131,Monster!B:E,4,FALSE))</f>
        <v>24</v>
      </c>
      <c r="H131" s="1">
        <v>1</v>
      </c>
      <c r="N131" s="1">
        <f t="shared" si="0"/>
        <v>125</v>
      </c>
    </row>
    <row r="132" spans="1:14" x14ac:dyDescent="0.2">
      <c r="A132" s="1">
        <v>126</v>
      </c>
      <c r="B132" s="1" t="s">
        <v>923</v>
      </c>
      <c r="C132" s="1" t="s">
        <v>807</v>
      </c>
      <c r="D132" s="1" t="s">
        <v>36</v>
      </c>
      <c r="E132" s="1" t="s">
        <v>36</v>
      </c>
      <c r="F132" s="1" t="s">
        <v>193</v>
      </c>
      <c r="G132" s="1">
        <f>IF(ISNA(VLOOKUP(F132,Monster!B:E,4,FALSE)),0,VLOOKUP(F132,Monster!B:E,4,FALSE))</f>
        <v>25</v>
      </c>
      <c r="H132" s="1">
        <v>1</v>
      </c>
      <c r="N132" s="1">
        <f t="shared" si="0"/>
        <v>126</v>
      </c>
    </row>
    <row r="133" spans="1:14" x14ac:dyDescent="0.2">
      <c r="A133" s="1">
        <v>127</v>
      </c>
      <c r="B133" s="1" t="s">
        <v>924</v>
      </c>
      <c r="C133" s="1" t="s">
        <v>807</v>
      </c>
      <c r="D133" s="1" t="s">
        <v>92</v>
      </c>
      <c r="E133" s="1" t="s">
        <v>92</v>
      </c>
      <c r="F133" s="1" t="s">
        <v>193</v>
      </c>
      <c r="G133" s="1">
        <f>IF(ISNA(VLOOKUP(F133,Monster!B:E,4,FALSE)),0,VLOOKUP(F133,Monster!B:E,4,FALSE))</f>
        <v>25</v>
      </c>
      <c r="H133" s="1">
        <v>1</v>
      </c>
      <c r="N133" s="1">
        <f t="shared" si="0"/>
        <v>127</v>
      </c>
    </row>
    <row r="134" spans="1:14" x14ac:dyDescent="0.2">
      <c r="A134" s="1">
        <v>128</v>
      </c>
      <c r="B134" s="1" t="s">
        <v>927</v>
      </c>
      <c r="C134" s="1" t="s">
        <v>807</v>
      </c>
      <c r="D134" s="1" t="s">
        <v>117</v>
      </c>
      <c r="E134" s="1" t="s">
        <v>818</v>
      </c>
      <c r="F134" s="1" t="s">
        <v>193</v>
      </c>
      <c r="G134" s="1">
        <f>IF(ISNA(VLOOKUP(F134,Monster!B:E,4,FALSE)),0,VLOOKUP(F134,Monster!B:E,4,FALSE))</f>
        <v>25</v>
      </c>
      <c r="H134" s="1">
        <v>1</v>
      </c>
      <c r="N134" s="1">
        <f t="shared" si="0"/>
        <v>128</v>
      </c>
    </row>
    <row r="135" spans="1:14" x14ac:dyDescent="0.2">
      <c r="A135" s="1">
        <v>129</v>
      </c>
      <c r="B135" s="1" t="s">
        <v>928</v>
      </c>
      <c r="C135" s="1" t="s">
        <v>807</v>
      </c>
      <c r="D135" s="1" t="s">
        <v>142</v>
      </c>
      <c r="E135" s="1" t="s">
        <v>142</v>
      </c>
      <c r="F135" s="1" t="s">
        <v>193</v>
      </c>
      <c r="G135" s="1">
        <f>IF(ISNA(VLOOKUP(F135,Monster!B:E,4,FALSE)),0,VLOOKUP(F135,Monster!B:E,4,FALSE))</f>
        <v>25</v>
      </c>
      <c r="H135" s="1">
        <v>1</v>
      </c>
      <c r="N135" s="1">
        <f t="shared" si="0"/>
        <v>129</v>
      </c>
    </row>
    <row r="136" spans="1:14" x14ac:dyDescent="0.2">
      <c r="A136" s="1">
        <v>130</v>
      </c>
      <c r="B136" s="1" t="s">
        <v>931</v>
      </c>
      <c r="C136" s="1" t="s">
        <v>807</v>
      </c>
      <c r="D136" s="1" t="s">
        <v>185</v>
      </c>
      <c r="E136" s="1" t="s">
        <v>185</v>
      </c>
      <c r="F136" s="1" t="s">
        <v>193</v>
      </c>
      <c r="G136" s="1">
        <f>IF(ISNA(VLOOKUP(F136,Monster!B:E,4,FALSE)),0,VLOOKUP(F136,Monster!B:E,4,FALSE))</f>
        <v>25</v>
      </c>
      <c r="H136" s="1">
        <v>1</v>
      </c>
      <c r="N136" s="1">
        <f t="shared" si="0"/>
        <v>130</v>
      </c>
    </row>
    <row r="137" spans="1:14" x14ac:dyDescent="0.2">
      <c r="A137" s="1">
        <v>131</v>
      </c>
      <c r="B137" s="1" t="s">
        <v>932</v>
      </c>
      <c r="C137" s="1" t="s">
        <v>810</v>
      </c>
      <c r="D137" s="1" t="s">
        <v>36</v>
      </c>
      <c r="E137" s="1" t="s">
        <v>39</v>
      </c>
      <c r="F137" s="1" t="s">
        <v>197</v>
      </c>
      <c r="G137" s="1">
        <f>IF(ISNA(VLOOKUP(F137,Monster!B:E,4,FALSE)),0,VLOOKUP(F137,Monster!B:E,4,FALSE))</f>
        <v>26</v>
      </c>
      <c r="H137" s="1">
        <v>1</v>
      </c>
      <c r="N137" s="1">
        <f t="shared" si="0"/>
        <v>131</v>
      </c>
    </row>
    <row r="138" spans="1:14" x14ac:dyDescent="0.2">
      <c r="A138" s="1">
        <v>132</v>
      </c>
      <c r="B138" s="1" t="s">
        <v>935</v>
      </c>
      <c r="C138" s="1" t="s">
        <v>810</v>
      </c>
      <c r="D138" s="1" t="s">
        <v>92</v>
      </c>
      <c r="E138" s="1" t="s">
        <v>92</v>
      </c>
      <c r="F138" s="1" t="s">
        <v>197</v>
      </c>
      <c r="G138" s="1">
        <f>IF(ISNA(VLOOKUP(F138,Monster!B:E,4,FALSE)),0,VLOOKUP(F138,Monster!B:E,4,FALSE))</f>
        <v>26</v>
      </c>
      <c r="H138" s="1">
        <v>1</v>
      </c>
      <c r="N138" s="1">
        <f t="shared" si="0"/>
        <v>132</v>
      </c>
    </row>
    <row r="139" spans="1:14" x14ac:dyDescent="0.2">
      <c r="A139" s="1">
        <v>133</v>
      </c>
      <c r="B139" s="1" t="s">
        <v>936</v>
      </c>
      <c r="C139" s="1" t="s">
        <v>810</v>
      </c>
      <c r="D139" s="1" t="s">
        <v>117</v>
      </c>
      <c r="E139" s="1" t="s">
        <v>117</v>
      </c>
      <c r="F139" s="1" t="s">
        <v>197</v>
      </c>
      <c r="G139" s="1">
        <f>IF(ISNA(VLOOKUP(F139,Monster!B:E,4,FALSE)),0,VLOOKUP(F139,Monster!B:E,4,FALSE))</f>
        <v>26</v>
      </c>
      <c r="H139" s="1">
        <v>1</v>
      </c>
      <c r="N139" s="1">
        <f t="shared" si="0"/>
        <v>133</v>
      </c>
    </row>
    <row r="140" spans="1:14" x14ac:dyDescent="0.2">
      <c r="A140" s="1">
        <v>134</v>
      </c>
      <c r="B140" s="1" t="s">
        <v>937</v>
      </c>
      <c r="C140" s="1" t="s">
        <v>810</v>
      </c>
      <c r="D140" s="1" t="s">
        <v>142</v>
      </c>
      <c r="E140" s="1" t="s">
        <v>142</v>
      </c>
      <c r="F140" s="1" t="s">
        <v>197</v>
      </c>
      <c r="G140" s="1">
        <f>IF(ISNA(VLOOKUP(F140,Monster!B:E,4,FALSE)),0,VLOOKUP(F140,Monster!B:E,4,FALSE))</f>
        <v>26</v>
      </c>
      <c r="H140" s="1">
        <v>1</v>
      </c>
      <c r="N140" s="1">
        <f t="shared" si="0"/>
        <v>134</v>
      </c>
    </row>
    <row r="141" spans="1:14" x14ac:dyDescent="0.2">
      <c r="A141" s="1">
        <v>135</v>
      </c>
      <c r="B141" s="1" t="s">
        <v>940</v>
      </c>
      <c r="C141" s="1" t="s">
        <v>810</v>
      </c>
      <c r="D141" s="1" t="s">
        <v>185</v>
      </c>
      <c r="E141" s="1" t="s">
        <v>185</v>
      </c>
      <c r="F141" s="1" t="s">
        <v>197</v>
      </c>
      <c r="G141" s="1">
        <f>IF(ISNA(VLOOKUP(F141,Monster!B:E,4,FALSE)),0,VLOOKUP(F141,Monster!B:E,4,FALSE))</f>
        <v>26</v>
      </c>
      <c r="H141" s="1">
        <v>2</v>
      </c>
      <c r="N141" s="1">
        <f t="shared" si="0"/>
        <v>135</v>
      </c>
    </row>
    <row r="142" spans="1:14" x14ac:dyDescent="0.2">
      <c r="A142" s="1">
        <v>136</v>
      </c>
      <c r="B142" s="1" t="s">
        <v>941</v>
      </c>
      <c r="C142" s="1" t="s">
        <v>813</v>
      </c>
      <c r="D142" s="1" t="s">
        <v>36</v>
      </c>
      <c r="E142" s="1" t="s">
        <v>36</v>
      </c>
      <c r="F142" s="1" t="s">
        <v>205</v>
      </c>
      <c r="G142" s="1">
        <f>IF(ISNA(VLOOKUP(F142,Monster!B:E,4,FALSE)),0,VLOOKUP(F142,Monster!B:E,4,FALSE))</f>
        <v>27</v>
      </c>
      <c r="H142" s="1">
        <v>1</v>
      </c>
      <c r="N142" s="1">
        <f t="shared" si="0"/>
        <v>136</v>
      </c>
    </row>
    <row r="143" spans="1:14" x14ac:dyDescent="0.2">
      <c r="A143" s="1">
        <v>137</v>
      </c>
      <c r="B143" s="1" t="s">
        <v>944</v>
      </c>
      <c r="C143" s="1" t="s">
        <v>813</v>
      </c>
      <c r="D143" s="1" t="s">
        <v>92</v>
      </c>
      <c r="E143" s="1" t="s">
        <v>92</v>
      </c>
      <c r="F143" s="1" t="s">
        <v>205</v>
      </c>
      <c r="G143" s="1">
        <f>IF(ISNA(VLOOKUP(F143,Monster!B:E,4,FALSE)),0,VLOOKUP(F143,Monster!B:E,4,FALSE))</f>
        <v>27</v>
      </c>
      <c r="H143" s="1">
        <v>1</v>
      </c>
      <c r="N143" s="1">
        <f t="shared" si="0"/>
        <v>137</v>
      </c>
    </row>
    <row r="144" spans="1:14" x14ac:dyDescent="0.2">
      <c r="A144" s="1">
        <v>138</v>
      </c>
      <c r="B144" s="1" t="s">
        <v>945</v>
      </c>
      <c r="C144" s="1" t="s">
        <v>813</v>
      </c>
      <c r="D144" s="1" t="s">
        <v>117</v>
      </c>
      <c r="E144" s="1" t="s">
        <v>117</v>
      </c>
      <c r="F144" s="1" t="s">
        <v>205</v>
      </c>
      <c r="G144" s="1">
        <f>IF(ISNA(VLOOKUP(F144,Monster!B:E,4,FALSE)),0,VLOOKUP(F144,Monster!B:E,4,FALSE))</f>
        <v>27</v>
      </c>
      <c r="H144" s="1">
        <v>1</v>
      </c>
      <c r="N144" s="1">
        <f t="shared" si="0"/>
        <v>138</v>
      </c>
    </row>
    <row r="145" spans="1:14" x14ac:dyDescent="0.2">
      <c r="A145" s="1">
        <v>139</v>
      </c>
      <c r="B145" s="1" t="s">
        <v>946</v>
      </c>
      <c r="C145" s="1" t="s">
        <v>813</v>
      </c>
      <c r="D145" s="1" t="s">
        <v>142</v>
      </c>
      <c r="E145" s="1" t="s">
        <v>142</v>
      </c>
      <c r="F145" s="1" t="s">
        <v>205</v>
      </c>
      <c r="G145" s="1">
        <f>IF(ISNA(VLOOKUP(F145,Monster!B:E,4,FALSE)),0,VLOOKUP(F145,Monster!B:E,4,FALSE))</f>
        <v>27</v>
      </c>
      <c r="H145" s="1">
        <v>1</v>
      </c>
      <c r="N145" s="1">
        <f t="shared" si="0"/>
        <v>139</v>
      </c>
    </row>
    <row r="146" spans="1:14" x14ac:dyDescent="0.2">
      <c r="A146" s="1">
        <v>140</v>
      </c>
      <c r="B146" s="1" t="s">
        <v>948</v>
      </c>
      <c r="C146" s="1" t="s">
        <v>813</v>
      </c>
      <c r="D146" s="1" t="s">
        <v>185</v>
      </c>
      <c r="E146" s="1" t="s">
        <v>185</v>
      </c>
      <c r="F146" s="1" t="s">
        <v>205</v>
      </c>
      <c r="G146" s="1">
        <f>IF(ISNA(VLOOKUP(F146,Monster!B:E,4,FALSE)),0,VLOOKUP(F146,Monster!B:E,4,FALSE))</f>
        <v>27</v>
      </c>
      <c r="H146" s="1">
        <v>1</v>
      </c>
      <c r="N146" s="1">
        <f t="shared" si="0"/>
        <v>140</v>
      </c>
    </row>
    <row r="147" spans="1:14" x14ac:dyDescent="0.2">
      <c r="A147" s="1">
        <v>141</v>
      </c>
      <c r="B147" s="1" t="s">
        <v>951</v>
      </c>
      <c r="C147" s="1" t="s">
        <v>816</v>
      </c>
      <c r="D147" s="1" t="s">
        <v>36</v>
      </c>
      <c r="E147" s="1" t="s">
        <v>36</v>
      </c>
      <c r="F147" s="1" t="s">
        <v>210</v>
      </c>
      <c r="G147" s="1">
        <f>IF(ISNA(VLOOKUP(F147,Monster!B:E,4,FALSE)),0,VLOOKUP(F147,Monster!B:E,4,FALSE))</f>
        <v>28</v>
      </c>
      <c r="H147" s="1">
        <v>1</v>
      </c>
      <c r="N147" s="1">
        <f t="shared" si="0"/>
        <v>141</v>
      </c>
    </row>
    <row r="148" spans="1:14" x14ac:dyDescent="0.2">
      <c r="A148" s="1">
        <v>142</v>
      </c>
      <c r="B148" s="1" t="s">
        <v>952</v>
      </c>
      <c r="C148" s="1" t="s">
        <v>816</v>
      </c>
      <c r="D148" s="1" t="s">
        <v>92</v>
      </c>
      <c r="E148" s="1" t="s">
        <v>92</v>
      </c>
      <c r="F148" s="1" t="s">
        <v>210</v>
      </c>
      <c r="G148" s="1">
        <f>IF(ISNA(VLOOKUP(F148,Monster!B:E,4,FALSE)),0,VLOOKUP(F148,Monster!B:E,4,FALSE))</f>
        <v>28</v>
      </c>
      <c r="H148" s="1">
        <v>1</v>
      </c>
      <c r="N148" s="1">
        <f t="shared" si="0"/>
        <v>142</v>
      </c>
    </row>
    <row r="149" spans="1:14" x14ac:dyDescent="0.2">
      <c r="A149" s="1">
        <v>143</v>
      </c>
      <c r="B149" s="1" t="s">
        <v>955</v>
      </c>
      <c r="C149" s="1" t="s">
        <v>816</v>
      </c>
      <c r="D149" s="1" t="s">
        <v>117</v>
      </c>
      <c r="E149" s="1" t="s">
        <v>818</v>
      </c>
      <c r="F149" s="1" t="s">
        <v>210</v>
      </c>
      <c r="G149" s="1">
        <f>IF(ISNA(VLOOKUP(F149,Monster!B:E,4,FALSE)),0,VLOOKUP(F149,Monster!B:E,4,FALSE))</f>
        <v>28</v>
      </c>
      <c r="H149" s="1">
        <v>1</v>
      </c>
      <c r="N149" s="1">
        <f t="shared" si="0"/>
        <v>143</v>
      </c>
    </row>
    <row r="150" spans="1:14" x14ac:dyDescent="0.2">
      <c r="A150" s="1">
        <v>144</v>
      </c>
      <c r="B150" s="1" t="s">
        <v>956</v>
      </c>
      <c r="C150" s="1" t="s">
        <v>816</v>
      </c>
      <c r="D150" s="1" t="s">
        <v>142</v>
      </c>
      <c r="E150" s="1" t="s">
        <v>142</v>
      </c>
      <c r="F150" s="1" t="s">
        <v>210</v>
      </c>
      <c r="G150" s="1">
        <f>IF(ISNA(VLOOKUP(F150,Monster!B:E,4,FALSE)),0,VLOOKUP(F150,Monster!B:E,4,FALSE))</f>
        <v>28</v>
      </c>
      <c r="H150" s="1">
        <v>1</v>
      </c>
      <c r="N150" s="1">
        <f t="shared" si="0"/>
        <v>144</v>
      </c>
    </row>
    <row r="151" spans="1:14" x14ac:dyDescent="0.2">
      <c r="A151" s="1">
        <v>145</v>
      </c>
      <c r="B151" s="1" t="s">
        <v>960</v>
      </c>
      <c r="C151" s="1" t="s">
        <v>816</v>
      </c>
      <c r="D151" s="1" t="s">
        <v>185</v>
      </c>
      <c r="E151" s="1" t="s">
        <v>185</v>
      </c>
      <c r="F151" s="1" t="s">
        <v>210</v>
      </c>
      <c r="G151" s="1">
        <f>IF(ISNA(VLOOKUP(F151,Monster!B:E,4,FALSE)),0,VLOOKUP(F151,Monster!B:E,4,FALSE))</f>
        <v>28</v>
      </c>
      <c r="H151" s="1">
        <v>1</v>
      </c>
      <c r="N151" s="1">
        <f t="shared" si="0"/>
        <v>145</v>
      </c>
    </row>
    <row r="152" spans="1:14" x14ac:dyDescent="0.2">
      <c r="A152" s="1">
        <v>146</v>
      </c>
      <c r="B152" s="1" t="s">
        <v>962</v>
      </c>
      <c r="C152" s="1" t="s">
        <v>821</v>
      </c>
      <c r="D152" s="1" t="s">
        <v>36</v>
      </c>
      <c r="E152" s="1" t="s">
        <v>36</v>
      </c>
      <c r="F152" s="1" t="s">
        <v>216</v>
      </c>
      <c r="G152" s="1">
        <f>IF(ISNA(VLOOKUP(F152,Monster!B:E,4,FALSE)),0,VLOOKUP(F152,Monster!B:E,4,FALSE))</f>
        <v>29</v>
      </c>
      <c r="H152" s="1">
        <v>1</v>
      </c>
      <c r="N152" s="1">
        <f t="shared" si="0"/>
        <v>146</v>
      </c>
    </row>
    <row r="153" spans="1:14" x14ac:dyDescent="0.2">
      <c r="A153" s="1">
        <v>147</v>
      </c>
      <c r="B153" s="1" t="s">
        <v>965</v>
      </c>
      <c r="C153" s="1" t="s">
        <v>821</v>
      </c>
      <c r="D153" s="1" t="s">
        <v>92</v>
      </c>
      <c r="E153" s="1" t="s">
        <v>92</v>
      </c>
      <c r="F153" s="1" t="s">
        <v>216</v>
      </c>
      <c r="G153" s="1">
        <f>IF(ISNA(VLOOKUP(F153,Monster!B:E,4,FALSE)),0,VLOOKUP(F153,Monster!B:E,4,FALSE))</f>
        <v>29</v>
      </c>
      <c r="H153" s="1">
        <v>1</v>
      </c>
      <c r="N153" s="1">
        <f t="shared" si="0"/>
        <v>147</v>
      </c>
    </row>
    <row r="154" spans="1:14" x14ac:dyDescent="0.2">
      <c r="A154" s="1">
        <v>148</v>
      </c>
      <c r="B154" s="1" t="s">
        <v>966</v>
      </c>
      <c r="C154" s="1" t="s">
        <v>821</v>
      </c>
      <c r="D154" s="1" t="s">
        <v>117</v>
      </c>
      <c r="E154" s="1" t="s">
        <v>117</v>
      </c>
      <c r="F154" s="1" t="s">
        <v>216</v>
      </c>
      <c r="G154" s="1">
        <f>IF(ISNA(VLOOKUP(F154,Monster!B:E,4,FALSE)),0,VLOOKUP(F154,Monster!B:E,4,FALSE))</f>
        <v>29</v>
      </c>
      <c r="H154" s="1">
        <v>1</v>
      </c>
      <c r="N154" s="1">
        <f t="shared" si="0"/>
        <v>148</v>
      </c>
    </row>
    <row r="155" spans="1:14" x14ac:dyDescent="0.2">
      <c r="A155" s="1">
        <v>149</v>
      </c>
      <c r="B155" s="1" t="s">
        <v>967</v>
      </c>
      <c r="C155" s="1" t="s">
        <v>821</v>
      </c>
      <c r="D155" s="1" t="s">
        <v>142</v>
      </c>
      <c r="E155" s="1" t="s">
        <v>142</v>
      </c>
      <c r="F155" s="1" t="s">
        <v>216</v>
      </c>
      <c r="G155" s="1">
        <f>IF(ISNA(VLOOKUP(F155,Monster!B:E,4,FALSE)),0,VLOOKUP(F155,Monster!B:E,4,FALSE))</f>
        <v>29</v>
      </c>
      <c r="H155" s="1">
        <v>1</v>
      </c>
      <c r="N155" s="1">
        <f t="shared" si="0"/>
        <v>149</v>
      </c>
    </row>
    <row r="156" spans="1:14" x14ac:dyDescent="0.2">
      <c r="A156" s="1">
        <v>150</v>
      </c>
      <c r="B156" s="1" t="s">
        <v>969</v>
      </c>
      <c r="C156" s="1" t="s">
        <v>821</v>
      </c>
      <c r="D156" s="1" t="s">
        <v>185</v>
      </c>
      <c r="E156" s="1" t="s">
        <v>185</v>
      </c>
      <c r="F156" s="1" t="s">
        <v>216</v>
      </c>
      <c r="G156" s="1">
        <f>IF(ISNA(VLOOKUP(F156,Monster!B:E,4,FALSE)),0,VLOOKUP(F156,Monster!B:E,4,FALSE))</f>
        <v>29</v>
      </c>
      <c r="H156" s="1">
        <v>1</v>
      </c>
      <c r="N156" s="1">
        <f t="shared" si="0"/>
        <v>150</v>
      </c>
    </row>
    <row r="157" spans="1:14" x14ac:dyDescent="0.2">
      <c r="A157" s="1">
        <v>151</v>
      </c>
      <c r="B157" s="1" t="s">
        <v>971</v>
      </c>
      <c r="C157" s="1" t="s">
        <v>825</v>
      </c>
      <c r="D157" s="1" t="s">
        <v>36</v>
      </c>
      <c r="E157" s="1" t="s">
        <v>36</v>
      </c>
      <c r="F157" s="1" t="s">
        <v>223</v>
      </c>
      <c r="G157" s="1">
        <f>IF(ISNA(VLOOKUP(F157,Monster!B:E,4,FALSE)),0,VLOOKUP(F157,Monster!B:E,4,FALSE))</f>
        <v>30</v>
      </c>
      <c r="H157" s="1">
        <v>2</v>
      </c>
      <c r="N157" s="1">
        <f t="shared" si="0"/>
        <v>151</v>
      </c>
    </row>
    <row r="158" spans="1:14" x14ac:dyDescent="0.2">
      <c r="A158" s="1">
        <v>152</v>
      </c>
      <c r="B158" s="1" t="s">
        <v>972</v>
      </c>
      <c r="C158" s="1" t="s">
        <v>825</v>
      </c>
      <c r="D158" s="1" t="s">
        <v>92</v>
      </c>
      <c r="E158" s="1" t="s">
        <v>92</v>
      </c>
      <c r="F158" s="1" t="s">
        <v>223</v>
      </c>
      <c r="G158" s="1">
        <f>IF(ISNA(VLOOKUP(F158,Monster!B:E,4,FALSE)),0,VLOOKUP(F158,Monster!B:E,4,FALSE))</f>
        <v>30</v>
      </c>
      <c r="H158" s="1">
        <v>1</v>
      </c>
      <c r="N158" s="1">
        <f t="shared" si="0"/>
        <v>152</v>
      </c>
    </row>
    <row r="159" spans="1:14" x14ac:dyDescent="0.2">
      <c r="A159" s="1">
        <v>153</v>
      </c>
      <c r="B159" s="1" t="s">
        <v>973</v>
      </c>
      <c r="C159" s="1" t="s">
        <v>825</v>
      </c>
      <c r="D159" s="1" t="s">
        <v>117</v>
      </c>
      <c r="E159" s="1" t="s">
        <v>117</v>
      </c>
      <c r="F159" s="1" t="s">
        <v>223</v>
      </c>
      <c r="G159" s="1">
        <f>IF(ISNA(VLOOKUP(F159,Monster!B:E,4,FALSE)),0,VLOOKUP(F159,Monster!B:E,4,FALSE))</f>
        <v>30</v>
      </c>
      <c r="H159" s="1">
        <v>1</v>
      </c>
      <c r="N159" s="1">
        <f t="shared" si="0"/>
        <v>153</v>
      </c>
    </row>
    <row r="160" spans="1:14" x14ac:dyDescent="0.2">
      <c r="A160" s="1">
        <v>154</v>
      </c>
      <c r="B160" s="1" t="s">
        <v>974</v>
      </c>
      <c r="C160" s="1" t="s">
        <v>825</v>
      </c>
      <c r="D160" s="1" t="s">
        <v>142</v>
      </c>
      <c r="E160" s="1" t="s">
        <v>142</v>
      </c>
      <c r="F160" s="1" t="s">
        <v>223</v>
      </c>
      <c r="G160" s="1">
        <f>IF(ISNA(VLOOKUP(F160,Monster!B:E,4,FALSE)),0,VLOOKUP(F160,Monster!B:E,4,FALSE))</f>
        <v>30</v>
      </c>
      <c r="H160" s="1">
        <v>1</v>
      </c>
      <c r="N160" s="1">
        <f t="shared" si="0"/>
        <v>154</v>
      </c>
    </row>
    <row r="161" spans="1:14" x14ac:dyDescent="0.2">
      <c r="A161" s="1">
        <v>155</v>
      </c>
      <c r="B161" s="1" t="s">
        <v>975</v>
      </c>
      <c r="C161" s="1" t="s">
        <v>825</v>
      </c>
      <c r="D161" s="1" t="s">
        <v>185</v>
      </c>
      <c r="E161" s="1" t="s">
        <v>185</v>
      </c>
      <c r="F161" s="1" t="s">
        <v>223</v>
      </c>
      <c r="G161" s="1">
        <f>IF(ISNA(VLOOKUP(F161,Monster!B:E,4,FALSE)),0,VLOOKUP(F161,Monster!B:E,4,FALSE))</f>
        <v>30</v>
      </c>
      <c r="H161" s="1">
        <v>1</v>
      </c>
      <c r="N161" s="1">
        <f t="shared" si="0"/>
        <v>155</v>
      </c>
    </row>
    <row r="162" spans="1:14" x14ac:dyDescent="0.2">
      <c r="A162" s="1">
        <v>156</v>
      </c>
      <c r="B162" s="1" t="s">
        <v>976</v>
      </c>
      <c r="C162" s="1" t="s">
        <v>829</v>
      </c>
      <c r="D162" s="1" t="s">
        <v>36</v>
      </c>
      <c r="E162" s="1" t="s">
        <v>36</v>
      </c>
      <c r="F162" s="1" t="s">
        <v>229</v>
      </c>
      <c r="G162" s="1">
        <f>IF(ISNA(VLOOKUP(F162,Monster!B:E,4,FALSE)),0,VLOOKUP(F162,Monster!B:E,4,FALSE))</f>
        <v>31</v>
      </c>
      <c r="H162" s="1">
        <v>1</v>
      </c>
      <c r="N162" s="1">
        <f t="shared" si="0"/>
        <v>156</v>
      </c>
    </row>
    <row r="163" spans="1:14" x14ac:dyDescent="0.2">
      <c r="A163" s="1">
        <v>157</v>
      </c>
      <c r="B163" s="1" t="s">
        <v>977</v>
      </c>
      <c r="C163" s="1" t="s">
        <v>829</v>
      </c>
      <c r="D163" s="1" t="s">
        <v>92</v>
      </c>
      <c r="E163" s="1" t="s">
        <v>92</v>
      </c>
      <c r="F163" s="1" t="s">
        <v>229</v>
      </c>
      <c r="G163" s="1">
        <f>IF(ISNA(VLOOKUP(F163,Monster!B:E,4,FALSE)),0,VLOOKUP(F163,Monster!B:E,4,FALSE))</f>
        <v>31</v>
      </c>
      <c r="H163" s="1">
        <v>1</v>
      </c>
      <c r="N163" s="1">
        <f t="shared" si="0"/>
        <v>157</v>
      </c>
    </row>
    <row r="164" spans="1:14" x14ac:dyDescent="0.2">
      <c r="A164" s="1">
        <v>158</v>
      </c>
      <c r="B164" s="1" t="s">
        <v>978</v>
      </c>
      <c r="C164" s="1" t="s">
        <v>829</v>
      </c>
      <c r="D164" s="1" t="s">
        <v>117</v>
      </c>
      <c r="E164" s="1" t="s">
        <v>117</v>
      </c>
      <c r="F164" s="1" t="s">
        <v>229</v>
      </c>
      <c r="G164" s="1">
        <f>IF(ISNA(VLOOKUP(F164,Monster!B:E,4,FALSE)),0,VLOOKUP(F164,Monster!B:E,4,FALSE))</f>
        <v>31</v>
      </c>
      <c r="H164" s="1">
        <v>1</v>
      </c>
      <c r="N164" s="1">
        <f t="shared" si="0"/>
        <v>158</v>
      </c>
    </row>
    <row r="165" spans="1:14" x14ac:dyDescent="0.2">
      <c r="A165" s="1">
        <v>159</v>
      </c>
      <c r="B165" s="1" t="s">
        <v>979</v>
      </c>
      <c r="C165" s="1" t="s">
        <v>829</v>
      </c>
      <c r="D165" s="1" t="s">
        <v>142</v>
      </c>
      <c r="E165" s="1" t="s">
        <v>142</v>
      </c>
      <c r="F165" s="1" t="s">
        <v>229</v>
      </c>
      <c r="G165" s="1">
        <f>IF(ISNA(VLOOKUP(F165,Monster!B:E,4,FALSE)),0,VLOOKUP(F165,Monster!B:E,4,FALSE))</f>
        <v>31</v>
      </c>
      <c r="H165" s="1">
        <v>2</v>
      </c>
      <c r="N165" s="1">
        <f t="shared" si="0"/>
        <v>159</v>
      </c>
    </row>
    <row r="166" spans="1:14" x14ac:dyDescent="0.2">
      <c r="A166" s="1">
        <v>160</v>
      </c>
      <c r="B166" s="1" t="s">
        <v>980</v>
      </c>
      <c r="C166" s="1" t="s">
        <v>829</v>
      </c>
      <c r="D166" s="1" t="s">
        <v>185</v>
      </c>
      <c r="E166" s="1" t="s">
        <v>185</v>
      </c>
      <c r="F166" s="1" t="s">
        <v>229</v>
      </c>
      <c r="G166" s="1">
        <f>IF(ISNA(VLOOKUP(F166,Monster!B:E,4,FALSE)),0,VLOOKUP(F166,Monster!B:E,4,FALSE))</f>
        <v>31</v>
      </c>
      <c r="H166" s="1">
        <v>1</v>
      </c>
      <c r="N166" s="1">
        <f t="shared" si="0"/>
        <v>160</v>
      </c>
    </row>
    <row r="167" spans="1:14" x14ac:dyDescent="0.2">
      <c r="A167" s="1">
        <v>161</v>
      </c>
      <c r="B167" s="1" t="s">
        <v>983</v>
      </c>
      <c r="C167" s="1" t="s">
        <v>834</v>
      </c>
      <c r="D167" s="1" t="s">
        <v>36</v>
      </c>
      <c r="E167" s="1" t="s">
        <v>984</v>
      </c>
      <c r="F167" s="1" t="s">
        <v>234</v>
      </c>
      <c r="G167" s="1">
        <f>IF(ISNA(VLOOKUP(F167,Monster!B:E,4,FALSE)),0,VLOOKUP(F167,Monster!B:E,4,FALSE))</f>
        <v>32</v>
      </c>
      <c r="H167" s="1">
        <v>1</v>
      </c>
      <c r="N167" s="1">
        <f t="shared" si="0"/>
        <v>161</v>
      </c>
    </row>
    <row r="168" spans="1:14" x14ac:dyDescent="0.2">
      <c r="A168" s="1">
        <v>162</v>
      </c>
      <c r="B168" s="1" t="s">
        <v>985</v>
      </c>
      <c r="C168" s="1" t="s">
        <v>834</v>
      </c>
      <c r="D168" s="1" t="s">
        <v>92</v>
      </c>
      <c r="E168" s="1" t="s">
        <v>986</v>
      </c>
      <c r="F168" s="1" t="s">
        <v>234</v>
      </c>
      <c r="G168" s="1">
        <f>IF(ISNA(VLOOKUP(F168,Monster!B:E,4,FALSE)),0,VLOOKUP(F168,Monster!B:E,4,FALSE))</f>
        <v>32</v>
      </c>
      <c r="H168" s="1">
        <v>1</v>
      </c>
      <c r="N168" s="1">
        <f t="shared" si="0"/>
        <v>162</v>
      </c>
    </row>
    <row r="169" spans="1:14" x14ac:dyDescent="0.2">
      <c r="A169" s="1">
        <v>163</v>
      </c>
      <c r="B169" s="1" t="s">
        <v>987</v>
      </c>
      <c r="C169" s="1" t="s">
        <v>834</v>
      </c>
      <c r="D169" s="1" t="s">
        <v>117</v>
      </c>
      <c r="E169" s="1" t="s">
        <v>988</v>
      </c>
      <c r="F169" s="1" t="s">
        <v>234</v>
      </c>
      <c r="G169" s="1">
        <f>IF(ISNA(VLOOKUP(F169,Monster!B:E,4,FALSE)),0,VLOOKUP(F169,Monster!B:E,4,FALSE))</f>
        <v>32</v>
      </c>
      <c r="H169" s="1">
        <v>1</v>
      </c>
      <c r="N169" s="1">
        <f t="shared" si="0"/>
        <v>163</v>
      </c>
    </row>
    <row r="170" spans="1:14" x14ac:dyDescent="0.2">
      <c r="A170" s="1">
        <v>164</v>
      </c>
      <c r="B170" s="1" t="s">
        <v>989</v>
      </c>
      <c r="C170" s="1" t="s">
        <v>834</v>
      </c>
      <c r="D170" s="1" t="s">
        <v>142</v>
      </c>
      <c r="E170" s="1" t="s">
        <v>990</v>
      </c>
      <c r="F170" s="1" t="s">
        <v>234</v>
      </c>
      <c r="G170" s="1">
        <f>IF(ISNA(VLOOKUP(F170,Monster!B:E,4,FALSE)),0,VLOOKUP(F170,Monster!B:E,4,FALSE))</f>
        <v>32</v>
      </c>
      <c r="H170" s="1">
        <v>1</v>
      </c>
      <c r="N170" s="1">
        <f t="shared" si="0"/>
        <v>164</v>
      </c>
    </row>
    <row r="171" spans="1:14" x14ac:dyDescent="0.2">
      <c r="A171" s="1">
        <v>165</v>
      </c>
      <c r="B171" s="1" t="s">
        <v>991</v>
      </c>
      <c r="C171" s="1" t="s">
        <v>834</v>
      </c>
      <c r="D171" s="1" t="s">
        <v>185</v>
      </c>
      <c r="E171" s="1" t="s">
        <v>992</v>
      </c>
      <c r="F171" s="1" t="s">
        <v>234</v>
      </c>
      <c r="G171" s="1">
        <f>IF(ISNA(VLOOKUP(F171,Monster!B:E,4,FALSE)),0,VLOOKUP(F171,Monster!B:E,4,FALSE))</f>
        <v>32</v>
      </c>
      <c r="H171" s="1">
        <v>1</v>
      </c>
      <c r="N171" s="1">
        <f t="shared" si="0"/>
        <v>165</v>
      </c>
    </row>
    <row r="172" spans="1:14" x14ac:dyDescent="0.2">
      <c r="A172" s="1">
        <v>166</v>
      </c>
      <c r="B172" s="1" t="s">
        <v>994</v>
      </c>
      <c r="C172" s="1" t="s">
        <v>839</v>
      </c>
      <c r="D172" s="1" t="s">
        <v>36</v>
      </c>
      <c r="E172" s="1" t="s">
        <v>36</v>
      </c>
      <c r="F172" s="1" t="s">
        <v>239</v>
      </c>
      <c r="G172" s="1">
        <f>IF(ISNA(VLOOKUP(F172,Monster!B:E,4,FALSE)),0,VLOOKUP(F172,Monster!B:E,4,FALSE))</f>
        <v>33</v>
      </c>
      <c r="H172" s="1">
        <v>1</v>
      </c>
      <c r="N172" s="1">
        <f t="shared" si="0"/>
        <v>166</v>
      </c>
    </row>
    <row r="173" spans="1:14" x14ac:dyDescent="0.2">
      <c r="A173" s="1">
        <v>167</v>
      </c>
      <c r="B173" s="1" t="s">
        <v>996</v>
      </c>
      <c r="C173" s="1" t="s">
        <v>839</v>
      </c>
      <c r="D173" s="1" t="s">
        <v>92</v>
      </c>
      <c r="E173" s="1" t="s">
        <v>92</v>
      </c>
      <c r="F173" s="1" t="s">
        <v>239</v>
      </c>
      <c r="G173" s="1">
        <f>IF(ISNA(VLOOKUP(F173,Monster!B:E,4,FALSE)),0,VLOOKUP(F173,Monster!B:E,4,FALSE))</f>
        <v>33</v>
      </c>
      <c r="H173" s="1">
        <v>2</v>
      </c>
      <c r="N173" s="1">
        <f t="shared" si="0"/>
        <v>167</v>
      </c>
    </row>
    <row r="174" spans="1:14" x14ac:dyDescent="0.2">
      <c r="A174" s="1">
        <v>168</v>
      </c>
      <c r="B174" s="1" t="s">
        <v>998</v>
      </c>
      <c r="C174" s="1" t="s">
        <v>839</v>
      </c>
      <c r="D174" s="1" t="s">
        <v>117</v>
      </c>
      <c r="E174" s="1" t="s">
        <v>818</v>
      </c>
      <c r="F174" s="1" t="s">
        <v>239</v>
      </c>
      <c r="G174" s="1">
        <f>IF(ISNA(VLOOKUP(F174,Monster!B:E,4,FALSE)),0,VLOOKUP(F174,Monster!B:E,4,FALSE))</f>
        <v>33</v>
      </c>
      <c r="H174" s="1">
        <v>1</v>
      </c>
      <c r="N174" s="1">
        <f t="shared" si="0"/>
        <v>168</v>
      </c>
    </row>
    <row r="175" spans="1:14" x14ac:dyDescent="0.2">
      <c r="A175" s="1">
        <v>169</v>
      </c>
      <c r="B175" s="1" t="s">
        <v>1000</v>
      </c>
      <c r="C175" s="1" t="s">
        <v>839</v>
      </c>
      <c r="D175" s="1" t="s">
        <v>142</v>
      </c>
      <c r="E175" s="1" t="s">
        <v>142</v>
      </c>
      <c r="F175" s="1" t="s">
        <v>239</v>
      </c>
      <c r="G175" s="1">
        <f>IF(ISNA(VLOOKUP(F175,Monster!B:E,4,FALSE)),0,VLOOKUP(F175,Monster!B:E,4,FALSE))</f>
        <v>33</v>
      </c>
      <c r="H175" s="1">
        <v>1</v>
      </c>
      <c r="N175" s="1">
        <f t="shared" si="0"/>
        <v>169</v>
      </c>
    </row>
    <row r="176" spans="1:14" x14ac:dyDescent="0.2">
      <c r="A176" s="1">
        <v>170</v>
      </c>
      <c r="B176" s="1" t="s">
        <v>1002</v>
      </c>
      <c r="C176" s="1" t="s">
        <v>839</v>
      </c>
      <c r="D176" s="1" t="s">
        <v>185</v>
      </c>
      <c r="E176" s="1" t="s">
        <v>185</v>
      </c>
      <c r="F176" s="1" t="s">
        <v>239</v>
      </c>
      <c r="G176" s="1">
        <f>IF(ISNA(VLOOKUP(F176,Monster!B:E,4,FALSE)),0,VLOOKUP(F176,Monster!B:E,4,FALSE))</f>
        <v>33</v>
      </c>
      <c r="H176" s="1">
        <v>1</v>
      </c>
      <c r="N176" s="1">
        <f t="shared" si="0"/>
        <v>170</v>
      </c>
    </row>
    <row r="177" spans="1:14" x14ac:dyDescent="0.2">
      <c r="A177" s="1">
        <v>171</v>
      </c>
      <c r="B177" s="1" t="s">
        <v>1003</v>
      </c>
      <c r="C177" s="1" t="s">
        <v>845</v>
      </c>
      <c r="D177" s="1" t="s">
        <v>36</v>
      </c>
      <c r="E177" s="1" t="s">
        <v>1004</v>
      </c>
      <c r="F177" s="1" t="s">
        <v>246</v>
      </c>
      <c r="G177" s="1">
        <f>IF(ISNA(VLOOKUP(F177,Monster!B:E,4,FALSE)),0,VLOOKUP(F177,Monster!B:E,4,FALSE))</f>
        <v>0</v>
      </c>
      <c r="H177" s="1">
        <v>1</v>
      </c>
      <c r="N177" s="1">
        <f t="shared" si="0"/>
        <v>171</v>
      </c>
    </row>
    <row r="178" spans="1:14" x14ac:dyDescent="0.2">
      <c r="A178" s="1">
        <v>172</v>
      </c>
      <c r="B178" s="1" t="s">
        <v>1005</v>
      </c>
      <c r="C178" s="1" t="s">
        <v>845</v>
      </c>
      <c r="D178" s="1" t="s">
        <v>92</v>
      </c>
      <c r="E178" s="1" t="s">
        <v>92</v>
      </c>
      <c r="F178" s="1" t="s">
        <v>246</v>
      </c>
      <c r="G178" s="1">
        <f>IF(ISNA(VLOOKUP(F178,Monster!B:E,4,FALSE)),0,VLOOKUP(F178,Monster!B:E,4,FALSE))</f>
        <v>0</v>
      </c>
      <c r="H178" s="1">
        <v>1</v>
      </c>
      <c r="N178" s="1">
        <f t="shared" si="0"/>
        <v>172</v>
      </c>
    </row>
    <row r="179" spans="1:14" x14ac:dyDescent="0.2">
      <c r="A179" s="1">
        <v>173</v>
      </c>
      <c r="B179" s="1" t="s">
        <v>1006</v>
      </c>
      <c r="C179" s="1" t="s">
        <v>845</v>
      </c>
      <c r="D179" s="1" t="s">
        <v>117</v>
      </c>
      <c r="E179" s="1" t="s">
        <v>117</v>
      </c>
      <c r="F179" s="1" t="s">
        <v>246</v>
      </c>
      <c r="G179" s="1">
        <f>IF(ISNA(VLOOKUP(F179,Monster!B:E,4,FALSE)),0,VLOOKUP(F179,Monster!B:E,4,FALSE))</f>
        <v>0</v>
      </c>
      <c r="H179" s="1">
        <v>1</v>
      </c>
      <c r="N179" s="1">
        <f t="shared" si="0"/>
        <v>173</v>
      </c>
    </row>
    <row r="180" spans="1:14" x14ac:dyDescent="0.2">
      <c r="A180" s="1">
        <v>174</v>
      </c>
      <c r="B180" s="1" t="s">
        <v>1007</v>
      </c>
      <c r="C180" s="1" t="s">
        <v>845</v>
      </c>
      <c r="D180" s="1" t="s">
        <v>142</v>
      </c>
      <c r="E180" s="1" t="s">
        <v>142</v>
      </c>
      <c r="F180" s="1" t="s">
        <v>246</v>
      </c>
      <c r="G180" s="1">
        <f>IF(ISNA(VLOOKUP(F180,Monster!B:E,4,FALSE)),0,VLOOKUP(F180,Monster!B:E,4,FALSE))</f>
        <v>0</v>
      </c>
      <c r="H180" s="1">
        <v>1</v>
      </c>
      <c r="N180" s="1">
        <f t="shared" si="0"/>
        <v>174</v>
      </c>
    </row>
    <row r="181" spans="1:14" x14ac:dyDescent="0.2">
      <c r="A181" s="1">
        <v>175</v>
      </c>
      <c r="B181" s="1" t="s">
        <v>1008</v>
      </c>
      <c r="C181" s="1" t="s">
        <v>845</v>
      </c>
      <c r="D181" s="1" t="s">
        <v>185</v>
      </c>
      <c r="E181" s="1" t="s">
        <v>185</v>
      </c>
      <c r="F181" s="1" t="s">
        <v>246</v>
      </c>
      <c r="G181" s="1">
        <f>IF(ISNA(VLOOKUP(F181,Monster!B:E,4,FALSE)),0,VLOOKUP(F181,Monster!B:E,4,FALSE))</f>
        <v>0</v>
      </c>
      <c r="H181" s="1">
        <v>1</v>
      </c>
      <c r="N181" s="1">
        <f t="shared" si="0"/>
        <v>175</v>
      </c>
    </row>
    <row r="182" spans="1:14" x14ac:dyDescent="0.2">
      <c r="A182" s="1">
        <v>176</v>
      </c>
      <c r="B182" s="1" t="s">
        <v>1009</v>
      </c>
      <c r="C182" s="1" t="s">
        <v>849</v>
      </c>
      <c r="D182" s="1" t="s">
        <v>36</v>
      </c>
      <c r="E182" s="1" t="s">
        <v>36</v>
      </c>
      <c r="F182" s="1" t="s">
        <v>251</v>
      </c>
      <c r="G182" s="1">
        <f>IF(ISNA(VLOOKUP(F182,Monster!B:E,4,FALSE)),0,VLOOKUP(F182,Monster!B:E,4,FALSE))</f>
        <v>35</v>
      </c>
      <c r="H182" s="1">
        <v>1</v>
      </c>
      <c r="N182" s="1">
        <f t="shared" si="0"/>
        <v>176</v>
      </c>
    </row>
    <row r="183" spans="1:14" x14ac:dyDescent="0.2">
      <c r="A183" s="1">
        <v>177</v>
      </c>
      <c r="B183" s="1" t="s">
        <v>1011</v>
      </c>
      <c r="C183" s="1" t="s">
        <v>849</v>
      </c>
      <c r="D183" s="1" t="s">
        <v>92</v>
      </c>
      <c r="E183" s="1" t="s">
        <v>92</v>
      </c>
      <c r="F183" s="1" t="s">
        <v>251</v>
      </c>
      <c r="G183" s="1">
        <f>IF(ISNA(VLOOKUP(F183,Monster!B:E,4,FALSE)),0,VLOOKUP(F183,Monster!B:E,4,FALSE))</f>
        <v>35</v>
      </c>
      <c r="H183" s="1">
        <v>1</v>
      </c>
      <c r="N183" s="1">
        <f t="shared" si="0"/>
        <v>177</v>
      </c>
    </row>
    <row r="184" spans="1:14" x14ac:dyDescent="0.2">
      <c r="A184" s="1">
        <v>178</v>
      </c>
      <c r="B184" s="1" t="s">
        <v>1013</v>
      </c>
      <c r="C184" s="1" t="s">
        <v>849</v>
      </c>
      <c r="D184" s="1" t="s">
        <v>117</v>
      </c>
      <c r="E184" s="1" t="s">
        <v>818</v>
      </c>
      <c r="F184" s="1" t="s">
        <v>251</v>
      </c>
      <c r="G184" s="1">
        <f>IF(ISNA(VLOOKUP(F184,Monster!B:E,4,FALSE)),0,VLOOKUP(F184,Monster!B:E,4,FALSE))</f>
        <v>35</v>
      </c>
      <c r="H184" s="1">
        <v>1</v>
      </c>
      <c r="N184" s="1">
        <f t="shared" si="0"/>
        <v>178</v>
      </c>
    </row>
    <row r="185" spans="1:14" x14ac:dyDescent="0.2">
      <c r="A185" s="1">
        <v>179</v>
      </c>
      <c r="B185" s="1" t="s">
        <v>1015</v>
      </c>
      <c r="C185" s="1" t="s">
        <v>849</v>
      </c>
      <c r="D185" s="1" t="s">
        <v>142</v>
      </c>
      <c r="E185" s="1" t="s">
        <v>142</v>
      </c>
      <c r="F185" s="1" t="s">
        <v>251</v>
      </c>
      <c r="G185" s="1">
        <f>IF(ISNA(VLOOKUP(F185,Monster!B:E,4,FALSE)),0,VLOOKUP(F185,Monster!B:E,4,FALSE))</f>
        <v>35</v>
      </c>
      <c r="H185" s="1">
        <v>1</v>
      </c>
      <c r="N185" s="1">
        <f t="shared" si="0"/>
        <v>179</v>
      </c>
    </row>
    <row r="186" spans="1:14" x14ac:dyDescent="0.2">
      <c r="A186" s="1">
        <v>180</v>
      </c>
      <c r="B186" s="1" t="s">
        <v>1017</v>
      </c>
      <c r="C186" s="1" t="s">
        <v>849</v>
      </c>
      <c r="D186" s="1" t="s">
        <v>185</v>
      </c>
      <c r="E186" s="1" t="s">
        <v>185</v>
      </c>
      <c r="F186" s="1" t="s">
        <v>251</v>
      </c>
      <c r="G186" s="1">
        <f>IF(ISNA(VLOOKUP(F186,Monster!B:E,4,FALSE)),0,VLOOKUP(F186,Monster!B:E,4,FALSE))</f>
        <v>35</v>
      </c>
      <c r="H186" s="1">
        <v>1</v>
      </c>
      <c r="N186" s="1">
        <f t="shared" si="0"/>
        <v>180</v>
      </c>
    </row>
    <row r="187" spans="1:14" x14ac:dyDescent="0.2">
      <c r="A187" s="1">
        <v>181</v>
      </c>
      <c r="B187" s="1" t="s">
        <v>1019</v>
      </c>
      <c r="C187" s="1" t="s">
        <v>853</v>
      </c>
      <c r="D187" s="1" t="s">
        <v>36</v>
      </c>
      <c r="E187" s="1" t="s">
        <v>36</v>
      </c>
      <c r="F187" s="1" t="s">
        <v>256</v>
      </c>
      <c r="G187" s="1">
        <f>IF(ISNA(VLOOKUP(F187,Monster!B:E,4,FALSE)),0,VLOOKUP(F187,Monster!B:E,4,FALSE))</f>
        <v>36</v>
      </c>
      <c r="H187" s="1">
        <v>1</v>
      </c>
      <c r="N187" s="1">
        <f t="shared" si="0"/>
        <v>181</v>
      </c>
    </row>
    <row r="188" spans="1:14" x14ac:dyDescent="0.2">
      <c r="A188" s="1">
        <v>182</v>
      </c>
      <c r="B188" s="1" t="s">
        <v>1020</v>
      </c>
      <c r="C188" s="1" t="s">
        <v>853</v>
      </c>
      <c r="D188" s="1" t="s">
        <v>92</v>
      </c>
      <c r="E188" s="1" t="s">
        <v>1021</v>
      </c>
      <c r="F188" s="1" t="s">
        <v>256</v>
      </c>
      <c r="G188" s="1">
        <f>IF(ISNA(VLOOKUP(F188,Monster!B:E,4,FALSE)),0,VLOOKUP(F188,Monster!B:E,4,FALSE))</f>
        <v>36</v>
      </c>
      <c r="H188" s="1">
        <v>1</v>
      </c>
      <c r="N188" s="1">
        <f t="shared" si="0"/>
        <v>182</v>
      </c>
    </row>
    <row r="189" spans="1:14" x14ac:dyDescent="0.2">
      <c r="A189" s="1">
        <v>183</v>
      </c>
      <c r="B189" s="1" t="s">
        <v>1022</v>
      </c>
      <c r="C189" s="1" t="s">
        <v>853</v>
      </c>
      <c r="D189" s="1" t="s">
        <v>117</v>
      </c>
      <c r="E189" s="1" t="s">
        <v>1023</v>
      </c>
      <c r="F189" s="1" t="s">
        <v>256</v>
      </c>
      <c r="G189" s="1">
        <f>IF(ISNA(VLOOKUP(F189,Monster!B:E,4,FALSE)),0,VLOOKUP(F189,Monster!B:E,4,FALSE))</f>
        <v>36</v>
      </c>
      <c r="H189" s="1">
        <v>1</v>
      </c>
      <c r="N189" s="1">
        <f t="shared" si="0"/>
        <v>183</v>
      </c>
    </row>
    <row r="190" spans="1:14" x14ac:dyDescent="0.2">
      <c r="A190" s="1">
        <v>184</v>
      </c>
      <c r="B190" s="1" t="s">
        <v>1024</v>
      </c>
      <c r="C190" s="1" t="s">
        <v>853</v>
      </c>
      <c r="D190" s="1" t="s">
        <v>142</v>
      </c>
      <c r="E190" s="1" t="s">
        <v>1025</v>
      </c>
      <c r="F190" s="1" t="s">
        <v>256</v>
      </c>
      <c r="G190" s="1">
        <f>IF(ISNA(VLOOKUP(F190,Monster!B:E,4,FALSE)),0,VLOOKUP(F190,Monster!B:E,4,FALSE))</f>
        <v>36</v>
      </c>
      <c r="H190" s="1">
        <v>2</v>
      </c>
      <c r="N190" s="1">
        <f t="shared" si="0"/>
        <v>184</v>
      </c>
    </row>
    <row r="191" spans="1:14" x14ac:dyDescent="0.2">
      <c r="A191" s="1">
        <v>185</v>
      </c>
      <c r="B191" s="1" t="s">
        <v>1026</v>
      </c>
      <c r="C191" s="1" t="s">
        <v>853</v>
      </c>
      <c r="D191" s="1" t="s">
        <v>185</v>
      </c>
      <c r="E191" s="1" t="s">
        <v>185</v>
      </c>
      <c r="F191" s="1" t="s">
        <v>256</v>
      </c>
      <c r="G191" s="1">
        <f>IF(ISNA(VLOOKUP(F191,Monster!B:E,4,FALSE)),0,VLOOKUP(F191,Monster!B:E,4,FALSE))</f>
        <v>36</v>
      </c>
      <c r="H191" s="1">
        <v>1</v>
      </c>
      <c r="N191" s="1">
        <f t="shared" si="0"/>
        <v>185</v>
      </c>
    </row>
    <row r="192" spans="1:14" x14ac:dyDescent="0.2">
      <c r="A192" s="1">
        <v>186</v>
      </c>
      <c r="B192" s="1" t="s">
        <v>1027</v>
      </c>
      <c r="C192" s="1" t="s">
        <v>857</v>
      </c>
      <c r="D192" s="1" t="s">
        <v>36</v>
      </c>
      <c r="E192" s="1" t="s">
        <v>1028</v>
      </c>
      <c r="F192" s="1" t="s">
        <v>263</v>
      </c>
      <c r="G192" s="1">
        <f>IF(ISNA(VLOOKUP(F192,Monster!B:E,4,FALSE)),0,VLOOKUP(F192,Monster!B:E,4,FALSE))</f>
        <v>37</v>
      </c>
      <c r="H192" s="1">
        <v>2</v>
      </c>
      <c r="N192" s="1">
        <f t="shared" si="0"/>
        <v>186</v>
      </c>
    </row>
    <row r="193" spans="1:14" x14ac:dyDescent="0.2">
      <c r="A193" s="1">
        <v>187</v>
      </c>
      <c r="B193" s="1" t="s">
        <v>1030</v>
      </c>
      <c r="C193" s="1" t="s">
        <v>857</v>
      </c>
      <c r="D193" s="1" t="s">
        <v>92</v>
      </c>
      <c r="E193" s="1" t="s">
        <v>1031</v>
      </c>
      <c r="F193" s="1" t="s">
        <v>263</v>
      </c>
      <c r="G193" s="1">
        <f>IF(ISNA(VLOOKUP(F193,Monster!B:E,4,FALSE)),0,VLOOKUP(F193,Monster!B:E,4,FALSE))</f>
        <v>37</v>
      </c>
      <c r="H193" s="1">
        <v>1</v>
      </c>
      <c r="N193" s="1">
        <f t="shared" si="0"/>
        <v>187</v>
      </c>
    </row>
    <row r="194" spans="1:14" x14ac:dyDescent="0.2">
      <c r="A194" s="1">
        <v>188</v>
      </c>
      <c r="B194" s="1" t="s">
        <v>1032</v>
      </c>
      <c r="C194" s="1" t="s">
        <v>857</v>
      </c>
      <c r="D194" s="1" t="s">
        <v>117</v>
      </c>
      <c r="E194" s="1" t="s">
        <v>1033</v>
      </c>
      <c r="F194" s="1" t="s">
        <v>263</v>
      </c>
      <c r="G194" s="1">
        <f>IF(ISNA(VLOOKUP(F194,Monster!B:E,4,FALSE)),0,VLOOKUP(F194,Monster!B:E,4,FALSE))</f>
        <v>37</v>
      </c>
      <c r="H194" s="1">
        <v>1</v>
      </c>
      <c r="N194" s="1">
        <f t="shared" si="0"/>
        <v>188</v>
      </c>
    </row>
    <row r="195" spans="1:14" x14ac:dyDescent="0.2">
      <c r="A195" s="1">
        <v>189</v>
      </c>
      <c r="B195" s="1" t="s">
        <v>1034</v>
      </c>
      <c r="C195" s="1" t="s">
        <v>857</v>
      </c>
      <c r="D195" s="1" t="s">
        <v>142</v>
      </c>
      <c r="E195" s="1" t="s">
        <v>1035</v>
      </c>
      <c r="F195" s="1" t="s">
        <v>263</v>
      </c>
      <c r="G195" s="1">
        <f>IF(ISNA(VLOOKUP(F195,Monster!B:E,4,FALSE)),0,VLOOKUP(F195,Monster!B:E,4,FALSE))</f>
        <v>37</v>
      </c>
      <c r="H195" s="1">
        <v>0</v>
      </c>
      <c r="N195" s="1">
        <f t="shared" si="0"/>
        <v>189</v>
      </c>
    </row>
    <row r="196" spans="1:14" x14ac:dyDescent="0.2">
      <c r="A196" s="1">
        <v>190</v>
      </c>
      <c r="B196" s="1" t="s">
        <v>1036</v>
      </c>
      <c r="C196" s="1" t="s">
        <v>857</v>
      </c>
      <c r="D196" s="1" t="s">
        <v>185</v>
      </c>
      <c r="E196" s="1" t="s">
        <v>1038</v>
      </c>
      <c r="F196" s="1" t="s">
        <v>263</v>
      </c>
      <c r="G196" s="1">
        <f>IF(ISNA(VLOOKUP(F196,Monster!B:E,4,FALSE)),0,VLOOKUP(F196,Monster!B:E,4,FALSE))</f>
        <v>37</v>
      </c>
      <c r="H196" s="1">
        <v>1</v>
      </c>
      <c r="N196" s="1">
        <f t="shared" si="0"/>
        <v>190</v>
      </c>
    </row>
    <row r="197" spans="1:14" x14ac:dyDescent="0.2">
      <c r="A197" s="1">
        <v>191</v>
      </c>
      <c r="B197" s="1" t="s">
        <v>1039</v>
      </c>
      <c r="C197" s="1" t="s">
        <v>863</v>
      </c>
      <c r="D197" s="1" t="s">
        <v>36</v>
      </c>
      <c r="E197" s="1" t="s">
        <v>36</v>
      </c>
      <c r="F197" s="1" t="s">
        <v>268</v>
      </c>
      <c r="G197" s="1">
        <f>IF(ISNA(VLOOKUP(F197,Monster!B:E,4,FALSE)),0,VLOOKUP(F197,Monster!B:E,4,FALSE))</f>
        <v>38</v>
      </c>
      <c r="H197" s="1">
        <v>1</v>
      </c>
      <c r="N197" s="1">
        <f t="shared" si="0"/>
        <v>191</v>
      </c>
    </row>
    <row r="198" spans="1:14" x14ac:dyDescent="0.2">
      <c r="A198" s="1">
        <v>192</v>
      </c>
      <c r="B198" s="1" t="s">
        <v>1040</v>
      </c>
      <c r="C198" s="1" t="s">
        <v>863</v>
      </c>
      <c r="D198" s="1" t="s">
        <v>92</v>
      </c>
      <c r="E198" s="1" t="s">
        <v>92</v>
      </c>
      <c r="F198" s="1" t="s">
        <v>268</v>
      </c>
      <c r="G198" s="1">
        <f>IF(ISNA(VLOOKUP(F198,Monster!B:E,4,FALSE)),0,VLOOKUP(F198,Monster!B:E,4,FALSE))</f>
        <v>38</v>
      </c>
      <c r="H198" s="1">
        <v>1</v>
      </c>
      <c r="N198" s="1">
        <f t="shared" si="0"/>
        <v>192</v>
      </c>
    </row>
    <row r="199" spans="1:14" x14ac:dyDescent="0.2">
      <c r="A199" s="1">
        <v>193</v>
      </c>
      <c r="B199" s="1" t="s">
        <v>1043</v>
      </c>
      <c r="C199" s="1" t="s">
        <v>863</v>
      </c>
      <c r="D199" s="1" t="s">
        <v>117</v>
      </c>
      <c r="E199" s="1" t="s">
        <v>117</v>
      </c>
      <c r="F199" s="1" t="s">
        <v>268</v>
      </c>
      <c r="G199" s="1">
        <f>IF(ISNA(VLOOKUP(F199,Monster!B:E,4,FALSE)),0,VLOOKUP(F199,Monster!B:E,4,FALSE))</f>
        <v>38</v>
      </c>
      <c r="H199" s="1">
        <v>1</v>
      </c>
      <c r="N199" s="1">
        <f t="shared" si="0"/>
        <v>193</v>
      </c>
    </row>
    <row r="200" spans="1:14" x14ac:dyDescent="0.2">
      <c r="A200" s="1">
        <v>194</v>
      </c>
      <c r="B200" s="1" t="s">
        <v>1044</v>
      </c>
      <c r="C200" s="1" t="s">
        <v>863</v>
      </c>
      <c r="D200" s="1" t="s">
        <v>142</v>
      </c>
      <c r="E200" s="1" t="s">
        <v>142</v>
      </c>
      <c r="F200" s="1" t="s">
        <v>268</v>
      </c>
      <c r="G200" s="1">
        <f>IF(ISNA(VLOOKUP(F200,Monster!B:E,4,FALSE)),0,VLOOKUP(F200,Monster!B:E,4,FALSE))</f>
        <v>38</v>
      </c>
      <c r="H200" s="1">
        <v>1</v>
      </c>
      <c r="N200" s="1">
        <f t="shared" si="0"/>
        <v>194</v>
      </c>
    </row>
    <row r="201" spans="1:14" x14ac:dyDescent="0.2">
      <c r="A201" s="1">
        <v>195</v>
      </c>
      <c r="B201" s="1" t="s">
        <v>1047</v>
      </c>
      <c r="C201" s="1" t="s">
        <v>863</v>
      </c>
      <c r="D201" s="1" t="s">
        <v>185</v>
      </c>
      <c r="E201" s="1" t="s">
        <v>185</v>
      </c>
      <c r="F201" s="1" t="s">
        <v>268</v>
      </c>
      <c r="G201" s="1">
        <f>IF(ISNA(VLOOKUP(F201,Monster!B:E,4,FALSE)),0,VLOOKUP(F201,Monster!B:E,4,FALSE))</f>
        <v>38</v>
      </c>
      <c r="H201" s="1">
        <v>1</v>
      </c>
      <c r="N201" s="1">
        <f t="shared" si="0"/>
        <v>195</v>
      </c>
    </row>
    <row r="202" spans="1:14" x14ac:dyDescent="0.2">
      <c r="A202" s="1">
        <v>196</v>
      </c>
      <c r="B202" s="1" t="s">
        <v>1049</v>
      </c>
      <c r="C202" s="1" t="s">
        <v>866</v>
      </c>
      <c r="D202" s="1" t="s">
        <v>36</v>
      </c>
      <c r="E202" s="1" t="s">
        <v>36</v>
      </c>
      <c r="F202" s="1" t="s">
        <v>273</v>
      </c>
      <c r="G202" s="1">
        <f>IF(ISNA(VLOOKUP(F202,Monster!B:E,4,FALSE)),0,VLOOKUP(F202,Monster!B:E,4,FALSE))</f>
        <v>39</v>
      </c>
      <c r="H202" s="1">
        <v>1</v>
      </c>
      <c r="N202" s="1">
        <f t="shared" si="0"/>
        <v>196</v>
      </c>
    </row>
    <row r="203" spans="1:14" x14ac:dyDescent="0.2">
      <c r="A203" s="1">
        <v>197</v>
      </c>
      <c r="B203" s="1" t="s">
        <v>1051</v>
      </c>
      <c r="C203" s="1" t="s">
        <v>866</v>
      </c>
      <c r="D203" s="1" t="s">
        <v>92</v>
      </c>
      <c r="E203" s="1" t="s">
        <v>92</v>
      </c>
      <c r="F203" s="1" t="s">
        <v>273</v>
      </c>
      <c r="G203" s="1">
        <f>IF(ISNA(VLOOKUP(F203,Monster!B:E,4,FALSE)),0,VLOOKUP(F203,Monster!B:E,4,FALSE))</f>
        <v>39</v>
      </c>
      <c r="H203" s="1">
        <v>1</v>
      </c>
      <c r="N203" s="1">
        <f t="shared" si="0"/>
        <v>197</v>
      </c>
    </row>
    <row r="204" spans="1:14" x14ac:dyDescent="0.2">
      <c r="A204" s="1">
        <v>198</v>
      </c>
      <c r="B204" s="1" t="s">
        <v>1053</v>
      </c>
      <c r="C204" s="1" t="s">
        <v>866</v>
      </c>
      <c r="D204" s="1" t="s">
        <v>117</v>
      </c>
      <c r="E204" s="1" t="s">
        <v>117</v>
      </c>
      <c r="F204" s="1" t="s">
        <v>273</v>
      </c>
      <c r="G204" s="1">
        <f>IF(ISNA(VLOOKUP(F204,Monster!B:E,4,FALSE)),0,VLOOKUP(F204,Monster!B:E,4,FALSE))</f>
        <v>39</v>
      </c>
      <c r="H204" s="1">
        <v>2</v>
      </c>
      <c r="N204" s="1">
        <f t="shared" si="0"/>
        <v>198</v>
      </c>
    </row>
    <row r="205" spans="1:14" x14ac:dyDescent="0.2">
      <c r="A205" s="1">
        <v>199</v>
      </c>
      <c r="B205" s="1" t="s">
        <v>1054</v>
      </c>
      <c r="C205" s="1" t="s">
        <v>866</v>
      </c>
      <c r="D205" s="1" t="s">
        <v>142</v>
      </c>
      <c r="E205" s="1" t="s">
        <v>142</v>
      </c>
      <c r="F205" s="1" t="s">
        <v>273</v>
      </c>
      <c r="G205" s="1">
        <f>IF(ISNA(VLOOKUP(F205,Monster!B:E,4,FALSE)),0,VLOOKUP(F205,Monster!B:E,4,FALSE))</f>
        <v>39</v>
      </c>
      <c r="H205" s="1">
        <v>1</v>
      </c>
      <c r="N205" s="1">
        <f t="shared" si="0"/>
        <v>199</v>
      </c>
    </row>
    <row r="206" spans="1:14" x14ac:dyDescent="0.2">
      <c r="A206" s="1">
        <v>200</v>
      </c>
      <c r="B206" s="1" t="s">
        <v>1056</v>
      </c>
      <c r="C206" s="1" t="s">
        <v>866</v>
      </c>
      <c r="D206" s="1" t="s">
        <v>185</v>
      </c>
      <c r="E206" s="1" t="s">
        <v>185</v>
      </c>
      <c r="F206" s="1" t="s">
        <v>273</v>
      </c>
      <c r="G206" s="1">
        <f>IF(ISNA(VLOOKUP(F206,Monster!B:E,4,FALSE)),0,VLOOKUP(F206,Monster!B:E,4,FALSE))</f>
        <v>39</v>
      </c>
      <c r="H206" s="1">
        <v>1</v>
      </c>
      <c r="N206" s="1">
        <f t="shared" si="0"/>
        <v>200</v>
      </c>
    </row>
    <row r="207" spans="1:14" x14ac:dyDescent="0.2">
      <c r="A207" s="1">
        <v>201</v>
      </c>
      <c r="B207" s="1" t="s">
        <v>1058</v>
      </c>
      <c r="C207" s="1" t="s">
        <v>869</v>
      </c>
      <c r="D207" s="1" t="s">
        <v>36</v>
      </c>
      <c r="E207" s="1" t="s">
        <v>36</v>
      </c>
      <c r="F207" s="1" t="s">
        <v>278</v>
      </c>
      <c r="G207" s="1">
        <f>IF(ISNA(VLOOKUP(F207,Monster!B:E,4,FALSE)),0,VLOOKUP(F207,Monster!B:E,4,FALSE))</f>
        <v>40</v>
      </c>
      <c r="H207" s="1">
        <v>1</v>
      </c>
      <c r="N207" s="1">
        <f t="shared" si="0"/>
        <v>201</v>
      </c>
    </row>
    <row r="208" spans="1:14" x14ac:dyDescent="0.2">
      <c r="A208" s="1">
        <v>202</v>
      </c>
      <c r="B208" s="1" t="s">
        <v>1060</v>
      </c>
      <c r="C208" s="1" t="s">
        <v>869</v>
      </c>
      <c r="D208" s="1" t="s">
        <v>92</v>
      </c>
      <c r="E208" s="1" t="s">
        <v>92</v>
      </c>
      <c r="F208" s="1" t="s">
        <v>278</v>
      </c>
      <c r="G208" s="1">
        <f>IF(ISNA(VLOOKUP(F208,Monster!B:E,4,FALSE)),0,VLOOKUP(F208,Monster!B:E,4,FALSE))</f>
        <v>40</v>
      </c>
      <c r="H208" s="1">
        <v>1</v>
      </c>
      <c r="N208" s="1">
        <f t="shared" si="0"/>
        <v>202</v>
      </c>
    </row>
    <row r="209" spans="1:14" x14ac:dyDescent="0.2">
      <c r="A209" s="1">
        <v>203</v>
      </c>
      <c r="B209" s="1" t="s">
        <v>1062</v>
      </c>
      <c r="C209" s="1" t="s">
        <v>869</v>
      </c>
      <c r="D209" s="1" t="s">
        <v>117</v>
      </c>
      <c r="E209" s="1" t="s">
        <v>117</v>
      </c>
      <c r="F209" s="1" t="s">
        <v>278</v>
      </c>
      <c r="G209" s="1">
        <f>IF(ISNA(VLOOKUP(F209,Monster!B:E,4,FALSE)),0,VLOOKUP(F209,Monster!B:E,4,FALSE))</f>
        <v>40</v>
      </c>
      <c r="H209" s="1">
        <v>1</v>
      </c>
      <c r="N209" s="1">
        <f t="shared" si="0"/>
        <v>203</v>
      </c>
    </row>
    <row r="210" spans="1:14" x14ac:dyDescent="0.2">
      <c r="A210" s="1">
        <v>204</v>
      </c>
      <c r="B210" s="1" t="s">
        <v>1064</v>
      </c>
      <c r="C210" s="1" t="s">
        <v>869</v>
      </c>
      <c r="D210" s="1" t="s">
        <v>142</v>
      </c>
      <c r="E210" s="1" t="s">
        <v>142</v>
      </c>
      <c r="F210" s="1" t="s">
        <v>278</v>
      </c>
      <c r="G210" s="1">
        <f>IF(ISNA(VLOOKUP(F210,Monster!B:E,4,FALSE)),0,VLOOKUP(F210,Monster!B:E,4,FALSE))</f>
        <v>40</v>
      </c>
      <c r="H210" s="1">
        <v>1</v>
      </c>
      <c r="N210" s="1">
        <f t="shared" si="0"/>
        <v>204</v>
      </c>
    </row>
    <row r="211" spans="1:14" x14ac:dyDescent="0.2">
      <c r="A211" s="1">
        <v>205</v>
      </c>
      <c r="B211" s="1" t="s">
        <v>1065</v>
      </c>
      <c r="C211" s="1" t="s">
        <v>869</v>
      </c>
      <c r="D211" s="1" t="s">
        <v>185</v>
      </c>
      <c r="E211" s="1" t="s">
        <v>185</v>
      </c>
      <c r="F211" s="1" t="s">
        <v>278</v>
      </c>
      <c r="G211" s="1">
        <f>IF(ISNA(VLOOKUP(F211,Monster!B:E,4,FALSE)),0,VLOOKUP(F211,Monster!B:E,4,FALSE))</f>
        <v>40</v>
      </c>
      <c r="H211" s="1">
        <v>1</v>
      </c>
      <c r="N211" s="1">
        <f t="shared" si="0"/>
        <v>205</v>
      </c>
    </row>
    <row r="212" spans="1:14" x14ac:dyDescent="0.2">
      <c r="A212" s="1">
        <v>206</v>
      </c>
      <c r="B212" s="1" t="s">
        <v>1066</v>
      </c>
      <c r="C212" s="1" t="s">
        <v>872</v>
      </c>
      <c r="D212" s="1" t="s">
        <v>36</v>
      </c>
      <c r="E212" s="1" t="s">
        <v>36</v>
      </c>
      <c r="F212" s="1" t="s">
        <v>288</v>
      </c>
      <c r="G212" s="1">
        <f>IF(ISNA(VLOOKUP(F212,Monster!B:E,4,FALSE)),0,VLOOKUP(F212,Monster!B:E,4,FALSE))</f>
        <v>41</v>
      </c>
      <c r="H212" s="1">
        <v>1</v>
      </c>
      <c r="N212" s="1">
        <f t="shared" si="0"/>
        <v>206</v>
      </c>
    </row>
    <row r="213" spans="1:14" x14ac:dyDescent="0.2">
      <c r="A213" s="1">
        <v>207</v>
      </c>
      <c r="B213" s="1" t="s">
        <v>1067</v>
      </c>
      <c r="C213" s="1" t="s">
        <v>872</v>
      </c>
      <c r="D213" s="1" t="s">
        <v>92</v>
      </c>
      <c r="E213" s="1" t="s">
        <v>92</v>
      </c>
      <c r="F213" s="1" t="s">
        <v>288</v>
      </c>
      <c r="G213" s="1">
        <f>IF(ISNA(VLOOKUP(F213,Monster!B:E,4,FALSE)),0,VLOOKUP(F213,Monster!B:E,4,FALSE))</f>
        <v>41</v>
      </c>
      <c r="H213" s="1">
        <v>1</v>
      </c>
      <c r="N213" s="1">
        <f t="shared" si="0"/>
        <v>207</v>
      </c>
    </row>
    <row r="214" spans="1:14" x14ac:dyDescent="0.2">
      <c r="A214" s="1">
        <v>208</v>
      </c>
      <c r="B214" s="1" t="s">
        <v>1069</v>
      </c>
      <c r="C214" s="1" t="s">
        <v>872</v>
      </c>
      <c r="D214" s="1" t="s">
        <v>117</v>
      </c>
      <c r="E214" s="1" t="s">
        <v>117</v>
      </c>
      <c r="F214" s="1" t="s">
        <v>288</v>
      </c>
      <c r="G214" s="1">
        <f>IF(ISNA(VLOOKUP(F214,Monster!B:E,4,FALSE)),0,VLOOKUP(F214,Monster!B:E,4,FALSE))</f>
        <v>41</v>
      </c>
      <c r="H214" s="1">
        <v>1</v>
      </c>
      <c r="N214" s="1">
        <f t="shared" si="0"/>
        <v>208</v>
      </c>
    </row>
    <row r="215" spans="1:14" x14ac:dyDescent="0.2">
      <c r="A215" s="1">
        <v>209</v>
      </c>
      <c r="B215" s="1" t="s">
        <v>1070</v>
      </c>
      <c r="C215" s="1" t="s">
        <v>872</v>
      </c>
      <c r="D215" s="1" t="s">
        <v>142</v>
      </c>
      <c r="E215" s="1" t="s">
        <v>142</v>
      </c>
      <c r="F215" s="1" t="s">
        <v>288</v>
      </c>
      <c r="G215" s="1">
        <f>IF(ISNA(VLOOKUP(F215,Monster!B:E,4,FALSE)),0,VLOOKUP(F215,Monster!B:E,4,FALSE))</f>
        <v>41</v>
      </c>
      <c r="H215" s="1">
        <v>1</v>
      </c>
      <c r="N215" s="1">
        <f t="shared" si="0"/>
        <v>209</v>
      </c>
    </row>
    <row r="216" spans="1:14" x14ac:dyDescent="0.2">
      <c r="A216" s="1">
        <v>210</v>
      </c>
      <c r="B216" s="1" t="s">
        <v>1071</v>
      </c>
      <c r="C216" s="1" t="s">
        <v>872</v>
      </c>
      <c r="D216" s="1" t="s">
        <v>185</v>
      </c>
      <c r="E216" s="1" t="s">
        <v>185</v>
      </c>
      <c r="F216" s="1" t="s">
        <v>288</v>
      </c>
      <c r="G216" s="1">
        <f>IF(ISNA(VLOOKUP(F216,Monster!B:E,4,FALSE)),0,VLOOKUP(F216,Monster!B:E,4,FALSE))</f>
        <v>41</v>
      </c>
      <c r="H216" s="1">
        <v>1</v>
      </c>
      <c r="N216" s="1">
        <f t="shared" si="0"/>
        <v>210</v>
      </c>
    </row>
    <row r="217" spans="1:14" x14ac:dyDescent="0.2">
      <c r="A217" s="1">
        <v>211</v>
      </c>
      <c r="B217" s="1" t="s">
        <v>1073</v>
      </c>
      <c r="C217" s="1" t="s">
        <v>875</v>
      </c>
      <c r="D217" s="1" t="s">
        <v>36</v>
      </c>
      <c r="E217" s="1" t="s">
        <v>36</v>
      </c>
      <c r="F217" s="1" t="s">
        <v>293</v>
      </c>
      <c r="G217" s="1">
        <f>IF(ISNA(VLOOKUP(F217,Monster!B:E,4,FALSE)),0,VLOOKUP(F217,Monster!B:E,4,FALSE))</f>
        <v>42</v>
      </c>
      <c r="H217" s="1">
        <v>1</v>
      </c>
      <c r="N217" s="1">
        <f t="shared" si="0"/>
        <v>211</v>
      </c>
    </row>
    <row r="218" spans="1:14" x14ac:dyDescent="0.2">
      <c r="A218" s="1">
        <v>212</v>
      </c>
      <c r="B218" s="1" t="s">
        <v>1075</v>
      </c>
      <c r="C218" s="1" t="s">
        <v>875</v>
      </c>
      <c r="D218" s="1" t="s">
        <v>92</v>
      </c>
      <c r="E218" s="1" t="s">
        <v>92</v>
      </c>
      <c r="F218" s="1" t="s">
        <v>293</v>
      </c>
      <c r="G218" s="1">
        <f>IF(ISNA(VLOOKUP(F218,Monster!B:E,4,FALSE)),0,VLOOKUP(F218,Monster!B:E,4,FALSE))</f>
        <v>42</v>
      </c>
      <c r="H218" s="1">
        <v>1</v>
      </c>
      <c r="N218" s="1">
        <f t="shared" si="0"/>
        <v>212</v>
      </c>
    </row>
    <row r="219" spans="1:14" x14ac:dyDescent="0.2">
      <c r="A219" s="1">
        <v>213</v>
      </c>
      <c r="B219" s="1" t="s">
        <v>1076</v>
      </c>
      <c r="C219" s="1" t="s">
        <v>875</v>
      </c>
      <c r="D219" s="1" t="s">
        <v>117</v>
      </c>
      <c r="E219" s="1" t="s">
        <v>117</v>
      </c>
      <c r="F219" s="1" t="s">
        <v>293</v>
      </c>
      <c r="G219" s="1">
        <f>IF(ISNA(VLOOKUP(F219,Monster!B:E,4,FALSE)),0,VLOOKUP(F219,Monster!B:E,4,FALSE))</f>
        <v>42</v>
      </c>
      <c r="H219" s="1">
        <v>2</v>
      </c>
      <c r="N219" s="1">
        <f t="shared" si="0"/>
        <v>213</v>
      </c>
    </row>
    <row r="220" spans="1:14" x14ac:dyDescent="0.2">
      <c r="A220" s="1">
        <v>214</v>
      </c>
      <c r="B220" s="1" t="s">
        <v>1077</v>
      </c>
      <c r="C220" s="1" t="s">
        <v>875</v>
      </c>
      <c r="D220" s="1" t="s">
        <v>142</v>
      </c>
      <c r="E220" s="1" t="s">
        <v>142</v>
      </c>
      <c r="F220" s="1" t="s">
        <v>293</v>
      </c>
      <c r="G220" s="1">
        <f>IF(ISNA(VLOOKUP(F220,Monster!B:E,4,FALSE)),0,VLOOKUP(F220,Monster!B:E,4,FALSE))</f>
        <v>42</v>
      </c>
      <c r="H220" s="1">
        <v>1</v>
      </c>
      <c r="N220" s="1">
        <f t="shared" si="0"/>
        <v>214</v>
      </c>
    </row>
    <row r="221" spans="1:14" x14ac:dyDescent="0.2">
      <c r="A221" s="1">
        <v>215</v>
      </c>
      <c r="B221" s="1" t="s">
        <v>1079</v>
      </c>
      <c r="C221" s="1" t="s">
        <v>875</v>
      </c>
      <c r="D221" s="1" t="s">
        <v>185</v>
      </c>
      <c r="E221" s="1" t="s">
        <v>185</v>
      </c>
      <c r="F221" s="1" t="s">
        <v>293</v>
      </c>
      <c r="G221" s="1">
        <f>IF(ISNA(VLOOKUP(F221,Monster!B:E,4,FALSE)),0,VLOOKUP(F221,Monster!B:E,4,FALSE))</f>
        <v>42</v>
      </c>
      <c r="H221" s="1">
        <v>1</v>
      </c>
      <c r="N221" s="1">
        <f t="shared" si="0"/>
        <v>215</v>
      </c>
    </row>
    <row r="222" spans="1:14" x14ac:dyDescent="0.2">
      <c r="A222" s="1">
        <v>211</v>
      </c>
      <c r="B222" s="1" t="s">
        <v>1081</v>
      </c>
      <c r="C222" s="1" t="s">
        <v>880</v>
      </c>
      <c r="D222" s="1" t="s">
        <v>36</v>
      </c>
      <c r="E222" s="1" t="s">
        <v>36</v>
      </c>
      <c r="F222" s="1" t="s">
        <v>298</v>
      </c>
      <c r="G222" s="1">
        <f>IF(ISNA(VLOOKUP(F222,Monster!B:E,4,FALSE)),0,VLOOKUP(F222,Monster!B:E,4,FALSE))</f>
        <v>43</v>
      </c>
      <c r="H222" s="1">
        <v>1</v>
      </c>
      <c r="I222" s="1" t="str">
        <f>VLOOKUP(G222,Monster!A:E,4,FALSE) &amp; " " &amp; E222</f>
        <v>Rex Roar Helm</v>
      </c>
      <c r="J222" s="1" t="str">
        <f>VLOOKUP(G222,Monster!A:E,3,FALSE) &amp; " Set"</f>
        <v>Rex Roar Set</v>
      </c>
      <c r="N222" s="1">
        <f t="shared" si="0"/>
        <v>211</v>
      </c>
    </row>
    <row r="223" spans="1:14" x14ac:dyDescent="0.2">
      <c r="A223" s="1">
        <v>212</v>
      </c>
      <c r="B223" s="1" t="s">
        <v>1085</v>
      </c>
      <c r="C223" s="1" t="s">
        <v>880</v>
      </c>
      <c r="D223" s="1" t="s">
        <v>92</v>
      </c>
      <c r="E223" s="1" t="s">
        <v>92</v>
      </c>
      <c r="F223" s="1" t="s">
        <v>298</v>
      </c>
      <c r="G223" s="1">
        <f>IF(ISNA(VLOOKUP(F223,Monster!B:E,4,FALSE)),0,VLOOKUP(F223,Monster!B:E,4,FALSE))</f>
        <v>43</v>
      </c>
      <c r="H223" s="1">
        <v>1</v>
      </c>
      <c r="I223" s="1" t="str">
        <f>VLOOKUP(G223,Monster!A:E,4,FALSE) &amp; " " &amp; E223</f>
        <v>Rex Roar Mail</v>
      </c>
      <c r="J223" s="1" t="str">
        <f>VLOOKUP(G223,Monster!A:E,3,FALSE) &amp; " Set"</f>
        <v>Rex Roar Set</v>
      </c>
      <c r="N223" s="1">
        <f t="shared" si="0"/>
        <v>212</v>
      </c>
    </row>
    <row r="224" spans="1:14" x14ac:dyDescent="0.2">
      <c r="A224" s="1">
        <v>213</v>
      </c>
      <c r="B224" s="1" t="s">
        <v>1088</v>
      </c>
      <c r="C224" s="1" t="s">
        <v>880</v>
      </c>
      <c r="D224" s="1" t="s">
        <v>117</v>
      </c>
      <c r="E224" s="1" t="s">
        <v>117</v>
      </c>
      <c r="F224" s="1" t="s">
        <v>298</v>
      </c>
      <c r="G224" s="1">
        <f>IF(ISNA(VLOOKUP(F224,Monster!B:E,4,FALSE)),0,VLOOKUP(F224,Monster!B:E,4,FALSE))</f>
        <v>43</v>
      </c>
      <c r="H224" s="1">
        <v>2</v>
      </c>
      <c r="I224" s="1" t="str">
        <f>VLOOKUP(G224,Monster!A:E,4,FALSE) &amp; " " &amp; E224</f>
        <v>Rex Roar Vambraces</v>
      </c>
      <c r="J224" s="1" t="str">
        <f>VLOOKUP(G224,Monster!A:E,3,FALSE) &amp; " Set"</f>
        <v>Rex Roar Set</v>
      </c>
      <c r="N224" s="1">
        <f t="shared" si="0"/>
        <v>213</v>
      </c>
    </row>
    <row r="225" spans="1:14" x14ac:dyDescent="0.2">
      <c r="A225" s="1">
        <v>214</v>
      </c>
      <c r="B225" s="1" t="s">
        <v>1090</v>
      </c>
      <c r="C225" s="1" t="s">
        <v>880</v>
      </c>
      <c r="D225" s="1" t="s">
        <v>142</v>
      </c>
      <c r="E225" s="1" t="s">
        <v>142</v>
      </c>
      <c r="F225" s="1" t="s">
        <v>298</v>
      </c>
      <c r="G225" s="1">
        <f>IF(ISNA(VLOOKUP(F225,Monster!B:E,4,FALSE)),0,VLOOKUP(F225,Monster!B:E,4,FALSE))</f>
        <v>43</v>
      </c>
      <c r="H225" s="1">
        <v>1</v>
      </c>
      <c r="I225" s="1" t="str">
        <f>VLOOKUP(G225,Monster!A:E,4,FALSE) &amp; " " &amp; E225</f>
        <v>Rex Roar Coil</v>
      </c>
      <c r="J225" s="1" t="str">
        <f>VLOOKUP(G225,Monster!A:E,3,FALSE) &amp; " Set"</f>
        <v>Rex Roar Set</v>
      </c>
      <c r="N225" s="1">
        <f t="shared" si="0"/>
        <v>214</v>
      </c>
    </row>
    <row r="226" spans="1:14" x14ac:dyDescent="0.2">
      <c r="A226" s="1">
        <v>215</v>
      </c>
      <c r="B226" s="1" t="s">
        <v>1092</v>
      </c>
      <c r="C226" s="1" t="s">
        <v>880</v>
      </c>
      <c r="D226" s="1" t="s">
        <v>185</v>
      </c>
      <c r="E226" s="1" t="s">
        <v>185</v>
      </c>
      <c r="F226" s="1" t="s">
        <v>298</v>
      </c>
      <c r="G226" s="1">
        <f>IF(ISNA(VLOOKUP(F226,Monster!B:E,4,FALSE)),0,VLOOKUP(F226,Monster!B:E,4,FALSE))</f>
        <v>43</v>
      </c>
      <c r="H226" s="1">
        <v>1</v>
      </c>
      <c r="I226" s="1" t="str">
        <f>VLOOKUP(G226,Monster!A:E,4,FALSE) &amp; " " &amp; E226</f>
        <v>Rex Roar Greaves</v>
      </c>
      <c r="J226" s="1" t="str">
        <f>VLOOKUP(G226,Monster!A:E,3,FALSE) &amp; " Set"</f>
        <v>Rex Roar Set</v>
      </c>
      <c r="N226" s="1">
        <f t="shared" si="0"/>
        <v>215</v>
      </c>
    </row>
    <row r="227" spans="1:14" x14ac:dyDescent="0.2">
      <c r="A227" s="1">
        <v>216</v>
      </c>
      <c r="B227" s="1" t="s">
        <v>1096</v>
      </c>
      <c r="C227" s="1" t="s">
        <v>885</v>
      </c>
      <c r="D227" s="1" t="s">
        <v>36</v>
      </c>
      <c r="E227" s="1" t="s">
        <v>1097</v>
      </c>
      <c r="F227" s="1" t="s">
        <v>302</v>
      </c>
      <c r="G227" s="1">
        <f>IF(ISNA(VLOOKUP(F227,Monster!B:E,4,FALSE)),0,VLOOKUP(F227,Monster!B:E,4,FALSE))</f>
        <v>44</v>
      </c>
      <c r="H227" s="1">
        <v>1</v>
      </c>
      <c r="N227" s="1">
        <f t="shared" si="0"/>
        <v>216</v>
      </c>
    </row>
    <row r="228" spans="1:14" x14ac:dyDescent="0.2">
      <c r="A228" s="1">
        <v>217</v>
      </c>
      <c r="B228" s="1" t="s">
        <v>1098</v>
      </c>
      <c r="C228" s="1" t="s">
        <v>885</v>
      </c>
      <c r="D228" s="1" t="s">
        <v>92</v>
      </c>
      <c r="E228" s="1" t="s">
        <v>1099</v>
      </c>
      <c r="F228" s="1" t="s">
        <v>302</v>
      </c>
      <c r="G228" s="1">
        <f>IF(ISNA(VLOOKUP(F228,Monster!B:E,4,FALSE)),0,VLOOKUP(F228,Monster!B:E,4,FALSE))</f>
        <v>44</v>
      </c>
      <c r="H228" s="1">
        <v>1</v>
      </c>
      <c r="N228" s="1">
        <f t="shared" si="0"/>
        <v>217</v>
      </c>
    </row>
    <row r="229" spans="1:14" x14ac:dyDescent="0.2">
      <c r="A229" s="1">
        <v>218</v>
      </c>
      <c r="B229" s="1" t="s">
        <v>1101</v>
      </c>
      <c r="C229" s="1" t="s">
        <v>885</v>
      </c>
      <c r="D229" s="1" t="s">
        <v>117</v>
      </c>
      <c r="E229" s="1" t="s">
        <v>1102</v>
      </c>
      <c r="F229" s="1" t="s">
        <v>302</v>
      </c>
      <c r="G229" s="1">
        <f>IF(ISNA(VLOOKUP(F229,Monster!B:E,4,FALSE)),0,VLOOKUP(F229,Monster!B:E,4,FALSE))</f>
        <v>44</v>
      </c>
      <c r="H229" s="1">
        <v>1</v>
      </c>
      <c r="N229" s="1">
        <f t="shared" si="0"/>
        <v>218</v>
      </c>
    </row>
    <row r="230" spans="1:14" x14ac:dyDescent="0.2">
      <c r="A230" s="1">
        <v>219</v>
      </c>
      <c r="B230" s="1" t="s">
        <v>1104</v>
      </c>
      <c r="C230" s="1" t="s">
        <v>885</v>
      </c>
      <c r="D230" s="1" t="s">
        <v>142</v>
      </c>
      <c r="E230" s="1" t="s">
        <v>1105</v>
      </c>
      <c r="F230" s="1" t="s">
        <v>302</v>
      </c>
      <c r="G230" s="1">
        <f>IF(ISNA(VLOOKUP(F230,Monster!B:E,4,FALSE)),0,VLOOKUP(F230,Monster!B:E,4,FALSE))</f>
        <v>44</v>
      </c>
      <c r="H230" s="1">
        <v>1</v>
      </c>
      <c r="N230" s="1">
        <f t="shared" si="0"/>
        <v>219</v>
      </c>
    </row>
    <row r="231" spans="1:14" x14ac:dyDescent="0.2">
      <c r="A231" s="1">
        <v>220</v>
      </c>
      <c r="B231" s="1" t="s">
        <v>1106</v>
      </c>
      <c r="C231" s="1" t="s">
        <v>885</v>
      </c>
      <c r="D231" s="1" t="s">
        <v>185</v>
      </c>
      <c r="E231" s="1" t="s">
        <v>1107</v>
      </c>
      <c r="F231" s="1" t="s">
        <v>302</v>
      </c>
      <c r="G231" s="1">
        <f>IF(ISNA(VLOOKUP(F231,Monster!B:E,4,FALSE)),0,VLOOKUP(F231,Monster!B:E,4,FALSE))</f>
        <v>44</v>
      </c>
      <c r="H231" s="1">
        <v>1</v>
      </c>
      <c r="N231" s="1">
        <f t="shared" si="0"/>
        <v>220</v>
      </c>
    </row>
    <row r="232" spans="1:14" x14ac:dyDescent="0.2">
      <c r="A232" s="1">
        <v>221</v>
      </c>
      <c r="B232" s="1" t="s">
        <v>1110</v>
      </c>
      <c r="C232" s="1" t="s">
        <v>888</v>
      </c>
      <c r="D232" s="1" t="s">
        <v>36</v>
      </c>
      <c r="E232" s="1" t="s">
        <v>36</v>
      </c>
      <c r="F232" s="1" t="s">
        <v>305</v>
      </c>
      <c r="G232" s="1">
        <f>IF(ISNA(VLOOKUP(F232,Monster!B:E,4,FALSE)),0,VLOOKUP(F232,Monster!B:E,4,FALSE))</f>
        <v>45</v>
      </c>
      <c r="H232" s="1">
        <v>1</v>
      </c>
      <c r="N232" s="1">
        <f t="shared" si="0"/>
        <v>221</v>
      </c>
    </row>
    <row r="233" spans="1:14" x14ac:dyDescent="0.2">
      <c r="A233" s="1">
        <v>222</v>
      </c>
      <c r="B233" s="1" t="s">
        <v>1111</v>
      </c>
      <c r="C233" s="1" t="s">
        <v>888</v>
      </c>
      <c r="D233" s="1" t="s">
        <v>92</v>
      </c>
      <c r="E233" s="1" t="s">
        <v>92</v>
      </c>
      <c r="F233" s="1" t="s">
        <v>305</v>
      </c>
      <c r="G233" s="1">
        <f>IF(ISNA(VLOOKUP(F233,Monster!B:E,4,FALSE)),0,VLOOKUP(F233,Monster!B:E,4,FALSE))</f>
        <v>45</v>
      </c>
      <c r="H233" s="1">
        <v>1</v>
      </c>
      <c r="N233" s="1">
        <f t="shared" si="0"/>
        <v>222</v>
      </c>
    </row>
    <row r="234" spans="1:14" x14ac:dyDescent="0.2">
      <c r="A234" s="1">
        <v>223</v>
      </c>
      <c r="B234" s="1" t="s">
        <v>1112</v>
      </c>
      <c r="C234" s="1" t="s">
        <v>888</v>
      </c>
      <c r="D234" s="1" t="s">
        <v>117</v>
      </c>
      <c r="E234" s="1" t="s">
        <v>117</v>
      </c>
      <c r="F234" s="1" t="s">
        <v>305</v>
      </c>
      <c r="G234" s="1">
        <f>IF(ISNA(VLOOKUP(F234,Monster!B:E,4,FALSE)),0,VLOOKUP(F234,Monster!B:E,4,FALSE))</f>
        <v>45</v>
      </c>
      <c r="H234" s="1">
        <v>1</v>
      </c>
      <c r="N234" s="1">
        <f t="shared" si="0"/>
        <v>223</v>
      </c>
    </row>
    <row r="235" spans="1:14" x14ac:dyDescent="0.2">
      <c r="A235" s="1">
        <v>224</v>
      </c>
      <c r="B235" s="1" t="s">
        <v>1115</v>
      </c>
      <c r="C235" s="1" t="s">
        <v>888</v>
      </c>
      <c r="D235" s="1" t="s">
        <v>142</v>
      </c>
      <c r="E235" s="1" t="s">
        <v>142</v>
      </c>
      <c r="F235" s="1" t="s">
        <v>305</v>
      </c>
      <c r="G235" s="1">
        <f>IF(ISNA(VLOOKUP(F235,Monster!B:E,4,FALSE)),0,VLOOKUP(F235,Monster!B:E,4,FALSE))</f>
        <v>45</v>
      </c>
      <c r="H235" s="1">
        <v>1</v>
      </c>
      <c r="N235" s="1">
        <f t="shared" si="0"/>
        <v>224</v>
      </c>
    </row>
    <row r="236" spans="1:14" x14ac:dyDescent="0.2">
      <c r="A236" s="1">
        <v>225</v>
      </c>
      <c r="B236" s="1" t="s">
        <v>1117</v>
      </c>
      <c r="C236" s="1" t="s">
        <v>888</v>
      </c>
      <c r="D236" s="1" t="s">
        <v>185</v>
      </c>
      <c r="E236" s="1" t="s">
        <v>185</v>
      </c>
      <c r="F236" s="1" t="s">
        <v>305</v>
      </c>
      <c r="G236" s="1">
        <f>IF(ISNA(VLOOKUP(F236,Monster!B:E,4,FALSE)),0,VLOOKUP(F236,Monster!B:E,4,FALSE))</f>
        <v>45</v>
      </c>
      <c r="H236" s="1">
        <v>1</v>
      </c>
      <c r="N236" s="1">
        <f t="shared" si="0"/>
        <v>225</v>
      </c>
    </row>
    <row r="237" spans="1:14" x14ac:dyDescent="0.2">
      <c r="A237" s="1">
        <v>226</v>
      </c>
      <c r="B237" s="1" t="s">
        <v>1120</v>
      </c>
      <c r="C237" s="1" t="s">
        <v>892</v>
      </c>
      <c r="D237" s="1" t="s">
        <v>36</v>
      </c>
      <c r="E237" s="1" t="s">
        <v>36</v>
      </c>
      <c r="F237" s="1" t="s">
        <v>310</v>
      </c>
      <c r="G237" s="1">
        <f>IF(ISNA(VLOOKUP(F237,Monster!B:E,4,FALSE)),0,VLOOKUP(F237,Monster!B:E,4,FALSE))</f>
        <v>46</v>
      </c>
      <c r="H237" s="1">
        <v>1</v>
      </c>
      <c r="N237" s="1">
        <f t="shared" si="0"/>
        <v>226</v>
      </c>
    </row>
    <row r="238" spans="1:14" x14ac:dyDescent="0.2">
      <c r="A238" s="1">
        <v>227</v>
      </c>
      <c r="B238" s="1" t="s">
        <v>1121</v>
      </c>
      <c r="C238" s="1" t="s">
        <v>892</v>
      </c>
      <c r="D238" s="1" t="s">
        <v>92</v>
      </c>
      <c r="E238" s="1" t="s">
        <v>92</v>
      </c>
      <c r="F238" s="1" t="s">
        <v>310</v>
      </c>
      <c r="G238" s="1">
        <f>IF(ISNA(VLOOKUP(F238,Monster!B:E,4,FALSE)),0,VLOOKUP(F238,Monster!B:E,4,FALSE))</f>
        <v>46</v>
      </c>
      <c r="H238" s="1">
        <v>1</v>
      </c>
      <c r="N238" s="1">
        <f t="shared" si="0"/>
        <v>227</v>
      </c>
    </row>
    <row r="239" spans="1:14" x14ac:dyDescent="0.2">
      <c r="A239" s="1">
        <v>228</v>
      </c>
      <c r="B239" s="1" t="s">
        <v>1123</v>
      </c>
      <c r="C239" s="1" t="s">
        <v>892</v>
      </c>
      <c r="D239" s="1" t="s">
        <v>117</v>
      </c>
      <c r="E239" s="1" t="s">
        <v>117</v>
      </c>
      <c r="F239" s="1" t="s">
        <v>310</v>
      </c>
      <c r="G239" s="1">
        <f>IF(ISNA(VLOOKUP(F239,Monster!B:E,4,FALSE)),0,VLOOKUP(F239,Monster!B:E,4,FALSE))</f>
        <v>46</v>
      </c>
      <c r="H239" s="1">
        <v>2</v>
      </c>
      <c r="N239" s="1">
        <f t="shared" si="0"/>
        <v>228</v>
      </c>
    </row>
    <row r="240" spans="1:14" x14ac:dyDescent="0.2">
      <c r="A240" s="1">
        <v>229</v>
      </c>
      <c r="B240" s="1" t="s">
        <v>1125</v>
      </c>
      <c r="C240" s="1" t="s">
        <v>892</v>
      </c>
      <c r="D240" s="1" t="s">
        <v>142</v>
      </c>
      <c r="E240" s="1" t="s">
        <v>142</v>
      </c>
      <c r="F240" s="1" t="s">
        <v>310</v>
      </c>
      <c r="G240" s="1">
        <f>IF(ISNA(VLOOKUP(F240,Monster!B:E,4,FALSE)),0,VLOOKUP(F240,Monster!B:E,4,FALSE))</f>
        <v>46</v>
      </c>
      <c r="H240" s="1">
        <v>1</v>
      </c>
      <c r="N240" s="1">
        <f t="shared" si="0"/>
        <v>229</v>
      </c>
    </row>
    <row r="241" spans="1:14" x14ac:dyDescent="0.2">
      <c r="A241" s="1">
        <v>230</v>
      </c>
      <c r="B241" s="1" t="s">
        <v>1127</v>
      </c>
      <c r="C241" s="1" t="s">
        <v>892</v>
      </c>
      <c r="D241" s="1" t="s">
        <v>185</v>
      </c>
      <c r="E241" s="1" t="s">
        <v>185</v>
      </c>
      <c r="F241" s="1" t="s">
        <v>310</v>
      </c>
      <c r="G241" s="1">
        <f>IF(ISNA(VLOOKUP(F241,Monster!B:E,4,FALSE)),0,VLOOKUP(F241,Monster!B:E,4,FALSE))</f>
        <v>46</v>
      </c>
      <c r="H241" s="1">
        <v>1</v>
      </c>
      <c r="N241" s="1">
        <f t="shared" si="0"/>
        <v>230</v>
      </c>
    </row>
    <row r="242" spans="1:14" x14ac:dyDescent="0.2">
      <c r="A242" s="1">
        <v>231</v>
      </c>
      <c r="B242" s="1" t="s">
        <v>1128</v>
      </c>
      <c r="C242" s="1" t="s">
        <v>896</v>
      </c>
      <c r="D242" s="1" t="s">
        <v>36</v>
      </c>
      <c r="E242" s="1" t="s">
        <v>36</v>
      </c>
      <c r="F242" s="1" t="s">
        <v>316</v>
      </c>
      <c r="G242" s="1">
        <f>IF(ISNA(VLOOKUP(F242,Monster!B:E,4,FALSE)),0,VLOOKUP(F242,Monster!B:E,4,FALSE))</f>
        <v>47</v>
      </c>
      <c r="H242" s="1">
        <v>1</v>
      </c>
      <c r="N242" s="1">
        <f t="shared" si="0"/>
        <v>231</v>
      </c>
    </row>
    <row r="243" spans="1:14" x14ac:dyDescent="0.2">
      <c r="A243" s="1">
        <v>232</v>
      </c>
      <c r="B243" s="1" t="s">
        <v>1130</v>
      </c>
      <c r="C243" s="1" t="s">
        <v>896</v>
      </c>
      <c r="D243" s="1" t="s">
        <v>92</v>
      </c>
      <c r="E243" s="1" t="s">
        <v>92</v>
      </c>
      <c r="F243" s="1" t="s">
        <v>316</v>
      </c>
      <c r="G243" s="1">
        <f>IF(ISNA(VLOOKUP(F243,Monster!B:E,4,FALSE)),0,VLOOKUP(F243,Monster!B:E,4,FALSE))</f>
        <v>47</v>
      </c>
      <c r="H243" s="1">
        <v>1</v>
      </c>
      <c r="N243" s="1">
        <f t="shared" si="0"/>
        <v>232</v>
      </c>
    </row>
    <row r="244" spans="1:14" x14ac:dyDescent="0.2">
      <c r="A244" s="1">
        <v>233</v>
      </c>
      <c r="B244" s="1" t="s">
        <v>1131</v>
      </c>
      <c r="C244" s="1" t="s">
        <v>896</v>
      </c>
      <c r="D244" s="1" t="s">
        <v>117</v>
      </c>
      <c r="E244" s="1" t="s">
        <v>117</v>
      </c>
      <c r="F244" s="1" t="s">
        <v>316</v>
      </c>
      <c r="G244" s="1">
        <f>IF(ISNA(VLOOKUP(F244,Monster!B:E,4,FALSE)),0,VLOOKUP(F244,Monster!B:E,4,FALSE))</f>
        <v>47</v>
      </c>
      <c r="H244" s="1">
        <v>1</v>
      </c>
      <c r="N244" s="1">
        <f t="shared" si="0"/>
        <v>233</v>
      </c>
    </row>
    <row r="245" spans="1:14" x14ac:dyDescent="0.2">
      <c r="A245" s="1">
        <v>234</v>
      </c>
      <c r="B245" s="1" t="s">
        <v>1132</v>
      </c>
      <c r="C245" s="1" t="s">
        <v>896</v>
      </c>
      <c r="D245" s="1" t="s">
        <v>142</v>
      </c>
      <c r="E245" s="1" t="s">
        <v>142</v>
      </c>
      <c r="F245" s="1" t="s">
        <v>316</v>
      </c>
      <c r="G245" s="1">
        <f>IF(ISNA(VLOOKUP(F245,Monster!B:E,4,FALSE)),0,VLOOKUP(F245,Monster!B:E,4,FALSE))</f>
        <v>47</v>
      </c>
      <c r="H245" s="1">
        <v>1</v>
      </c>
      <c r="N245" s="1">
        <f t="shared" si="0"/>
        <v>234</v>
      </c>
    </row>
    <row r="246" spans="1:14" x14ac:dyDescent="0.2">
      <c r="A246" s="1">
        <v>235</v>
      </c>
      <c r="B246" s="1" t="s">
        <v>1134</v>
      </c>
      <c r="C246" s="1" t="s">
        <v>896</v>
      </c>
      <c r="D246" s="1" t="s">
        <v>185</v>
      </c>
      <c r="E246" s="1" t="s">
        <v>185</v>
      </c>
      <c r="F246" s="1" t="s">
        <v>316</v>
      </c>
      <c r="G246" s="1">
        <f>IF(ISNA(VLOOKUP(F246,Monster!B:E,4,FALSE)),0,VLOOKUP(F246,Monster!B:E,4,FALSE))</f>
        <v>47</v>
      </c>
      <c r="H246" s="1">
        <v>1</v>
      </c>
      <c r="N246" s="1">
        <f t="shared" si="0"/>
        <v>235</v>
      </c>
    </row>
    <row r="247" spans="1:14" x14ac:dyDescent="0.2">
      <c r="A247" s="1">
        <v>236</v>
      </c>
      <c r="B247" s="1" t="s">
        <v>1136</v>
      </c>
      <c r="C247" s="1" t="s">
        <v>900</v>
      </c>
      <c r="D247" s="1" t="s">
        <v>36</v>
      </c>
      <c r="E247" s="1" t="s">
        <v>36</v>
      </c>
      <c r="F247" s="1" t="s">
        <v>320</v>
      </c>
      <c r="G247" s="1">
        <f>IF(ISNA(VLOOKUP(F247,Monster!B:E,4,FALSE)),0,VLOOKUP(F247,Monster!B:E,4,FALSE))</f>
        <v>48</v>
      </c>
      <c r="H247" s="1">
        <v>1</v>
      </c>
      <c r="N247" s="1">
        <f t="shared" si="0"/>
        <v>236</v>
      </c>
    </row>
    <row r="248" spans="1:14" x14ac:dyDescent="0.2">
      <c r="A248" s="1">
        <v>237</v>
      </c>
      <c r="B248" s="1" t="s">
        <v>1138</v>
      </c>
      <c r="C248" s="1" t="s">
        <v>900</v>
      </c>
      <c r="D248" s="1" t="s">
        <v>92</v>
      </c>
      <c r="E248" s="1" t="s">
        <v>92</v>
      </c>
      <c r="F248" s="1" t="s">
        <v>320</v>
      </c>
      <c r="G248" s="1">
        <f>IF(ISNA(VLOOKUP(F248,Monster!B:E,4,FALSE)),0,VLOOKUP(F248,Monster!B:E,4,FALSE))</f>
        <v>48</v>
      </c>
      <c r="H248" s="1">
        <v>1</v>
      </c>
      <c r="N248" s="1">
        <f t="shared" si="0"/>
        <v>237</v>
      </c>
    </row>
    <row r="249" spans="1:14" x14ac:dyDescent="0.2">
      <c r="A249" s="1">
        <v>238</v>
      </c>
      <c r="B249" s="1" t="s">
        <v>1140</v>
      </c>
      <c r="C249" s="1" t="s">
        <v>900</v>
      </c>
      <c r="D249" s="1" t="s">
        <v>117</v>
      </c>
      <c r="E249" s="1" t="s">
        <v>117</v>
      </c>
      <c r="F249" s="1" t="s">
        <v>320</v>
      </c>
      <c r="G249" s="1">
        <f>IF(ISNA(VLOOKUP(F249,Monster!B:E,4,FALSE)),0,VLOOKUP(F249,Monster!B:E,4,FALSE))</f>
        <v>48</v>
      </c>
      <c r="H249" s="1">
        <v>1</v>
      </c>
      <c r="N249" s="1">
        <f t="shared" si="0"/>
        <v>238</v>
      </c>
    </row>
    <row r="250" spans="1:14" x14ac:dyDescent="0.2">
      <c r="A250" s="1">
        <v>239</v>
      </c>
      <c r="B250" s="1" t="s">
        <v>1142</v>
      </c>
      <c r="C250" s="1" t="s">
        <v>900</v>
      </c>
      <c r="D250" s="1" t="s">
        <v>142</v>
      </c>
      <c r="E250" s="1" t="s">
        <v>142</v>
      </c>
      <c r="F250" s="1" t="s">
        <v>320</v>
      </c>
      <c r="G250" s="1">
        <f>IF(ISNA(VLOOKUP(F250,Monster!B:E,4,FALSE)),0,VLOOKUP(F250,Monster!B:E,4,FALSE))</f>
        <v>48</v>
      </c>
      <c r="H250" s="1">
        <v>1</v>
      </c>
      <c r="N250" s="1">
        <f t="shared" si="0"/>
        <v>239</v>
      </c>
    </row>
    <row r="251" spans="1:14" x14ac:dyDescent="0.2">
      <c r="A251" s="1">
        <v>240</v>
      </c>
      <c r="B251" s="1" t="s">
        <v>1144</v>
      </c>
      <c r="C251" s="1" t="s">
        <v>900</v>
      </c>
      <c r="D251" s="1" t="s">
        <v>185</v>
      </c>
      <c r="E251" s="1" t="s">
        <v>185</v>
      </c>
      <c r="F251" s="1" t="s">
        <v>320</v>
      </c>
      <c r="G251" s="1">
        <f>IF(ISNA(VLOOKUP(F251,Monster!B:E,4,FALSE)),0,VLOOKUP(F251,Monster!B:E,4,FALSE))</f>
        <v>48</v>
      </c>
      <c r="H251" s="1">
        <v>1</v>
      </c>
      <c r="N251" s="1">
        <f t="shared" si="0"/>
        <v>240</v>
      </c>
    </row>
    <row r="252" spans="1:14" x14ac:dyDescent="0.2">
      <c r="A252" s="1">
        <v>241</v>
      </c>
      <c r="B252" s="1" t="s">
        <v>1145</v>
      </c>
      <c r="C252" s="1" t="s">
        <v>904</v>
      </c>
      <c r="D252" s="1" t="s">
        <v>36</v>
      </c>
      <c r="E252" s="1" t="s">
        <v>1146</v>
      </c>
      <c r="F252" s="1" t="s">
        <v>328</v>
      </c>
      <c r="G252" s="1">
        <f>IF(ISNA(VLOOKUP(F252,Monster!B:E,4,FALSE)),0,VLOOKUP(F252,Monster!B:E,4,FALSE))</f>
        <v>49</v>
      </c>
      <c r="H252" s="1">
        <v>1</v>
      </c>
      <c r="I252" s="1" t="str">
        <f>VLOOKUP(G252,Monster!A:E,4,FALSE) &amp; " " &amp; E252</f>
        <v>Mizuha Cap</v>
      </c>
      <c r="J252" s="1" t="str">
        <f>VLOOKUP(G252,Monster!A:E,3,FALSE) &amp; " Set"</f>
        <v>Mizuha Set</v>
      </c>
    </row>
    <row r="253" spans="1:14" x14ac:dyDescent="0.2">
      <c r="A253" s="1">
        <v>242</v>
      </c>
      <c r="B253" s="1" t="s">
        <v>1149</v>
      </c>
      <c r="C253" s="1" t="s">
        <v>904</v>
      </c>
      <c r="D253" s="1" t="s">
        <v>92</v>
      </c>
      <c r="E253" s="1" t="s">
        <v>1150</v>
      </c>
      <c r="F253" s="1" t="s">
        <v>328</v>
      </c>
      <c r="G253" s="1">
        <f>IF(ISNA(VLOOKUP(F253,Monster!B:E,4,FALSE)),0,VLOOKUP(F253,Monster!B:E,4,FALSE))</f>
        <v>49</v>
      </c>
      <c r="H253" s="1">
        <v>1</v>
      </c>
      <c r="I253" s="1" t="str">
        <f>VLOOKUP(G253,Monster!A:E,4,FALSE) &amp; " " &amp; E253</f>
        <v>Mizuha Guards</v>
      </c>
      <c r="J253" s="1" t="str">
        <f>VLOOKUP(G253,Monster!A:E,3,FALSE) &amp; " Set"</f>
        <v>Mizuha Set</v>
      </c>
    </row>
    <row r="254" spans="1:14" x14ac:dyDescent="0.2">
      <c r="A254" s="1">
        <v>243</v>
      </c>
      <c r="B254" s="1" t="s">
        <v>1153</v>
      </c>
      <c r="C254" s="1" t="s">
        <v>904</v>
      </c>
      <c r="D254" s="1" t="s">
        <v>117</v>
      </c>
      <c r="E254" s="1" t="s">
        <v>1154</v>
      </c>
      <c r="F254" s="1" t="s">
        <v>328</v>
      </c>
      <c r="G254" s="1">
        <f>IF(ISNA(VLOOKUP(F254,Monster!B:E,4,FALSE)),0,VLOOKUP(F254,Monster!B:E,4,FALSE))</f>
        <v>49</v>
      </c>
      <c r="H254" s="1">
        <v>1</v>
      </c>
      <c r="I254" s="1" t="str">
        <f>VLOOKUP(G254,Monster!A:E,4,FALSE) &amp; " " &amp; E254</f>
        <v>Mizuha Sleeves</v>
      </c>
      <c r="J254" s="1" t="str">
        <f>VLOOKUP(G254,Monster!A:E,3,FALSE) &amp; " Set"</f>
        <v>Mizuha Set</v>
      </c>
    </row>
    <row r="255" spans="1:14" x14ac:dyDescent="0.2">
      <c r="A255" s="1">
        <v>244</v>
      </c>
      <c r="B255" s="1" t="s">
        <v>1156</v>
      </c>
      <c r="C255" s="1" t="s">
        <v>904</v>
      </c>
      <c r="D255" s="1" t="s">
        <v>142</v>
      </c>
      <c r="E255" s="1" t="s">
        <v>1157</v>
      </c>
      <c r="F255" s="1" t="s">
        <v>328</v>
      </c>
      <c r="G255" s="1">
        <f>IF(ISNA(VLOOKUP(F255,Monster!B:E,4,FALSE)),0,VLOOKUP(F255,Monster!B:E,4,FALSE))</f>
        <v>49</v>
      </c>
      <c r="H255" s="1">
        <v>1</v>
      </c>
      <c r="I255" s="1" t="str">
        <f>VLOOKUP(G255,Monster!A:E,4,FALSE) &amp; " " &amp; E255</f>
        <v>Mizuha Sash</v>
      </c>
      <c r="J255" s="1" t="str">
        <f>VLOOKUP(G255,Monster!A:E,3,FALSE) &amp; " Set"</f>
        <v>Mizuha Set</v>
      </c>
    </row>
    <row r="256" spans="1:14" x14ac:dyDescent="0.2">
      <c r="A256" s="1">
        <v>245</v>
      </c>
      <c r="B256" s="1" t="s">
        <v>1161</v>
      </c>
      <c r="C256" s="1" t="s">
        <v>904</v>
      </c>
      <c r="D256" s="1" t="s">
        <v>185</v>
      </c>
      <c r="E256" s="1" t="s">
        <v>1162</v>
      </c>
      <c r="F256" s="1" t="s">
        <v>328</v>
      </c>
      <c r="G256" s="1">
        <f>IF(ISNA(VLOOKUP(F256,Monster!B:E,4,FALSE)),0,VLOOKUP(F256,Monster!B:E,4,FALSE))</f>
        <v>49</v>
      </c>
      <c r="H256" s="1">
        <v>1</v>
      </c>
      <c r="I256" s="1" t="str">
        <f>VLOOKUP(G256,Monster!A:E,4,FALSE) &amp; " " &amp; E256</f>
        <v>Mizuha Gaiters</v>
      </c>
      <c r="J256" s="1" t="str">
        <f>VLOOKUP(G256,Monster!A:E,3,FALSE) &amp; " Set"</f>
        <v>Mizuha Set</v>
      </c>
    </row>
    <row r="257" spans="1:10" x14ac:dyDescent="0.2">
      <c r="A257" s="1">
        <v>246</v>
      </c>
      <c r="B257" s="1" t="s">
        <v>1164</v>
      </c>
      <c r="C257" s="1" t="s">
        <v>908</v>
      </c>
      <c r="D257" s="1" t="s">
        <v>36</v>
      </c>
      <c r="E257" s="1" t="s">
        <v>36</v>
      </c>
      <c r="F257" s="1" t="s">
        <v>334</v>
      </c>
      <c r="G257" s="1">
        <f>IF(ISNA(VLOOKUP(F257,Monster!B:E,4,FALSE)),0,VLOOKUP(F257,Monster!B:E,4,FALSE))</f>
        <v>50</v>
      </c>
      <c r="H257" s="1">
        <v>2</v>
      </c>
      <c r="I257" s="1" t="str">
        <f>VLOOKUP(G257,Monster!A:E,4,FALSE) &amp; " " &amp; E257</f>
        <v>Wroggi Helm</v>
      </c>
      <c r="J257" s="1" t="str">
        <f>VLOOKUP(G257,Monster!A:E,3,FALSE) &amp; " Set"</f>
        <v>Wroggi Set</v>
      </c>
    </row>
    <row r="258" spans="1:10" x14ac:dyDescent="0.2">
      <c r="A258" s="1">
        <v>247</v>
      </c>
      <c r="B258" s="1" t="s">
        <v>1167</v>
      </c>
      <c r="C258" s="1" t="s">
        <v>908</v>
      </c>
      <c r="D258" s="1" t="s">
        <v>92</v>
      </c>
      <c r="E258" s="1" t="s">
        <v>92</v>
      </c>
      <c r="F258" s="1" t="s">
        <v>334</v>
      </c>
      <c r="G258" s="1">
        <f>IF(ISNA(VLOOKUP(F258,Monster!B:E,4,FALSE)),0,VLOOKUP(F258,Monster!B:E,4,FALSE))</f>
        <v>50</v>
      </c>
      <c r="H258" s="1">
        <v>1</v>
      </c>
      <c r="I258" s="1" t="str">
        <f>VLOOKUP(G258,Monster!A:E,4,FALSE) &amp; " " &amp; E258</f>
        <v>Wroggi Mail</v>
      </c>
      <c r="J258" s="1" t="str">
        <f>VLOOKUP(G258,Monster!A:E,3,FALSE) &amp; " Set"</f>
        <v>Wroggi Set</v>
      </c>
    </row>
    <row r="259" spans="1:10" x14ac:dyDescent="0.2">
      <c r="A259" s="1">
        <v>248</v>
      </c>
      <c r="B259" s="1" t="s">
        <v>1168</v>
      </c>
      <c r="C259" s="1" t="s">
        <v>908</v>
      </c>
      <c r="D259" s="1" t="s">
        <v>117</v>
      </c>
      <c r="E259" s="1" t="s">
        <v>117</v>
      </c>
      <c r="F259" s="1" t="s">
        <v>334</v>
      </c>
      <c r="G259" s="1">
        <f>IF(ISNA(VLOOKUP(F259,Monster!B:E,4,FALSE)),0,VLOOKUP(F259,Monster!B:E,4,FALSE))</f>
        <v>50</v>
      </c>
      <c r="H259" s="1">
        <v>1</v>
      </c>
      <c r="I259" s="1" t="str">
        <f>VLOOKUP(G259,Monster!A:E,4,FALSE) &amp; " " &amp; E259</f>
        <v>Wroggi Vambraces</v>
      </c>
      <c r="J259" s="1" t="str">
        <f>VLOOKUP(G259,Monster!A:E,3,FALSE) &amp; " Set"</f>
        <v>Wroggi Set</v>
      </c>
    </row>
    <row r="260" spans="1:10" x14ac:dyDescent="0.2">
      <c r="A260" s="1">
        <v>249</v>
      </c>
      <c r="B260" s="1" t="s">
        <v>1171</v>
      </c>
      <c r="C260" s="1" t="s">
        <v>908</v>
      </c>
      <c r="D260" s="1" t="s">
        <v>142</v>
      </c>
      <c r="E260" s="1" t="s">
        <v>142</v>
      </c>
      <c r="F260" s="1" t="s">
        <v>334</v>
      </c>
      <c r="G260" s="1">
        <f>IF(ISNA(VLOOKUP(F260,Monster!B:E,4,FALSE)),0,VLOOKUP(F260,Monster!B:E,4,FALSE))</f>
        <v>50</v>
      </c>
      <c r="H260" s="1">
        <v>2</v>
      </c>
      <c r="I260" s="1" t="str">
        <f>VLOOKUP(G260,Monster!A:E,4,FALSE) &amp; " " &amp; E260</f>
        <v>Wroggi Coil</v>
      </c>
      <c r="J260" s="1" t="str">
        <f>VLOOKUP(G260,Monster!A:E,3,FALSE) &amp; " Set"</f>
        <v>Wroggi Set</v>
      </c>
    </row>
    <row r="261" spans="1:10" x14ac:dyDescent="0.2">
      <c r="A261" s="1">
        <v>250</v>
      </c>
      <c r="B261" s="1" t="s">
        <v>1173</v>
      </c>
      <c r="C261" s="1" t="s">
        <v>908</v>
      </c>
      <c r="D261" s="1" t="s">
        <v>185</v>
      </c>
      <c r="E261" s="1" t="s">
        <v>185</v>
      </c>
      <c r="F261" s="1" t="s">
        <v>334</v>
      </c>
      <c r="G261" s="1">
        <f>IF(ISNA(VLOOKUP(F261,Monster!B:E,4,FALSE)),0,VLOOKUP(F261,Monster!B:E,4,FALSE))</f>
        <v>50</v>
      </c>
      <c r="H261" s="1">
        <v>1</v>
      </c>
      <c r="I261" s="1" t="str">
        <f>VLOOKUP(G261,Monster!A:E,4,FALSE) &amp; " " &amp; E261</f>
        <v>Wroggi Greaves</v>
      </c>
      <c r="J261" s="1" t="str">
        <f>VLOOKUP(G261,Monster!A:E,3,FALSE) &amp; " Set"</f>
        <v>Wroggi Set</v>
      </c>
    </row>
    <row r="262" spans="1:10" x14ac:dyDescent="0.2">
      <c r="A262" s="1">
        <v>251</v>
      </c>
      <c r="B262" s="1" t="s">
        <v>1175</v>
      </c>
      <c r="C262" s="1" t="s">
        <v>913</v>
      </c>
      <c r="D262" s="1" t="s">
        <v>36</v>
      </c>
      <c r="E262" s="1" t="s">
        <v>36</v>
      </c>
      <c r="F262" s="1" t="s">
        <v>339</v>
      </c>
      <c r="G262" s="1">
        <f>IF(ISNA(VLOOKUP(F262,Monster!B:E,4,FALSE)),0,VLOOKUP(F262,Monster!B:E,4,FALSE))</f>
        <v>51</v>
      </c>
      <c r="H262" s="1">
        <v>1</v>
      </c>
      <c r="I262" s="1" t="str">
        <f>VLOOKUP(G262,Monster!A:E,4,FALSE) &amp; " " &amp; E262</f>
        <v>Bishaten Helm</v>
      </c>
      <c r="J262" s="1" t="str">
        <f>VLOOKUP(G262,Monster!A:E,3,FALSE) &amp; " Set"</f>
        <v>Bishaten Set</v>
      </c>
    </row>
    <row r="263" spans="1:10" x14ac:dyDescent="0.2">
      <c r="A263" s="1">
        <v>252</v>
      </c>
      <c r="B263" s="1" t="s">
        <v>1179</v>
      </c>
      <c r="C263" s="1" t="s">
        <v>913</v>
      </c>
      <c r="D263" s="1" t="s">
        <v>92</v>
      </c>
      <c r="E263" s="1" t="s">
        <v>92</v>
      </c>
      <c r="F263" s="1" t="s">
        <v>339</v>
      </c>
      <c r="G263" s="1">
        <f>IF(ISNA(VLOOKUP(F263,Monster!B:E,4,FALSE)),0,VLOOKUP(F263,Monster!B:E,4,FALSE))</f>
        <v>51</v>
      </c>
      <c r="H263" s="1">
        <v>1</v>
      </c>
      <c r="I263" s="1" t="str">
        <f>VLOOKUP(G263,Monster!A:E,4,FALSE) &amp; " " &amp; E263</f>
        <v>Bishaten Mail</v>
      </c>
      <c r="J263" s="1" t="str">
        <f>VLOOKUP(G263,Monster!A:E,3,FALSE) &amp; " Set"</f>
        <v>Bishaten Set</v>
      </c>
    </row>
    <row r="264" spans="1:10" x14ac:dyDescent="0.2">
      <c r="A264" s="1">
        <v>253</v>
      </c>
      <c r="B264" s="1" t="s">
        <v>1182</v>
      </c>
      <c r="C264" s="1" t="s">
        <v>913</v>
      </c>
      <c r="D264" s="1" t="s">
        <v>117</v>
      </c>
      <c r="E264" s="1" t="s">
        <v>117</v>
      </c>
      <c r="F264" s="1" t="s">
        <v>339</v>
      </c>
      <c r="G264" s="1">
        <f>IF(ISNA(VLOOKUP(F264,Monster!B:E,4,FALSE)),0,VLOOKUP(F264,Monster!B:E,4,FALSE))</f>
        <v>51</v>
      </c>
      <c r="H264" s="1">
        <v>1</v>
      </c>
      <c r="I264" s="1" t="str">
        <f>VLOOKUP(G264,Monster!A:E,4,FALSE) &amp; " " &amp; E264</f>
        <v>Bishaten Vambraces</v>
      </c>
      <c r="J264" s="1" t="str">
        <f>VLOOKUP(G264,Monster!A:E,3,FALSE) &amp; " Set"</f>
        <v>Bishaten Set</v>
      </c>
    </row>
    <row r="265" spans="1:10" x14ac:dyDescent="0.2">
      <c r="A265" s="1">
        <v>254</v>
      </c>
      <c r="B265" s="1" t="s">
        <v>1183</v>
      </c>
      <c r="C265" s="1" t="s">
        <v>913</v>
      </c>
      <c r="D265" s="1" t="s">
        <v>142</v>
      </c>
      <c r="E265" s="1" t="s">
        <v>142</v>
      </c>
      <c r="F265" s="1" t="s">
        <v>339</v>
      </c>
      <c r="G265" s="1">
        <f>IF(ISNA(VLOOKUP(F265,Monster!B:E,4,FALSE)),0,VLOOKUP(F265,Monster!B:E,4,FALSE))</f>
        <v>51</v>
      </c>
      <c r="H265" s="1">
        <v>1</v>
      </c>
      <c r="I265" s="1" t="str">
        <f>VLOOKUP(G265,Monster!A:E,4,FALSE) &amp; " " &amp; E265</f>
        <v>Bishaten Coil</v>
      </c>
      <c r="J265" s="1" t="str">
        <f>VLOOKUP(G265,Monster!A:E,3,FALSE) &amp; " Set"</f>
        <v>Bishaten Set</v>
      </c>
    </row>
    <row r="266" spans="1:10" x14ac:dyDescent="0.2">
      <c r="A266" s="1">
        <v>255</v>
      </c>
      <c r="B266" s="1" t="s">
        <v>1186</v>
      </c>
      <c r="C266" s="1" t="s">
        <v>913</v>
      </c>
      <c r="D266" s="1" t="s">
        <v>185</v>
      </c>
      <c r="E266" s="1" t="s">
        <v>185</v>
      </c>
      <c r="F266" s="1" t="s">
        <v>339</v>
      </c>
      <c r="G266" s="1">
        <f>IF(ISNA(VLOOKUP(F266,Monster!B:E,4,FALSE)),0,VLOOKUP(F266,Monster!B:E,4,FALSE))</f>
        <v>51</v>
      </c>
      <c r="H266" s="1">
        <v>1</v>
      </c>
      <c r="I266" s="1" t="str">
        <f>VLOOKUP(G266,Monster!A:E,4,FALSE) &amp; " " &amp; E266</f>
        <v>Bishaten Greaves</v>
      </c>
      <c r="J266" s="1" t="str">
        <f>VLOOKUP(G266,Monster!A:E,3,FALSE) &amp; " Set"</f>
        <v>Bishaten Set</v>
      </c>
    </row>
    <row r="267" spans="1:10" x14ac:dyDescent="0.2">
      <c r="A267" s="1">
        <v>256</v>
      </c>
      <c r="B267" s="1" t="s">
        <v>1190</v>
      </c>
      <c r="C267" s="1" t="s">
        <v>917</v>
      </c>
      <c r="D267" s="1" t="s">
        <v>36</v>
      </c>
      <c r="E267" s="1" t="s">
        <v>36</v>
      </c>
      <c r="F267" s="1" t="s">
        <v>343</v>
      </c>
      <c r="G267" s="1">
        <f>IF(ISNA(VLOOKUP(F267,Monster!B:E,4,FALSE)),0,VLOOKUP(F267,Monster!B:E,4,FALSE))</f>
        <v>52</v>
      </c>
      <c r="H267" s="1">
        <v>1</v>
      </c>
      <c r="I267" s="1" t="str">
        <f>VLOOKUP(G267,Monster!A:E,4,FALSE) &amp; " " &amp; E267</f>
        <v>Beotodus Helm</v>
      </c>
      <c r="J267" s="1" t="str">
        <f>VLOOKUP(G267,Monster!A:E,3,FALSE) &amp; " Set"</f>
        <v>Beotodus Set</v>
      </c>
    </row>
    <row r="268" spans="1:10" x14ac:dyDescent="0.2">
      <c r="A268" s="1">
        <v>257</v>
      </c>
      <c r="B268" s="1" t="s">
        <v>1193</v>
      </c>
      <c r="C268" s="1" t="s">
        <v>917</v>
      </c>
      <c r="D268" s="1" t="s">
        <v>92</v>
      </c>
      <c r="E268" s="1" t="s">
        <v>92</v>
      </c>
      <c r="F268" s="1" t="s">
        <v>343</v>
      </c>
      <c r="G268" s="1">
        <f>IF(ISNA(VLOOKUP(F268,Monster!B:E,4,FALSE)),0,VLOOKUP(F268,Monster!B:E,4,FALSE))</f>
        <v>52</v>
      </c>
      <c r="H268" s="1">
        <v>1</v>
      </c>
      <c r="I268" s="1" t="str">
        <f>VLOOKUP(G268,Monster!A:E,4,FALSE) &amp; " " &amp; E268</f>
        <v>Beotodus Mail</v>
      </c>
      <c r="J268" s="1" t="str">
        <f>VLOOKUP(G268,Monster!A:E,3,FALSE) &amp; " Set"</f>
        <v>Beotodus Set</v>
      </c>
    </row>
    <row r="269" spans="1:10" x14ac:dyDescent="0.2">
      <c r="A269" s="1">
        <v>258</v>
      </c>
      <c r="B269" s="1" t="s">
        <v>1194</v>
      </c>
      <c r="C269" s="1" t="s">
        <v>917</v>
      </c>
      <c r="D269" s="1" t="s">
        <v>117</v>
      </c>
      <c r="E269" s="1" t="s">
        <v>117</v>
      </c>
      <c r="F269" s="1" t="s">
        <v>343</v>
      </c>
      <c r="G269" s="1">
        <f>IF(ISNA(VLOOKUP(F269,Monster!B:E,4,FALSE)),0,VLOOKUP(F269,Monster!B:E,4,FALSE))</f>
        <v>52</v>
      </c>
      <c r="H269" s="1">
        <v>1</v>
      </c>
      <c r="I269" s="1" t="str">
        <f>VLOOKUP(G269,Monster!A:E,4,FALSE) &amp; " " &amp; E269</f>
        <v>Beotodus Vambraces</v>
      </c>
      <c r="J269" s="1" t="str">
        <f>VLOOKUP(G269,Monster!A:E,3,FALSE) &amp; " Set"</f>
        <v>Beotodus Set</v>
      </c>
    </row>
    <row r="270" spans="1:10" x14ac:dyDescent="0.2">
      <c r="A270" s="1">
        <v>259</v>
      </c>
      <c r="B270" s="1" t="s">
        <v>1195</v>
      </c>
      <c r="C270" s="1" t="s">
        <v>917</v>
      </c>
      <c r="D270" s="1" t="s">
        <v>142</v>
      </c>
      <c r="E270" s="1" t="s">
        <v>142</v>
      </c>
      <c r="F270" s="1" t="s">
        <v>343</v>
      </c>
      <c r="G270" s="1">
        <f>IF(ISNA(VLOOKUP(F270,Monster!B:E,4,FALSE)),0,VLOOKUP(F270,Monster!B:E,4,FALSE))</f>
        <v>52</v>
      </c>
      <c r="H270" s="1">
        <v>1</v>
      </c>
      <c r="I270" s="1" t="str">
        <f>VLOOKUP(G270,Monster!A:E,4,FALSE) &amp; " " &amp; E270</f>
        <v>Beotodus Coil</v>
      </c>
      <c r="J270" s="1" t="str">
        <f>VLOOKUP(G270,Monster!A:E,3,FALSE) &amp; " Set"</f>
        <v>Beotodus Set</v>
      </c>
    </row>
    <row r="271" spans="1:10" x14ac:dyDescent="0.2">
      <c r="A271" s="1">
        <v>260</v>
      </c>
      <c r="B271" s="1" t="s">
        <v>1198</v>
      </c>
      <c r="C271" s="1" t="s">
        <v>917</v>
      </c>
      <c r="D271" s="1" t="s">
        <v>185</v>
      </c>
      <c r="E271" s="1" t="s">
        <v>185</v>
      </c>
      <c r="F271" s="1" t="s">
        <v>343</v>
      </c>
      <c r="G271" s="1">
        <f>IF(ISNA(VLOOKUP(F271,Monster!B:E,4,FALSE)),0,VLOOKUP(F271,Monster!B:E,4,FALSE))</f>
        <v>52</v>
      </c>
      <c r="H271" s="1">
        <v>1</v>
      </c>
      <c r="I271" s="1" t="str">
        <f>VLOOKUP(G271,Monster!A:E,4,FALSE) &amp; " " &amp; E271</f>
        <v>Beotodus Greaves</v>
      </c>
      <c r="J271" s="1" t="str">
        <f>VLOOKUP(G271,Monster!A:E,3,FALSE) &amp; " Set"</f>
        <v>Beotodus Set</v>
      </c>
    </row>
    <row r="272" spans="1:10" x14ac:dyDescent="0.2">
      <c r="A272" s="1">
        <v>261</v>
      </c>
      <c r="B272" s="1" t="s">
        <v>1199</v>
      </c>
      <c r="C272" s="1" t="s">
        <v>922</v>
      </c>
      <c r="D272" s="1" t="s">
        <v>36</v>
      </c>
      <c r="E272" s="1" t="s">
        <v>36</v>
      </c>
      <c r="F272" s="1" t="s">
        <v>349</v>
      </c>
      <c r="G272" s="1">
        <f>IF(ISNA(VLOOKUP(F272,Monster!B:E,4,FALSE)),0,VLOOKUP(F272,Monster!B:E,4,FALSE))</f>
        <v>53</v>
      </c>
      <c r="H272" s="1">
        <v>1</v>
      </c>
      <c r="I272" s="1" t="str">
        <f>VLOOKUP(G272,Monster!A:E,4,FALSE) &amp; " " &amp; E272</f>
        <v>Nargacuga Helm</v>
      </c>
      <c r="J272" s="1" t="str">
        <f>VLOOKUP(G272,Monster!A:E,3,FALSE) &amp; " Set"</f>
        <v>Nargacuga Set</v>
      </c>
    </row>
    <row r="273" spans="1:10" x14ac:dyDescent="0.2">
      <c r="A273" s="1">
        <v>262</v>
      </c>
      <c r="B273" s="1" t="s">
        <v>1200</v>
      </c>
      <c r="C273" s="1" t="s">
        <v>922</v>
      </c>
      <c r="D273" s="1" t="s">
        <v>92</v>
      </c>
      <c r="E273" s="1" t="s">
        <v>92</v>
      </c>
      <c r="F273" s="1" t="s">
        <v>349</v>
      </c>
      <c r="G273" s="1">
        <f>IF(ISNA(VLOOKUP(F273,Monster!B:E,4,FALSE)),0,VLOOKUP(F273,Monster!B:E,4,FALSE))</f>
        <v>53</v>
      </c>
      <c r="H273" s="1">
        <v>1</v>
      </c>
      <c r="I273" s="1" t="str">
        <f>VLOOKUP(G273,Monster!A:E,4,FALSE) &amp; " " &amp; E273</f>
        <v>Nargacuga Mail</v>
      </c>
      <c r="J273" s="1" t="str">
        <f>VLOOKUP(G273,Monster!A:E,3,FALSE) &amp; " Set"</f>
        <v>Nargacuga Set</v>
      </c>
    </row>
    <row r="274" spans="1:10" x14ac:dyDescent="0.2">
      <c r="A274" s="1">
        <v>263</v>
      </c>
      <c r="B274" s="1" t="s">
        <v>1203</v>
      </c>
      <c r="C274" s="1" t="s">
        <v>922</v>
      </c>
      <c r="D274" s="1" t="s">
        <v>117</v>
      </c>
      <c r="E274" s="1" t="s">
        <v>117</v>
      </c>
      <c r="F274" s="1" t="s">
        <v>349</v>
      </c>
      <c r="G274" s="1">
        <f>IF(ISNA(VLOOKUP(F274,Monster!B:E,4,FALSE)),0,VLOOKUP(F274,Monster!B:E,4,FALSE))</f>
        <v>53</v>
      </c>
      <c r="H274" s="1">
        <v>1</v>
      </c>
      <c r="I274" s="1" t="str">
        <f>VLOOKUP(G274,Monster!A:E,4,FALSE) &amp; " " &amp; E274</f>
        <v>Nargacuga Vambraces</v>
      </c>
      <c r="J274" s="1" t="str">
        <f>VLOOKUP(G274,Monster!A:E,3,FALSE) &amp; " Set"</f>
        <v>Nargacuga Set</v>
      </c>
    </row>
    <row r="275" spans="1:10" x14ac:dyDescent="0.2">
      <c r="A275" s="1">
        <v>264</v>
      </c>
      <c r="B275" s="1" t="s">
        <v>1206</v>
      </c>
      <c r="C275" s="1" t="s">
        <v>922</v>
      </c>
      <c r="D275" s="1" t="s">
        <v>142</v>
      </c>
      <c r="E275" s="1" t="s">
        <v>919</v>
      </c>
      <c r="F275" s="1" t="s">
        <v>349</v>
      </c>
      <c r="G275" s="1">
        <f>IF(ISNA(VLOOKUP(F275,Monster!B:E,4,FALSE)),0,VLOOKUP(F275,Monster!B:E,4,FALSE))</f>
        <v>53</v>
      </c>
      <c r="H275" s="1">
        <v>1</v>
      </c>
      <c r="I275" s="1" t="str">
        <f>VLOOKUP(G275,Monster!A:E,4,FALSE) &amp; " " &amp; E275</f>
        <v>Nargacuga Faulds</v>
      </c>
      <c r="J275" s="1" t="str">
        <f>VLOOKUP(G275,Monster!A:E,3,FALSE) &amp; " Set"</f>
        <v>Nargacuga Set</v>
      </c>
    </row>
    <row r="276" spans="1:10" x14ac:dyDescent="0.2">
      <c r="A276" s="1">
        <v>265</v>
      </c>
      <c r="B276" s="1" t="s">
        <v>1209</v>
      </c>
      <c r="C276" s="1" t="s">
        <v>922</v>
      </c>
      <c r="D276" s="1" t="s">
        <v>185</v>
      </c>
      <c r="E276" s="1" t="s">
        <v>185</v>
      </c>
      <c r="F276" s="1" t="s">
        <v>349</v>
      </c>
      <c r="G276" s="1">
        <f>IF(ISNA(VLOOKUP(F276,Monster!B:E,4,FALSE)),0,VLOOKUP(F276,Monster!B:E,4,FALSE))</f>
        <v>53</v>
      </c>
      <c r="H276" s="1">
        <v>1</v>
      </c>
      <c r="I276" s="1" t="str">
        <f>VLOOKUP(G276,Monster!A:E,4,FALSE) &amp; " " &amp; E276</f>
        <v>Nargacuga Greaves</v>
      </c>
      <c r="J276" s="1" t="str">
        <f>VLOOKUP(G276,Monster!A:E,3,FALSE) &amp; " Set"</f>
        <v>Nargacuga Set</v>
      </c>
    </row>
    <row r="277" spans="1:10" x14ac:dyDescent="0.2">
      <c r="A277" s="1">
        <v>266</v>
      </c>
      <c r="B277" s="1" t="s">
        <v>1212</v>
      </c>
      <c r="C277" s="1" t="s">
        <v>926</v>
      </c>
      <c r="D277" s="1" t="s">
        <v>36</v>
      </c>
      <c r="E277" s="1" t="s">
        <v>1213</v>
      </c>
      <c r="F277" s="1" t="s">
        <v>354</v>
      </c>
      <c r="G277" s="1">
        <f>IF(ISNA(VLOOKUP(F277,Monster!B:E,4,FALSE)),0,VLOOKUP(F277,Monster!B:E,4,FALSE))</f>
        <v>54</v>
      </c>
      <c r="H277" s="1">
        <v>1</v>
      </c>
      <c r="I277" s="1" t="str">
        <f>VLOOKUP(G277,Monster!A:E,4,FALSE) &amp; " " &amp; E277</f>
        <v>Tentacle Cowl</v>
      </c>
      <c r="J277" s="1" t="str">
        <f>VLOOKUP(G277,Monster!A:E,3,FALSE) &amp; " Set"</f>
        <v>Tentacle Set</v>
      </c>
    </row>
    <row r="278" spans="1:10" x14ac:dyDescent="0.2">
      <c r="A278" s="1">
        <v>267</v>
      </c>
      <c r="B278" s="1" t="s">
        <v>1216</v>
      </c>
      <c r="C278" s="1" t="s">
        <v>926</v>
      </c>
      <c r="D278" s="1" t="s">
        <v>92</v>
      </c>
      <c r="E278" s="1" t="s">
        <v>1217</v>
      </c>
      <c r="F278" s="1" t="s">
        <v>354</v>
      </c>
      <c r="G278" s="1">
        <f>IF(ISNA(VLOOKUP(F278,Monster!B:E,4,FALSE)),0,VLOOKUP(F278,Monster!B:E,4,FALSE))</f>
        <v>54</v>
      </c>
      <c r="H278" s="1">
        <v>1</v>
      </c>
      <c r="I278" s="1" t="str">
        <f>VLOOKUP(G278,Monster!A:E,4,FALSE) &amp; " " &amp; E278</f>
        <v>Tentacle Cloak</v>
      </c>
      <c r="J278" s="1" t="str">
        <f>VLOOKUP(G278,Monster!A:E,3,FALSE) &amp; " Set"</f>
        <v>Tentacle Set</v>
      </c>
    </row>
    <row r="279" spans="1:10" x14ac:dyDescent="0.2">
      <c r="A279" s="1">
        <v>268</v>
      </c>
      <c r="B279" s="1" t="s">
        <v>1219</v>
      </c>
      <c r="C279" s="1" t="s">
        <v>926</v>
      </c>
      <c r="D279" s="1" t="s">
        <v>117</v>
      </c>
      <c r="E279" s="1" t="s">
        <v>118</v>
      </c>
      <c r="F279" s="1" t="s">
        <v>354</v>
      </c>
      <c r="G279" s="1">
        <f>IF(ISNA(VLOOKUP(F279,Monster!B:E,4,FALSE)),0,VLOOKUP(F279,Monster!B:E,4,FALSE))</f>
        <v>54</v>
      </c>
      <c r="H279" s="1">
        <v>1</v>
      </c>
      <c r="I279" s="1" t="str">
        <f>VLOOKUP(G279,Monster!A:E,4,FALSE) &amp; " " &amp; E279</f>
        <v>Tentacle Gloves</v>
      </c>
      <c r="J279" s="1" t="str">
        <f>VLOOKUP(G279,Monster!A:E,3,FALSE) &amp; " Set"</f>
        <v>Tentacle Set</v>
      </c>
    </row>
    <row r="280" spans="1:10" x14ac:dyDescent="0.2">
      <c r="A280" s="1">
        <v>269</v>
      </c>
      <c r="B280" s="1" t="s">
        <v>1220</v>
      </c>
      <c r="C280" s="1" t="s">
        <v>926</v>
      </c>
      <c r="D280" s="1" t="s">
        <v>142</v>
      </c>
      <c r="E280" s="1" t="s">
        <v>142</v>
      </c>
      <c r="F280" s="1" t="s">
        <v>354</v>
      </c>
      <c r="G280" s="1">
        <f>IF(ISNA(VLOOKUP(F280,Monster!B:E,4,FALSE)),0,VLOOKUP(F280,Monster!B:E,4,FALSE))</f>
        <v>54</v>
      </c>
      <c r="H280" s="1">
        <v>1</v>
      </c>
      <c r="I280" s="1" t="str">
        <f>VLOOKUP(G280,Monster!A:E,4,FALSE) &amp; " " &amp; E280</f>
        <v>Tentacle Coil</v>
      </c>
      <c r="J280" s="1" t="str">
        <f>VLOOKUP(G280,Monster!A:E,3,FALSE) &amp; " Set"</f>
        <v>Tentacle Set</v>
      </c>
    </row>
    <row r="281" spans="1:10" x14ac:dyDescent="0.2">
      <c r="A281" s="1">
        <v>270</v>
      </c>
      <c r="B281" s="1" t="s">
        <v>1223</v>
      </c>
      <c r="C281" s="1" t="s">
        <v>926</v>
      </c>
      <c r="D281" s="1" t="s">
        <v>185</v>
      </c>
      <c r="E281" s="1" t="s">
        <v>185</v>
      </c>
      <c r="F281" s="1" t="s">
        <v>354</v>
      </c>
      <c r="G281" s="1">
        <f>IF(ISNA(VLOOKUP(F281,Monster!B:E,4,FALSE)),0,VLOOKUP(F281,Monster!B:E,4,FALSE))</f>
        <v>54</v>
      </c>
      <c r="H281" s="1">
        <v>1</v>
      </c>
      <c r="I281" s="1" t="str">
        <f>VLOOKUP(G281,Monster!A:E,4,FALSE) &amp; " " &amp; E281</f>
        <v>Tentacle Greaves</v>
      </c>
      <c r="J281" s="1" t="str">
        <f>VLOOKUP(G281,Monster!A:E,3,FALSE) &amp; " Set"</f>
        <v>Tentacle Set</v>
      </c>
    </row>
    <row r="282" spans="1:10" x14ac:dyDescent="0.2">
      <c r="A282" s="1">
        <v>271</v>
      </c>
      <c r="B282" s="1" t="s">
        <v>1225</v>
      </c>
      <c r="C282" s="1" t="s">
        <v>930</v>
      </c>
      <c r="D282" s="1" t="s">
        <v>36</v>
      </c>
      <c r="E282" s="1" t="s">
        <v>36</v>
      </c>
      <c r="F282" s="1" t="s">
        <v>360</v>
      </c>
      <c r="G282" s="1">
        <f>IF(ISNA(VLOOKUP(F282,Monster!B:E,4,FALSE)),0,VLOOKUP(F282,Monster!B:E,4,FALSE))</f>
        <v>55</v>
      </c>
      <c r="H282" s="1">
        <v>1</v>
      </c>
      <c r="I282" s="1" t="str">
        <f>VLOOKUP(G282,Monster!A:E,4,FALSE) &amp; " " &amp; E282</f>
        <v>Golm Helm</v>
      </c>
      <c r="J282" s="1" t="str">
        <f>VLOOKUP(G282,Monster!A:E,3,FALSE) &amp; " Set"</f>
        <v>Garangolm Set</v>
      </c>
    </row>
    <row r="283" spans="1:10" x14ac:dyDescent="0.2">
      <c r="A283" s="1">
        <v>272</v>
      </c>
      <c r="B283" s="1" t="s">
        <v>1227</v>
      </c>
      <c r="C283" s="1" t="s">
        <v>930</v>
      </c>
      <c r="D283" s="1" t="s">
        <v>92</v>
      </c>
      <c r="E283" s="1" t="s">
        <v>92</v>
      </c>
      <c r="F283" s="1" t="s">
        <v>360</v>
      </c>
      <c r="G283" s="1">
        <f>IF(ISNA(VLOOKUP(F283,Monster!B:E,4,FALSE)),0,VLOOKUP(F283,Monster!B:E,4,FALSE))</f>
        <v>55</v>
      </c>
      <c r="H283" s="1">
        <v>2</v>
      </c>
      <c r="I283" s="1" t="str">
        <f>VLOOKUP(G283,Monster!A:E,4,FALSE) &amp; " " &amp; E283</f>
        <v>Golm Mail</v>
      </c>
      <c r="J283" s="1" t="str">
        <f>VLOOKUP(G283,Monster!A:E,3,FALSE) &amp; " Set"</f>
        <v>Garangolm Set</v>
      </c>
    </row>
    <row r="284" spans="1:10" x14ac:dyDescent="0.2">
      <c r="A284" s="1">
        <v>273</v>
      </c>
      <c r="B284" s="1" t="s">
        <v>1229</v>
      </c>
      <c r="C284" s="1" t="s">
        <v>930</v>
      </c>
      <c r="D284" s="1" t="s">
        <v>117</v>
      </c>
      <c r="E284" s="1" t="s">
        <v>117</v>
      </c>
      <c r="F284" s="1" t="s">
        <v>360</v>
      </c>
      <c r="G284" s="1">
        <f>IF(ISNA(VLOOKUP(F284,Monster!B:E,4,FALSE)),0,VLOOKUP(F284,Monster!B:E,4,FALSE))</f>
        <v>55</v>
      </c>
      <c r="H284" s="1">
        <v>1</v>
      </c>
      <c r="I284" s="1" t="str">
        <f>VLOOKUP(G284,Monster!A:E,4,FALSE) &amp; " " &amp; E284</f>
        <v>Golm Vambraces</v>
      </c>
      <c r="J284" s="1" t="str">
        <f>VLOOKUP(G284,Monster!A:E,3,FALSE) &amp; " Set"</f>
        <v>Garangolm Set</v>
      </c>
    </row>
    <row r="285" spans="1:10" x14ac:dyDescent="0.2">
      <c r="A285" s="1">
        <v>274</v>
      </c>
      <c r="B285" s="1" t="s">
        <v>1232</v>
      </c>
      <c r="C285" s="1" t="s">
        <v>930</v>
      </c>
      <c r="D285" s="1" t="s">
        <v>142</v>
      </c>
      <c r="E285" s="1" t="s">
        <v>919</v>
      </c>
      <c r="F285" s="1" t="s">
        <v>360</v>
      </c>
      <c r="G285" s="1">
        <f>IF(ISNA(VLOOKUP(F285,Monster!B:E,4,FALSE)),0,VLOOKUP(F285,Monster!B:E,4,FALSE))</f>
        <v>55</v>
      </c>
      <c r="H285" s="1">
        <v>1</v>
      </c>
      <c r="I285" s="1" t="str">
        <f>VLOOKUP(G285,Monster!A:E,4,FALSE) &amp; " " &amp; E285</f>
        <v>Golm Faulds</v>
      </c>
      <c r="J285" s="1" t="str">
        <f>VLOOKUP(G285,Monster!A:E,3,FALSE) &amp; " Set"</f>
        <v>Garangolm Set</v>
      </c>
    </row>
    <row r="286" spans="1:10" x14ac:dyDescent="0.2">
      <c r="A286" s="1">
        <v>275</v>
      </c>
      <c r="B286" s="1" t="s">
        <v>1236</v>
      </c>
      <c r="C286" s="1" t="s">
        <v>930</v>
      </c>
      <c r="D286" s="1" t="s">
        <v>185</v>
      </c>
      <c r="E286" s="1" t="s">
        <v>185</v>
      </c>
      <c r="F286" s="1" t="s">
        <v>360</v>
      </c>
      <c r="G286" s="1">
        <f>IF(ISNA(VLOOKUP(F286,Monster!B:E,4,FALSE)),0,VLOOKUP(F286,Monster!B:E,4,FALSE))</f>
        <v>55</v>
      </c>
      <c r="H286" s="1">
        <v>1</v>
      </c>
      <c r="I286" s="1" t="str">
        <f>VLOOKUP(G286,Monster!A:E,4,FALSE) &amp; " " &amp; E286</f>
        <v>Golm Greaves</v>
      </c>
      <c r="J286" s="1" t="str">
        <f>VLOOKUP(G286,Monster!A:E,3,FALSE) &amp; " Set"</f>
        <v>Garangolm Set</v>
      </c>
    </row>
    <row r="287" spans="1:10" x14ac:dyDescent="0.2">
      <c r="A287" s="1">
        <v>276</v>
      </c>
      <c r="B287" s="1" t="s">
        <v>1239</v>
      </c>
      <c r="C287" s="1" t="s">
        <v>934</v>
      </c>
      <c r="D287" s="1" t="s">
        <v>36</v>
      </c>
      <c r="E287" s="1" t="s">
        <v>36</v>
      </c>
      <c r="F287" s="1" t="s">
        <v>365</v>
      </c>
      <c r="G287" s="1">
        <f>IF(ISNA(VLOOKUP(F287,Monster!B:E,4,FALSE)),0,VLOOKUP(F287,Monster!B:E,4,FALSE))</f>
        <v>56</v>
      </c>
      <c r="H287" s="1">
        <v>1</v>
      </c>
      <c r="I287" s="1" t="str">
        <f>VLOOKUP(G287,Monster!A:E,4,FALSE) &amp; " " &amp; E287</f>
        <v>Lunagaron Helm</v>
      </c>
      <c r="J287" s="1" t="str">
        <f>VLOOKUP(G287,Monster!A:E,3,FALSE) &amp; " Set"</f>
        <v>Lunagaron Set</v>
      </c>
    </row>
    <row r="288" spans="1:10" x14ac:dyDescent="0.2">
      <c r="A288" s="1">
        <v>277</v>
      </c>
      <c r="B288" s="1" t="s">
        <v>1242</v>
      </c>
      <c r="C288" s="1" t="s">
        <v>934</v>
      </c>
      <c r="D288" s="1" t="s">
        <v>92</v>
      </c>
      <c r="E288" s="1" t="s">
        <v>92</v>
      </c>
      <c r="F288" s="1" t="s">
        <v>365</v>
      </c>
      <c r="G288" s="1">
        <f>IF(ISNA(VLOOKUP(F288,Monster!B:E,4,FALSE)),0,VLOOKUP(F288,Monster!B:E,4,FALSE))</f>
        <v>56</v>
      </c>
      <c r="H288" s="1">
        <v>1</v>
      </c>
      <c r="I288" s="1" t="str">
        <f>VLOOKUP(G288,Monster!A:E,4,FALSE) &amp; " " &amp; E288</f>
        <v>Lunagaron Mail</v>
      </c>
      <c r="J288" s="1" t="str">
        <f>VLOOKUP(G288,Monster!A:E,3,FALSE) &amp; " Set"</f>
        <v>Lunagaron Set</v>
      </c>
    </row>
    <row r="289" spans="1:14" x14ac:dyDescent="0.2">
      <c r="A289" s="1">
        <v>278</v>
      </c>
      <c r="B289" s="1" t="s">
        <v>1245</v>
      </c>
      <c r="C289" s="1" t="s">
        <v>934</v>
      </c>
      <c r="D289" s="1" t="s">
        <v>117</v>
      </c>
      <c r="E289" s="1" t="s">
        <v>117</v>
      </c>
      <c r="F289" s="1" t="s">
        <v>365</v>
      </c>
      <c r="G289" s="1">
        <f>IF(ISNA(VLOOKUP(F289,Monster!B:E,4,FALSE)),0,VLOOKUP(F289,Monster!B:E,4,FALSE))</f>
        <v>56</v>
      </c>
      <c r="H289" s="1">
        <v>1</v>
      </c>
      <c r="I289" s="1" t="str">
        <f>VLOOKUP(G289,Monster!A:E,4,FALSE) &amp; " " &amp; E289</f>
        <v>Lunagaron Vambraces</v>
      </c>
      <c r="J289" s="1" t="str">
        <f>VLOOKUP(G289,Monster!A:E,3,FALSE) &amp; " Set"</f>
        <v>Lunagaron Set</v>
      </c>
    </row>
    <row r="290" spans="1:14" x14ac:dyDescent="0.2">
      <c r="A290" s="1">
        <v>279</v>
      </c>
      <c r="B290" s="1" t="s">
        <v>1246</v>
      </c>
      <c r="C290" s="1" t="s">
        <v>934</v>
      </c>
      <c r="D290" s="1" t="s">
        <v>142</v>
      </c>
      <c r="E290" s="1" t="s">
        <v>142</v>
      </c>
      <c r="F290" s="1" t="s">
        <v>365</v>
      </c>
      <c r="G290" s="1">
        <f>IF(ISNA(VLOOKUP(F290,Monster!B:E,4,FALSE)),0,VLOOKUP(F290,Monster!B:E,4,FALSE))</f>
        <v>56</v>
      </c>
      <c r="H290" s="1">
        <v>1</v>
      </c>
      <c r="I290" s="1" t="str">
        <f>VLOOKUP(G290,Monster!A:E,4,FALSE) &amp; " " &amp; E290</f>
        <v>Lunagaron Coil</v>
      </c>
      <c r="J290" s="1" t="str">
        <f>VLOOKUP(G290,Monster!A:E,3,FALSE) &amp; " Set"</f>
        <v>Lunagaron Set</v>
      </c>
    </row>
    <row r="291" spans="1:14" x14ac:dyDescent="0.2">
      <c r="A291" s="1">
        <v>280</v>
      </c>
      <c r="B291" s="1" t="s">
        <v>1249</v>
      </c>
      <c r="C291" s="1" t="s">
        <v>934</v>
      </c>
      <c r="D291" s="1" t="s">
        <v>185</v>
      </c>
      <c r="E291" s="1" t="s">
        <v>185</v>
      </c>
      <c r="F291" s="1" t="s">
        <v>365</v>
      </c>
      <c r="G291" s="1">
        <f>IF(ISNA(VLOOKUP(F291,Monster!B:E,4,FALSE)),0,VLOOKUP(F291,Monster!B:E,4,FALSE))</f>
        <v>56</v>
      </c>
      <c r="H291" s="1">
        <v>1</v>
      </c>
      <c r="I291" s="1" t="str">
        <f>VLOOKUP(G291,Monster!A:E,4,FALSE) &amp; " " &amp; E291</f>
        <v>Lunagaron Greaves</v>
      </c>
      <c r="J291" s="1" t="str">
        <f>VLOOKUP(G291,Monster!A:E,3,FALSE) &amp; " Set"</f>
        <v>Lunagaron Set</v>
      </c>
    </row>
    <row r="292" spans="1:14" x14ac:dyDescent="0.2">
      <c r="A292" s="1">
        <v>281</v>
      </c>
      <c r="B292" s="1" t="s">
        <v>1253</v>
      </c>
      <c r="C292" s="1" t="s">
        <v>939</v>
      </c>
      <c r="D292" s="1" t="s">
        <v>36</v>
      </c>
      <c r="E292" s="1" t="s">
        <v>1254</v>
      </c>
      <c r="F292" s="1" t="s">
        <v>370</v>
      </c>
      <c r="G292" s="1">
        <f>IF(ISNA(VLOOKUP(F292,Monster!B:E,4,FALSE)),0,VLOOKUP(F292,Monster!B:E,4,FALSE))</f>
        <v>57</v>
      </c>
      <c r="H292" s="1">
        <v>1</v>
      </c>
      <c r="I292" s="1" t="str">
        <f>VLOOKUP(G292,Monster!A:E,4,FALSE) &amp; " " &amp; E292</f>
        <v>Espinas Brain</v>
      </c>
      <c r="J292" s="1" t="str">
        <f>VLOOKUP(G292,Monster!A:E,3,FALSE) &amp; " Set"</f>
        <v>Espinas Set</v>
      </c>
    </row>
    <row r="293" spans="1:14" x14ac:dyDescent="0.2">
      <c r="A293" s="1">
        <v>282</v>
      </c>
      <c r="B293" s="1" t="s">
        <v>1257</v>
      </c>
      <c r="C293" s="1" t="s">
        <v>939</v>
      </c>
      <c r="D293" s="1" t="s">
        <v>92</v>
      </c>
      <c r="E293" s="1" t="s">
        <v>1258</v>
      </c>
      <c r="F293" s="1" t="s">
        <v>370</v>
      </c>
      <c r="G293" s="1">
        <f>IF(ISNA(VLOOKUP(F293,Monster!B:E,4,FALSE)),0,VLOOKUP(F293,Monster!B:E,4,FALSE))</f>
        <v>57</v>
      </c>
      <c r="H293" s="1">
        <v>1</v>
      </c>
      <c r="I293" s="1" t="str">
        <f>VLOOKUP(G293,Monster!A:E,4,FALSE) &amp; " " &amp; E293</f>
        <v>Espinas Muscle</v>
      </c>
      <c r="J293" s="1" t="str">
        <f>VLOOKUP(G293,Monster!A:E,3,FALSE) &amp; " Set"</f>
        <v>Espinas Set</v>
      </c>
    </row>
    <row r="294" spans="1:14" x14ac:dyDescent="0.2">
      <c r="A294" s="1">
        <v>283</v>
      </c>
      <c r="B294" s="1" t="s">
        <v>1259</v>
      </c>
      <c r="C294" s="1" t="s">
        <v>939</v>
      </c>
      <c r="D294" s="1" t="s">
        <v>117</v>
      </c>
      <c r="E294" s="1" t="s">
        <v>117</v>
      </c>
      <c r="F294" s="1" t="s">
        <v>370</v>
      </c>
      <c r="G294" s="1">
        <f>IF(ISNA(VLOOKUP(F294,Monster!B:E,4,FALSE)),0,VLOOKUP(F294,Monster!B:E,4,FALSE))</f>
        <v>57</v>
      </c>
      <c r="H294" s="1">
        <v>1</v>
      </c>
      <c r="I294" s="1" t="str">
        <f>VLOOKUP(G294,Monster!A:E,4,FALSE) &amp; " " &amp; E294</f>
        <v>Espinas Vambraces</v>
      </c>
      <c r="J294" s="1" t="str">
        <f>VLOOKUP(G294,Monster!A:E,3,FALSE) &amp; " Set"</f>
        <v>Espinas Set</v>
      </c>
    </row>
    <row r="295" spans="1:14" x14ac:dyDescent="0.2">
      <c r="A295" s="1">
        <v>284</v>
      </c>
      <c r="B295" s="1" t="s">
        <v>1260</v>
      </c>
      <c r="C295" s="1" t="s">
        <v>939</v>
      </c>
      <c r="D295" s="1" t="s">
        <v>142</v>
      </c>
      <c r="E295" s="1" t="s">
        <v>1261</v>
      </c>
      <c r="F295" s="1" t="s">
        <v>370</v>
      </c>
      <c r="G295" s="1">
        <f>IF(ISNA(VLOOKUP(F295,Monster!B:E,4,FALSE)),0,VLOOKUP(F295,Monster!B:E,4,FALSE))</f>
        <v>57</v>
      </c>
      <c r="H295" s="1">
        <v>1</v>
      </c>
      <c r="I295" s="1" t="str">
        <f>VLOOKUP(G295,Monster!A:E,4,FALSE) &amp; " " &amp; E295</f>
        <v>Espinas Bowels</v>
      </c>
      <c r="J295" s="1" t="str">
        <f>VLOOKUP(G295,Monster!A:E,3,FALSE) &amp; " Set"</f>
        <v>Espinas Set</v>
      </c>
    </row>
    <row r="296" spans="1:14" x14ac:dyDescent="0.2">
      <c r="A296" s="1">
        <v>285</v>
      </c>
      <c r="B296" s="1" t="s">
        <v>1262</v>
      </c>
      <c r="C296" s="1" t="s">
        <v>939</v>
      </c>
      <c r="D296" s="1" t="s">
        <v>185</v>
      </c>
      <c r="E296" s="1" t="s">
        <v>1263</v>
      </c>
      <c r="F296" s="1" t="s">
        <v>370</v>
      </c>
      <c r="G296" s="1">
        <f>IF(ISNA(VLOOKUP(F296,Monster!B:E,4,FALSE)),0,VLOOKUP(F296,Monster!B:E,4,FALSE))</f>
        <v>57</v>
      </c>
      <c r="H296" s="1">
        <v>1</v>
      </c>
      <c r="I296" s="1" t="str">
        <f>VLOOKUP(G296,Monster!A:E,4,FALSE) &amp; " " &amp; E296</f>
        <v>Espinas Heel</v>
      </c>
      <c r="J296" s="1" t="str">
        <f>VLOOKUP(G296,Monster!A:E,3,FALSE) &amp; " Set"</f>
        <v>Espinas Set</v>
      </c>
    </row>
    <row r="297" spans="1:14" x14ac:dyDescent="0.2">
      <c r="A297" s="1">
        <v>286</v>
      </c>
      <c r="B297" s="1" t="s">
        <v>1265</v>
      </c>
      <c r="C297" s="1" t="s">
        <v>943</v>
      </c>
      <c r="D297" s="1" t="s">
        <v>36</v>
      </c>
      <c r="E297" s="1" t="s">
        <v>36</v>
      </c>
      <c r="F297" s="1" t="s">
        <v>374</v>
      </c>
      <c r="G297" s="1">
        <f>IF(ISNA(VLOOKUP(F297,Monster!B:E,4,FALSE)),0,VLOOKUP(F297,Monster!B:E,4,FALSE))</f>
        <v>58</v>
      </c>
      <c r="H297" s="1">
        <v>1</v>
      </c>
      <c r="I297" s="1" t="str">
        <f>VLOOKUP(G297,Monster!A:E,4,FALSE) &amp; " " &amp; E297</f>
        <v>Malzeno Helm</v>
      </c>
      <c r="J297" s="1" t="str">
        <f>VLOOKUP(G297,Monster!A:E,3,FALSE) &amp; " Set"</f>
        <v>Malzeno Set</v>
      </c>
    </row>
    <row r="298" spans="1:14" x14ac:dyDescent="0.2">
      <c r="A298" s="1">
        <v>287</v>
      </c>
      <c r="B298" s="1" t="s">
        <v>1267</v>
      </c>
      <c r="C298" s="1" t="s">
        <v>943</v>
      </c>
      <c r="D298" s="1" t="s">
        <v>92</v>
      </c>
      <c r="E298" s="1" t="s">
        <v>92</v>
      </c>
      <c r="F298" s="1" t="s">
        <v>374</v>
      </c>
      <c r="G298" s="1">
        <f>IF(ISNA(VLOOKUP(F298,Monster!B:E,4,FALSE)),0,VLOOKUP(F298,Monster!B:E,4,FALSE))</f>
        <v>58</v>
      </c>
      <c r="H298" s="1">
        <v>1</v>
      </c>
      <c r="I298" s="1" t="str">
        <f>VLOOKUP(G298,Monster!A:E,4,FALSE) &amp; " " &amp; E298</f>
        <v>Malzeno Mail</v>
      </c>
      <c r="J298" s="1" t="str">
        <f>VLOOKUP(G298,Monster!A:E,3,FALSE) &amp; " Set"</f>
        <v>Malzeno Set</v>
      </c>
    </row>
    <row r="299" spans="1:14" x14ac:dyDescent="0.2">
      <c r="A299" s="1">
        <v>288</v>
      </c>
      <c r="B299" s="1" t="s">
        <v>1268</v>
      </c>
      <c r="C299" s="1" t="s">
        <v>943</v>
      </c>
      <c r="D299" s="1" t="s">
        <v>117</v>
      </c>
      <c r="E299" s="1" t="s">
        <v>117</v>
      </c>
      <c r="F299" s="1" t="s">
        <v>374</v>
      </c>
      <c r="G299" s="1">
        <f>IF(ISNA(VLOOKUP(F299,Monster!B:E,4,FALSE)),0,VLOOKUP(F299,Monster!B:E,4,FALSE))</f>
        <v>58</v>
      </c>
      <c r="H299" s="1">
        <v>1</v>
      </c>
      <c r="I299" s="1" t="str">
        <f>VLOOKUP(G299,Monster!A:E,4,FALSE) &amp; " " &amp; E299</f>
        <v>Malzeno Vambraces</v>
      </c>
      <c r="J299" s="1" t="str">
        <f>VLOOKUP(G299,Monster!A:E,3,FALSE) &amp; " Set"</f>
        <v>Malzeno Set</v>
      </c>
    </row>
    <row r="300" spans="1:14" x14ac:dyDescent="0.2">
      <c r="A300" s="1">
        <v>289</v>
      </c>
      <c r="B300" s="1" t="s">
        <v>1270</v>
      </c>
      <c r="C300" s="1" t="s">
        <v>943</v>
      </c>
      <c r="D300" s="1" t="s">
        <v>142</v>
      </c>
      <c r="E300" s="1" t="s">
        <v>142</v>
      </c>
      <c r="F300" s="1" t="s">
        <v>374</v>
      </c>
      <c r="G300" s="1">
        <f>IF(ISNA(VLOOKUP(F300,Monster!B:E,4,FALSE)),0,VLOOKUP(F300,Monster!B:E,4,FALSE))</f>
        <v>58</v>
      </c>
      <c r="H300" s="1">
        <v>1</v>
      </c>
      <c r="I300" s="1" t="str">
        <f>VLOOKUP(G300,Monster!A:E,4,FALSE) &amp; " " &amp; E300</f>
        <v>Malzeno Coil</v>
      </c>
      <c r="J300" s="1" t="str">
        <f>VLOOKUP(G300,Monster!A:E,3,FALSE) &amp; " Set"</f>
        <v>Malzeno Set</v>
      </c>
    </row>
    <row r="301" spans="1:14" x14ac:dyDescent="0.2">
      <c r="A301" s="1">
        <v>290</v>
      </c>
      <c r="B301" s="1" t="s">
        <v>1272</v>
      </c>
      <c r="C301" s="1" t="s">
        <v>943</v>
      </c>
      <c r="D301" s="1" t="s">
        <v>185</v>
      </c>
      <c r="E301" s="1" t="s">
        <v>185</v>
      </c>
      <c r="F301" s="1" t="s">
        <v>374</v>
      </c>
      <c r="G301" s="1">
        <f>IF(ISNA(VLOOKUP(F301,Monster!B:E,4,FALSE)),0,VLOOKUP(F301,Monster!B:E,4,FALSE))</f>
        <v>58</v>
      </c>
      <c r="H301" s="1">
        <v>1</v>
      </c>
      <c r="I301" s="1" t="str">
        <f>VLOOKUP(G301,Monster!A:E,4,FALSE) &amp; " " &amp; E301</f>
        <v>Malzeno Greaves</v>
      </c>
      <c r="J301" s="1" t="str">
        <f>VLOOKUP(G301,Monster!A:E,3,FALSE) &amp; " Set"</f>
        <v>Malzeno Set</v>
      </c>
    </row>
    <row r="302" spans="1:14" x14ac:dyDescent="0.2">
      <c r="A302" s="1">
        <v>801</v>
      </c>
      <c r="B302" s="1" t="s">
        <v>1273</v>
      </c>
      <c r="C302" s="1" t="s">
        <v>1274</v>
      </c>
      <c r="D302" s="1" t="s">
        <v>36</v>
      </c>
      <c r="E302" s="1" t="s">
        <v>1275</v>
      </c>
      <c r="F302" s="1"/>
      <c r="G302" s="1">
        <f>IF(ISNA(VLOOKUP(F302,Monster!B:E,4,FALSE)),0,VLOOKUP(F302,Monster!B:E,4,FALSE))</f>
        <v>0</v>
      </c>
      <c r="H302" s="1">
        <v>1</v>
      </c>
      <c r="N302" s="1">
        <f t="shared" ref="N302:N304" si="1">$A302</f>
        <v>801</v>
      </c>
    </row>
    <row r="303" spans="1:14" x14ac:dyDescent="0.2">
      <c r="A303" s="1">
        <v>802</v>
      </c>
      <c r="B303" s="1" t="s">
        <v>1278</v>
      </c>
      <c r="C303" s="1" t="s">
        <v>1279</v>
      </c>
      <c r="D303" s="1" t="s">
        <v>142</v>
      </c>
      <c r="E303" s="1" t="s">
        <v>1280</v>
      </c>
      <c r="F303" s="1"/>
      <c r="G303" s="1">
        <f>IF(ISNA(VLOOKUP(F303,Monster!B:E,4,FALSE)),0,VLOOKUP(F303,Monster!B:E,4,FALSE))</f>
        <v>0</v>
      </c>
      <c r="H303" s="1">
        <v>1</v>
      </c>
      <c r="N303" s="1">
        <f t="shared" si="1"/>
        <v>802</v>
      </c>
    </row>
    <row r="304" spans="1:14" x14ac:dyDescent="0.2">
      <c r="A304" s="1">
        <v>803</v>
      </c>
      <c r="B304" s="1" t="s">
        <v>1282</v>
      </c>
      <c r="C304" s="1" t="s">
        <v>1283</v>
      </c>
      <c r="D304" s="1" t="s">
        <v>36</v>
      </c>
      <c r="E304" s="1" t="s">
        <v>1284</v>
      </c>
      <c r="F304" s="1"/>
      <c r="G304" s="1">
        <f>IF(ISNA(VLOOKUP(F304,Monster!B:E,4,FALSE)),0,VLOOKUP(F304,Monster!B:E,4,FALSE))</f>
        <v>0</v>
      </c>
      <c r="H304" s="1">
        <v>1</v>
      </c>
      <c r="N304" s="1">
        <f t="shared" si="1"/>
        <v>803</v>
      </c>
    </row>
    <row r="305" spans="1:13" x14ac:dyDescent="0.2">
      <c r="A305" s="1">
        <v>804</v>
      </c>
      <c r="B305" s="1" t="s">
        <v>1286</v>
      </c>
      <c r="C305" s="1" t="s">
        <v>1286</v>
      </c>
      <c r="D305" s="1" t="s">
        <v>36</v>
      </c>
      <c r="E305" s="1" t="s">
        <v>1275</v>
      </c>
      <c r="F305" s="1" t="s">
        <v>273</v>
      </c>
      <c r="G305" s="1">
        <f>IF(ISNA(VLOOKUP(F305,Monster!B:E,4,FALSE)),0,VLOOKUP(F305,Monster!B:E,4,FALSE))</f>
        <v>39</v>
      </c>
      <c r="H305" s="1">
        <v>1</v>
      </c>
      <c r="M305" s="1"/>
    </row>
    <row r="306" spans="1:13" x14ac:dyDescent="0.2">
      <c r="A306" s="1">
        <v>805</v>
      </c>
      <c r="B306" s="1" t="s">
        <v>1289</v>
      </c>
      <c r="C306" s="1" t="s">
        <v>1290</v>
      </c>
      <c r="D306" s="1" t="s">
        <v>36</v>
      </c>
      <c r="E306" s="1" t="s">
        <v>1291</v>
      </c>
      <c r="F306" s="1" t="s">
        <v>316</v>
      </c>
      <c r="G306" s="1">
        <f>IF(ISNA(VLOOKUP(F306,Monster!B:E,4,FALSE)),0,VLOOKUP(F306,Monster!B:E,4,FALSE))</f>
        <v>47</v>
      </c>
      <c r="H306" s="1">
        <v>1</v>
      </c>
      <c r="M306" s="1"/>
    </row>
    <row r="307" spans="1:13" x14ac:dyDescent="0.2">
      <c r="A307" s="1">
        <v>806</v>
      </c>
      <c r="B307" s="1" t="s">
        <v>1293</v>
      </c>
      <c r="C307" s="1" t="s">
        <v>1290</v>
      </c>
      <c r="D307" s="1" t="s">
        <v>142</v>
      </c>
      <c r="E307" s="1" t="s">
        <v>1294</v>
      </c>
      <c r="F307" s="1" t="s">
        <v>316</v>
      </c>
      <c r="G307" s="1">
        <f>IF(ISNA(VLOOKUP(F307,Monster!B:E,4,FALSE)),0,VLOOKUP(F307,Monster!B:E,4,FALSE))</f>
        <v>47</v>
      </c>
      <c r="H307" s="1">
        <v>1</v>
      </c>
      <c r="M307" s="1"/>
    </row>
    <row r="308" spans="1:13" x14ac:dyDescent="0.2">
      <c r="A308" s="1">
        <v>807</v>
      </c>
      <c r="B308" s="1" t="s">
        <v>1295</v>
      </c>
      <c r="C308" s="1" t="s">
        <v>1290</v>
      </c>
      <c r="D308" s="1" t="s">
        <v>185</v>
      </c>
      <c r="E308" s="1" t="s">
        <v>1296</v>
      </c>
      <c r="F308" s="1" t="s">
        <v>316</v>
      </c>
      <c r="G308" s="1">
        <f>IF(ISNA(VLOOKUP(F308,Monster!B:E,4,FALSE)),0,VLOOKUP(F308,Monster!B:E,4,FALSE))</f>
        <v>47</v>
      </c>
      <c r="H308" s="1">
        <v>1</v>
      </c>
      <c r="M308" s="1"/>
    </row>
    <row r="309" spans="1:13" x14ac:dyDescent="0.2">
      <c r="F309" s="1"/>
      <c r="M309" s="1"/>
    </row>
    <row r="310" spans="1:13" x14ac:dyDescent="0.2">
      <c r="F310" s="1"/>
      <c r="M310" s="1"/>
    </row>
    <row r="311" spans="1:13" x14ac:dyDescent="0.2">
      <c r="F311" s="1"/>
      <c r="M311" s="1"/>
    </row>
    <row r="312" spans="1:13" x14ac:dyDescent="0.2">
      <c r="F312" s="1"/>
      <c r="M312" s="1"/>
    </row>
    <row r="313" spans="1:13" x14ac:dyDescent="0.2">
      <c r="F313" s="1"/>
      <c r="M313" s="1"/>
    </row>
    <row r="314" spans="1:13" x14ac:dyDescent="0.2">
      <c r="F314" s="1"/>
      <c r="M314" s="1"/>
    </row>
    <row r="315" spans="1:13" x14ac:dyDescent="0.2">
      <c r="F315" s="1"/>
      <c r="M315" s="1"/>
    </row>
    <row r="316" spans="1:13" x14ac:dyDescent="0.2">
      <c r="F316" s="1"/>
      <c r="M316" s="1"/>
    </row>
    <row r="317" spans="1:13" x14ac:dyDescent="0.2">
      <c r="F317" s="1"/>
      <c r="M317" s="1"/>
    </row>
    <row r="318" spans="1:13" x14ac:dyDescent="0.2">
      <c r="F318" s="1"/>
      <c r="M318" s="1"/>
    </row>
    <row r="319" spans="1:13" x14ac:dyDescent="0.2">
      <c r="F319" s="1"/>
      <c r="M319" s="1"/>
    </row>
    <row r="320" spans="1:13" x14ac:dyDescent="0.2">
      <c r="F320" s="1"/>
      <c r="M320" s="1"/>
    </row>
    <row r="321" spans="6:13" x14ac:dyDescent="0.2">
      <c r="F321" s="1"/>
      <c r="M321" s="1"/>
    </row>
    <row r="322" spans="6:13" x14ac:dyDescent="0.2">
      <c r="F322" s="1"/>
      <c r="M322" s="1"/>
    </row>
    <row r="323" spans="6:13" x14ac:dyDescent="0.2">
      <c r="F323" s="1"/>
      <c r="M323" s="1"/>
    </row>
    <row r="324" spans="6:13" x14ac:dyDescent="0.2">
      <c r="F324" s="1"/>
      <c r="M324" s="1"/>
    </row>
    <row r="325" spans="6:13" x14ac:dyDescent="0.2">
      <c r="F325" s="1"/>
      <c r="M325" s="1"/>
    </row>
    <row r="326" spans="6:13" x14ac:dyDescent="0.2">
      <c r="F326" s="1"/>
      <c r="M326" s="1"/>
    </row>
    <row r="327" spans="6:13" x14ac:dyDescent="0.2">
      <c r="F327" s="1"/>
      <c r="M327" s="1"/>
    </row>
    <row r="328" spans="6:13" x14ac:dyDescent="0.2">
      <c r="F328" s="1"/>
      <c r="M328" s="1"/>
    </row>
    <row r="329" spans="6:13" x14ac:dyDescent="0.2">
      <c r="F329" s="1"/>
      <c r="M329" s="1"/>
    </row>
    <row r="330" spans="6:13" x14ac:dyDescent="0.2">
      <c r="F330" s="1"/>
      <c r="M330" s="1"/>
    </row>
    <row r="331" spans="6:13" x14ac:dyDescent="0.2">
      <c r="F331" s="1"/>
      <c r="M331" s="1"/>
    </row>
    <row r="332" spans="6:13" x14ac:dyDescent="0.2">
      <c r="F332" s="1"/>
      <c r="M332" s="1"/>
    </row>
    <row r="333" spans="6:13" x14ac:dyDescent="0.2">
      <c r="F333" s="1"/>
      <c r="M333" s="1"/>
    </row>
    <row r="334" spans="6:13" x14ac:dyDescent="0.2">
      <c r="F334" s="1"/>
      <c r="M334" s="1"/>
    </row>
    <row r="335" spans="6:13" x14ac:dyDescent="0.2">
      <c r="F335" s="1"/>
      <c r="M335" s="1"/>
    </row>
    <row r="336" spans="6:13" x14ac:dyDescent="0.2">
      <c r="F336" s="1"/>
      <c r="M336" s="1"/>
    </row>
    <row r="337" spans="6:13" x14ac:dyDescent="0.2">
      <c r="F337" s="1"/>
      <c r="M337" s="1"/>
    </row>
    <row r="338" spans="6:13" x14ac:dyDescent="0.2">
      <c r="F338" s="1"/>
      <c r="M338" s="1"/>
    </row>
    <row r="339" spans="6:13" x14ac:dyDescent="0.2">
      <c r="F339" s="1"/>
      <c r="M339" s="1"/>
    </row>
    <row r="340" spans="6:13" x14ac:dyDescent="0.2">
      <c r="F340" s="1"/>
      <c r="M340" s="1"/>
    </row>
    <row r="341" spans="6:13" x14ac:dyDescent="0.2">
      <c r="F341" s="1"/>
      <c r="M341" s="1"/>
    </row>
    <row r="342" spans="6:13" x14ac:dyDescent="0.2">
      <c r="F342" s="1"/>
      <c r="M342" s="1"/>
    </row>
    <row r="343" spans="6:13" x14ac:dyDescent="0.2">
      <c r="F343" s="1"/>
      <c r="M343" s="1"/>
    </row>
    <row r="344" spans="6:13" x14ac:dyDescent="0.2">
      <c r="F344" s="1"/>
      <c r="M344" s="1"/>
    </row>
    <row r="345" spans="6:13" x14ac:dyDescent="0.2">
      <c r="F345" s="1"/>
      <c r="M345" s="1"/>
    </row>
    <row r="346" spans="6:13" x14ac:dyDescent="0.2">
      <c r="F346" s="1"/>
      <c r="M346" s="1"/>
    </row>
    <row r="347" spans="6:13" x14ac:dyDescent="0.2">
      <c r="F347" s="1"/>
      <c r="M347" s="1"/>
    </row>
    <row r="348" spans="6:13" x14ac:dyDescent="0.2">
      <c r="F348" s="1"/>
      <c r="M348" s="1"/>
    </row>
    <row r="349" spans="6:13" x14ac:dyDescent="0.2">
      <c r="F349" s="1"/>
      <c r="M349" s="1"/>
    </row>
    <row r="350" spans="6:13" x14ac:dyDescent="0.2">
      <c r="F350" s="1"/>
      <c r="M350" s="1"/>
    </row>
    <row r="351" spans="6:13" x14ac:dyDescent="0.2">
      <c r="F351" s="1"/>
      <c r="M351" s="1"/>
    </row>
    <row r="352" spans="6:13" x14ac:dyDescent="0.2">
      <c r="F352" s="1"/>
      <c r="M352" s="1"/>
    </row>
    <row r="353" spans="6:13" x14ac:dyDescent="0.2">
      <c r="F353" s="1"/>
      <c r="M353" s="1"/>
    </row>
    <row r="354" spans="6:13" x14ac:dyDescent="0.2">
      <c r="F354" s="1"/>
      <c r="M354" s="1"/>
    </row>
    <row r="355" spans="6:13" x14ac:dyDescent="0.2">
      <c r="F355" s="1"/>
      <c r="M355" s="1"/>
    </row>
    <row r="356" spans="6:13" x14ac:dyDescent="0.2">
      <c r="F356" s="1"/>
      <c r="M356" s="1"/>
    </row>
    <row r="357" spans="6:13" x14ac:dyDescent="0.2">
      <c r="F357" s="1"/>
      <c r="M357" s="1"/>
    </row>
    <row r="358" spans="6:13" x14ac:dyDescent="0.2">
      <c r="F358" s="1"/>
      <c r="M358" s="1"/>
    </row>
    <row r="359" spans="6:13" x14ac:dyDescent="0.2">
      <c r="F359" s="1"/>
      <c r="M359" s="1"/>
    </row>
    <row r="360" spans="6:13" x14ac:dyDescent="0.2">
      <c r="F360" s="1"/>
      <c r="M360" s="1"/>
    </row>
    <row r="361" spans="6:13" x14ac:dyDescent="0.2">
      <c r="F361" s="1"/>
      <c r="M361" s="1"/>
    </row>
    <row r="362" spans="6:13" x14ac:dyDescent="0.2">
      <c r="F362" s="1"/>
      <c r="M362" s="1"/>
    </row>
    <row r="363" spans="6:13" x14ac:dyDescent="0.2">
      <c r="F363" s="1"/>
      <c r="M363" s="1"/>
    </row>
    <row r="364" spans="6:13" x14ac:dyDescent="0.2">
      <c r="F364" s="1"/>
      <c r="M364" s="1"/>
    </row>
    <row r="365" spans="6:13" x14ac:dyDescent="0.2">
      <c r="F365" s="1"/>
      <c r="M365" s="1"/>
    </row>
    <row r="366" spans="6:13" x14ac:dyDescent="0.2">
      <c r="F366" s="1"/>
      <c r="M366" s="1"/>
    </row>
    <row r="367" spans="6:13" x14ac:dyDescent="0.2">
      <c r="F367" s="1"/>
      <c r="M367" s="1"/>
    </row>
    <row r="368" spans="6:13" x14ac:dyDescent="0.2">
      <c r="F368" s="1"/>
      <c r="M368" s="1"/>
    </row>
    <row r="369" spans="6:13" x14ac:dyDescent="0.2">
      <c r="F369" s="1"/>
      <c r="M369" s="1"/>
    </row>
    <row r="370" spans="6:13" x14ac:dyDescent="0.2">
      <c r="F370" s="1"/>
      <c r="M370" s="1"/>
    </row>
    <row r="371" spans="6:13" x14ac:dyDescent="0.2">
      <c r="F371" s="1"/>
      <c r="M371" s="1"/>
    </row>
    <row r="372" spans="6:13" x14ac:dyDescent="0.2">
      <c r="F372" s="1"/>
      <c r="M372" s="1"/>
    </row>
    <row r="373" spans="6:13" x14ac:dyDescent="0.2">
      <c r="F373" s="1"/>
      <c r="M373" s="1"/>
    </row>
    <row r="374" spans="6:13" x14ac:dyDescent="0.2">
      <c r="F374" s="1"/>
      <c r="M374" s="1"/>
    </row>
    <row r="375" spans="6:13" x14ac:dyDescent="0.2">
      <c r="F375" s="1"/>
      <c r="M375" s="1"/>
    </row>
    <row r="376" spans="6:13" x14ac:dyDescent="0.2">
      <c r="F376" s="1"/>
      <c r="M376" s="1"/>
    </row>
    <row r="377" spans="6:13" x14ac:dyDescent="0.2">
      <c r="F377" s="1"/>
      <c r="M377" s="1"/>
    </row>
    <row r="378" spans="6:13" x14ac:dyDescent="0.2">
      <c r="F378" s="1"/>
      <c r="M378" s="1"/>
    </row>
    <row r="379" spans="6:13" x14ac:dyDescent="0.2">
      <c r="F379" s="1"/>
      <c r="M379" s="1"/>
    </row>
    <row r="380" spans="6:13" x14ac:dyDescent="0.2">
      <c r="F380" s="1"/>
      <c r="M380" s="1"/>
    </row>
    <row r="381" spans="6:13" x14ac:dyDescent="0.2">
      <c r="F381" s="1"/>
      <c r="M381" s="1"/>
    </row>
    <row r="382" spans="6:13" x14ac:dyDescent="0.2">
      <c r="F382" s="1"/>
      <c r="M382" s="1"/>
    </row>
    <row r="383" spans="6:13" x14ac:dyDescent="0.2">
      <c r="F383" s="1"/>
      <c r="M383" s="1"/>
    </row>
    <row r="384" spans="6:13" x14ac:dyDescent="0.2">
      <c r="F384" s="1"/>
      <c r="M384" s="1"/>
    </row>
    <row r="385" spans="6:13" x14ac:dyDescent="0.2">
      <c r="F385" s="1"/>
      <c r="M385" s="1"/>
    </row>
    <row r="386" spans="6:13" x14ac:dyDescent="0.2">
      <c r="F386" s="1"/>
      <c r="M386" s="1"/>
    </row>
    <row r="387" spans="6:13" x14ac:dyDescent="0.2">
      <c r="F387" s="1"/>
      <c r="M387" s="1"/>
    </row>
    <row r="388" spans="6:13" x14ac:dyDescent="0.2">
      <c r="F388" s="1"/>
      <c r="M388" s="1"/>
    </row>
    <row r="389" spans="6:13" x14ac:dyDescent="0.2">
      <c r="F389" s="1"/>
      <c r="M389" s="1"/>
    </row>
    <row r="390" spans="6:13" x14ac:dyDescent="0.2">
      <c r="F390" s="1"/>
      <c r="M390" s="1"/>
    </row>
    <row r="391" spans="6:13" x14ac:dyDescent="0.2">
      <c r="F391" s="1"/>
      <c r="M391" s="1"/>
    </row>
    <row r="392" spans="6:13" x14ac:dyDescent="0.2">
      <c r="F392" s="1"/>
      <c r="M392" s="1"/>
    </row>
    <row r="393" spans="6:13" x14ac:dyDescent="0.2">
      <c r="F393" s="1"/>
      <c r="M393" s="1"/>
    </row>
    <row r="394" spans="6:13" x14ac:dyDescent="0.2">
      <c r="F394" s="1"/>
      <c r="M394" s="1"/>
    </row>
    <row r="395" spans="6:13" x14ac:dyDescent="0.2">
      <c r="F395" s="1"/>
      <c r="M395" s="1"/>
    </row>
    <row r="396" spans="6:13" x14ac:dyDescent="0.2">
      <c r="F396" s="1"/>
      <c r="M396" s="1"/>
    </row>
    <row r="397" spans="6:13" x14ac:dyDescent="0.2">
      <c r="F397" s="1"/>
      <c r="M397" s="1"/>
    </row>
    <row r="398" spans="6:13" x14ac:dyDescent="0.2">
      <c r="F398" s="1"/>
      <c r="M398" s="1"/>
    </row>
    <row r="399" spans="6:13" x14ac:dyDescent="0.2">
      <c r="F399" s="1"/>
      <c r="M399" s="1"/>
    </row>
    <row r="400" spans="6:13" x14ac:dyDescent="0.2">
      <c r="F400" s="1"/>
      <c r="M400" s="1"/>
    </row>
    <row r="401" spans="6:13" x14ac:dyDescent="0.2">
      <c r="F401" s="1"/>
      <c r="M401" s="1"/>
    </row>
    <row r="402" spans="6:13" x14ac:dyDescent="0.2">
      <c r="F402" s="1"/>
      <c r="M402" s="1"/>
    </row>
    <row r="403" spans="6:13" x14ac:dyDescent="0.2">
      <c r="F403" s="1"/>
      <c r="M403" s="1"/>
    </row>
    <row r="404" spans="6:13" x14ac:dyDescent="0.2">
      <c r="F404" s="1"/>
      <c r="M404" s="1"/>
    </row>
    <row r="405" spans="6:13" x14ac:dyDescent="0.2">
      <c r="F405" s="1"/>
      <c r="M405" s="1"/>
    </row>
    <row r="406" spans="6:13" x14ac:dyDescent="0.2">
      <c r="F406" s="1"/>
      <c r="M406" s="1"/>
    </row>
    <row r="407" spans="6:13" x14ac:dyDescent="0.2">
      <c r="F407" s="1"/>
      <c r="M407" s="1"/>
    </row>
    <row r="408" spans="6:13" x14ac:dyDescent="0.2">
      <c r="F408" s="1"/>
      <c r="M408" s="1"/>
    </row>
    <row r="409" spans="6:13" x14ac:dyDescent="0.2">
      <c r="F409" s="1"/>
      <c r="M409" s="1"/>
    </row>
    <row r="410" spans="6:13" x14ac:dyDescent="0.2">
      <c r="F410" s="1"/>
      <c r="M410" s="1"/>
    </row>
    <row r="411" spans="6:13" x14ac:dyDescent="0.2">
      <c r="F411" s="1"/>
      <c r="M411" s="1"/>
    </row>
    <row r="412" spans="6:13" x14ac:dyDescent="0.2">
      <c r="F412" s="1"/>
      <c r="M412" s="1"/>
    </row>
    <row r="413" spans="6:13" x14ac:dyDescent="0.2">
      <c r="F413" s="1"/>
      <c r="M413" s="1"/>
    </row>
    <row r="414" spans="6:13" x14ac:dyDescent="0.2">
      <c r="F414" s="1"/>
      <c r="M414" s="1"/>
    </row>
    <row r="415" spans="6:13" x14ac:dyDescent="0.2">
      <c r="F415" s="1"/>
      <c r="M415" s="1"/>
    </row>
    <row r="416" spans="6:13" x14ac:dyDescent="0.2">
      <c r="F416" s="1"/>
      <c r="M416" s="1"/>
    </row>
    <row r="417" spans="6:13" x14ac:dyDescent="0.2">
      <c r="F417" s="1"/>
      <c r="M417" s="1"/>
    </row>
    <row r="418" spans="6:13" x14ac:dyDescent="0.2">
      <c r="F418" s="1"/>
      <c r="M418" s="1"/>
    </row>
    <row r="419" spans="6:13" x14ac:dyDescent="0.2">
      <c r="F419" s="1"/>
      <c r="M419" s="1"/>
    </row>
    <row r="420" spans="6:13" x14ac:dyDescent="0.2">
      <c r="F420" s="1"/>
      <c r="M420" s="1"/>
    </row>
    <row r="421" spans="6:13" x14ac:dyDescent="0.2">
      <c r="F421" s="1"/>
      <c r="M421" s="1"/>
    </row>
    <row r="422" spans="6:13" x14ac:dyDescent="0.2">
      <c r="F422" s="1"/>
      <c r="M422" s="1"/>
    </row>
    <row r="423" spans="6:13" x14ac:dyDescent="0.2">
      <c r="F423" s="1"/>
      <c r="M423" s="1"/>
    </row>
    <row r="424" spans="6:13" x14ac:dyDescent="0.2">
      <c r="F424" s="1"/>
      <c r="M424" s="1"/>
    </row>
    <row r="425" spans="6:13" x14ac:dyDescent="0.2">
      <c r="F425" s="1"/>
      <c r="M425" s="1"/>
    </row>
    <row r="426" spans="6:13" x14ac:dyDescent="0.2">
      <c r="F426" s="1"/>
      <c r="M426" s="1"/>
    </row>
    <row r="427" spans="6:13" x14ac:dyDescent="0.2">
      <c r="F427" s="1"/>
      <c r="M427" s="1"/>
    </row>
    <row r="428" spans="6:13" x14ac:dyDescent="0.2">
      <c r="F428" s="1"/>
      <c r="M428" s="1"/>
    </row>
    <row r="429" spans="6:13" x14ac:dyDescent="0.2">
      <c r="F429" s="1"/>
      <c r="M429" s="1"/>
    </row>
    <row r="430" spans="6:13" x14ac:dyDescent="0.2">
      <c r="F430" s="1"/>
      <c r="M430" s="1"/>
    </row>
    <row r="431" spans="6:13" x14ac:dyDescent="0.2">
      <c r="F431" s="1"/>
      <c r="M431" s="1"/>
    </row>
    <row r="432" spans="6:13" x14ac:dyDescent="0.2">
      <c r="F432" s="1"/>
      <c r="M432" s="1"/>
    </row>
    <row r="433" spans="6:13" x14ac:dyDescent="0.2">
      <c r="F433" s="1"/>
      <c r="M433" s="1"/>
    </row>
    <row r="434" spans="6:13" x14ac:dyDescent="0.2">
      <c r="F434" s="1"/>
      <c r="M434" s="1"/>
    </row>
    <row r="435" spans="6:13" x14ac:dyDescent="0.2">
      <c r="F435" s="1"/>
      <c r="M435" s="1"/>
    </row>
    <row r="436" spans="6:13" x14ac:dyDescent="0.2">
      <c r="F436" s="1"/>
      <c r="M436" s="1"/>
    </row>
    <row r="437" spans="6:13" x14ac:dyDescent="0.2">
      <c r="F437" s="1"/>
      <c r="M437" s="1"/>
    </row>
    <row r="438" spans="6:13" x14ac:dyDescent="0.2">
      <c r="F438" s="1"/>
      <c r="M438" s="1"/>
    </row>
    <row r="439" spans="6:13" x14ac:dyDescent="0.2">
      <c r="F439" s="1"/>
      <c r="M439" s="1"/>
    </row>
    <row r="440" spans="6:13" x14ac:dyDescent="0.2">
      <c r="F440" s="1"/>
      <c r="M440" s="1"/>
    </row>
    <row r="441" spans="6:13" x14ac:dyDescent="0.2">
      <c r="F441" s="1"/>
      <c r="M441" s="1"/>
    </row>
    <row r="442" spans="6:13" x14ac:dyDescent="0.2">
      <c r="F442" s="1"/>
      <c r="M442" s="1"/>
    </row>
    <row r="443" spans="6:13" x14ac:dyDescent="0.2">
      <c r="F443" s="1"/>
      <c r="M443" s="1"/>
    </row>
    <row r="444" spans="6:13" x14ac:dyDescent="0.2">
      <c r="F444" s="1"/>
      <c r="M444" s="1"/>
    </row>
    <row r="445" spans="6:13" x14ac:dyDescent="0.2">
      <c r="F445" s="1"/>
      <c r="M445" s="1"/>
    </row>
    <row r="446" spans="6:13" x14ac:dyDescent="0.2">
      <c r="F446" s="1"/>
      <c r="M446" s="1"/>
    </row>
    <row r="447" spans="6:13" x14ac:dyDescent="0.2">
      <c r="F447" s="1"/>
      <c r="M447" s="1"/>
    </row>
    <row r="448" spans="6:13" x14ac:dyDescent="0.2">
      <c r="F448" s="1"/>
      <c r="M448" s="1"/>
    </row>
    <row r="449" spans="6:13" x14ac:dyDescent="0.2">
      <c r="F449" s="1"/>
      <c r="M449" s="1"/>
    </row>
    <row r="450" spans="6:13" x14ac:dyDescent="0.2">
      <c r="F450" s="1"/>
      <c r="M450" s="1"/>
    </row>
    <row r="451" spans="6:13" x14ac:dyDescent="0.2">
      <c r="F451" s="1"/>
      <c r="M451" s="1"/>
    </row>
    <row r="452" spans="6:13" x14ac:dyDescent="0.2">
      <c r="F452" s="1"/>
      <c r="M452" s="1"/>
    </row>
    <row r="453" spans="6:13" x14ac:dyDescent="0.2">
      <c r="F453" s="1"/>
      <c r="M453" s="1"/>
    </row>
    <row r="454" spans="6:13" x14ac:dyDescent="0.2">
      <c r="F454" s="1"/>
      <c r="M454" s="1"/>
    </row>
    <row r="455" spans="6:13" x14ac:dyDescent="0.2">
      <c r="F455" s="1"/>
      <c r="M455" s="1"/>
    </row>
    <row r="456" spans="6:13" x14ac:dyDescent="0.2">
      <c r="F456" s="1"/>
      <c r="M456" s="1"/>
    </row>
    <row r="457" spans="6:13" x14ac:dyDescent="0.2">
      <c r="F457" s="1"/>
      <c r="M457" s="1"/>
    </row>
    <row r="458" spans="6:13" x14ac:dyDescent="0.2">
      <c r="F458" s="1"/>
      <c r="M458" s="1"/>
    </row>
    <row r="459" spans="6:13" x14ac:dyDescent="0.2">
      <c r="F459" s="1"/>
      <c r="M459" s="1"/>
    </row>
    <row r="460" spans="6:13" x14ac:dyDescent="0.2">
      <c r="F460" s="1"/>
      <c r="M460" s="1"/>
    </row>
    <row r="461" spans="6:13" x14ac:dyDescent="0.2">
      <c r="F461" s="1"/>
      <c r="M461" s="1"/>
    </row>
    <row r="462" spans="6:13" x14ac:dyDescent="0.2">
      <c r="F462" s="1"/>
      <c r="M462" s="1"/>
    </row>
    <row r="463" spans="6:13" x14ac:dyDescent="0.2">
      <c r="F463" s="1"/>
      <c r="M463" s="1"/>
    </row>
    <row r="464" spans="6:13" x14ac:dyDescent="0.2">
      <c r="F464" s="1"/>
      <c r="M464" s="1"/>
    </row>
    <row r="465" spans="6:13" x14ac:dyDescent="0.2">
      <c r="F465" s="1"/>
      <c r="M465" s="1"/>
    </row>
    <row r="466" spans="6:13" x14ac:dyDescent="0.2">
      <c r="F466" s="1"/>
      <c r="M466" s="1"/>
    </row>
    <row r="467" spans="6:13" x14ac:dyDescent="0.2">
      <c r="F467" s="1"/>
      <c r="M467" s="1"/>
    </row>
    <row r="468" spans="6:13" x14ac:dyDescent="0.2">
      <c r="F468" s="1"/>
      <c r="M468" s="1"/>
    </row>
    <row r="469" spans="6:13" x14ac:dyDescent="0.2">
      <c r="F469" s="1"/>
      <c r="M469" s="1"/>
    </row>
    <row r="470" spans="6:13" x14ac:dyDescent="0.2">
      <c r="F470" s="1"/>
      <c r="M470" s="1"/>
    </row>
    <row r="471" spans="6:13" x14ac:dyDescent="0.2">
      <c r="F471" s="1"/>
      <c r="M471" s="1"/>
    </row>
    <row r="472" spans="6:13" x14ac:dyDescent="0.2">
      <c r="F472" s="1"/>
      <c r="M472" s="1"/>
    </row>
    <row r="473" spans="6:13" x14ac:dyDescent="0.2">
      <c r="F473" s="1"/>
      <c r="M473" s="1"/>
    </row>
    <row r="474" spans="6:13" x14ac:dyDescent="0.2">
      <c r="F474" s="1"/>
      <c r="M474" s="1"/>
    </row>
    <row r="475" spans="6:13" x14ac:dyDescent="0.2">
      <c r="F475" s="1"/>
      <c r="M475" s="1"/>
    </row>
    <row r="476" spans="6:13" x14ac:dyDescent="0.2">
      <c r="F476" s="1"/>
      <c r="M476" s="1"/>
    </row>
    <row r="477" spans="6:13" x14ac:dyDescent="0.2">
      <c r="F477" s="1"/>
      <c r="M477" s="1"/>
    </row>
    <row r="478" spans="6:13" x14ac:dyDescent="0.2">
      <c r="F478" s="1"/>
      <c r="M478" s="1"/>
    </row>
    <row r="479" spans="6:13" x14ac:dyDescent="0.2">
      <c r="F479" s="1"/>
      <c r="M479" s="1"/>
    </row>
    <row r="480" spans="6:13" x14ac:dyDescent="0.2">
      <c r="F480" s="1"/>
      <c r="M480" s="1"/>
    </row>
    <row r="481" spans="6:13" x14ac:dyDescent="0.2">
      <c r="F481" s="1"/>
      <c r="M481" s="1"/>
    </row>
    <row r="482" spans="6:13" x14ac:dyDescent="0.2">
      <c r="F482" s="1"/>
      <c r="M482" s="1"/>
    </row>
    <row r="483" spans="6:13" x14ac:dyDescent="0.2">
      <c r="F483" s="1"/>
      <c r="M483" s="1"/>
    </row>
    <row r="484" spans="6:13" x14ac:dyDescent="0.2">
      <c r="F484" s="1"/>
      <c r="M484" s="1"/>
    </row>
    <row r="485" spans="6:13" x14ac:dyDescent="0.2">
      <c r="F485" s="1"/>
      <c r="M485" s="1"/>
    </row>
    <row r="486" spans="6:13" x14ac:dyDescent="0.2">
      <c r="F486" s="1"/>
      <c r="M486" s="1"/>
    </row>
    <row r="487" spans="6:13" x14ac:dyDescent="0.2">
      <c r="F487" s="1"/>
      <c r="M487" s="1"/>
    </row>
    <row r="488" spans="6:13" x14ac:dyDescent="0.2">
      <c r="F488" s="1"/>
      <c r="M488" s="1"/>
    </row>
    <row r="489" spans="6:13" x14ac:dyDescent="0.2">
      <c r="F489" s="1"/>
      <c r="M489" s="1"/>
    </row>
    <row r="490" spans="6:13" x14ac:dyDescent="0.2">
      <c r="F490" s="1"/>
      <c r="M490" s="1"/>
    </row>
    <row r="491" spans="6:13" x14ac:dyDescent="0.2">
      <c r="F491" s="1"/>
      <c r="M491" s="1"/>
    </row>
    <row r="492" spans="6:13" x14ac:dyDescent="0.2">
      <c r="F492" s="1"/>
      <c r="M492" s="1"/>
    </row>
    <row r="493" spans="6:13" x14ac:dyDescent="0.2">
      <c r="F493" s="1"/>
      <c r="M493" s="1"/>
    </row>
    <row r="494" spans="6:13" x14ac:dyDescent="0.2">
      <c r="F494" s="1"/>
      <c r="M494" s="1"/>
    </row>
    <row r="495" spans="6:13" x14ac:dyDescent="0.2">
      <c r="F495" s="1"/>
      <c r="M495" s="1"/>
    </row>
    <row r="496" spans="6:13" x14ac:dyDescent="0.2">
      <c r="F496" s="1"/>
      <c r="M496" s="1"/>
    </row>
    <row r="497" spans="6:13" x14ac:dyDescent="0.2">
      <c r="F497" s="1"/>
      <c r="M497" s="1"/>
    </row>
    <row r="498" spans="6:13" x14ac:dyDescent="0.2">
      <c r="F498" s="1"/>
      <c r="M498" s="1"/>
    </row>
    <row r="499" spans="6:13" x14ac:dyDescent="0.2">
      <c r="F499" s="1"/>
      <c r="M499" s="1"/>
    </row>
    <row r="500" spans="6:13" x14ac:dyDescent="0.2">
      <c r="F500" s="1"/>
      <c r="M500" s="1"/>
    </row>
    <row r="501" spans="6:13" x14ac:dyDescent="0.2">
      <c r="F501" s="1"/>
      <c r="M501" s="1"/>
    </row>
    <row r="502" spans="6:13" x14ac:dyDescent="0.2">
      <c r="F502" s="1"/>
      <c r="M502" s="1"/>
    </row>
    <row r="503" spans="6:13" x14ac:dyDescent="0.2">
      <c r="F503" s="1"/>
      <c r="M503" s="1"/>
    </row>
    <row r="504" spans="6:13" x14ac:dyDescent="0.2">
      <c r="F504" s="1"/>
      <c r="M504" s="1"/>
    </row>
    <row r="505" spans="6:13" x14ac:dyDescent="0.2">
      <c r="F505" s="1"/>
      <c r="M505" s="1"/>
    </row>
    <row r="506" spans="6:13" x14ac:dyDescent="0.2">
      <c r="F506" s="1"/>
      <c r="M506" s="1"/>
    </row>
    <row r="507" spans="6:13" x14ac:dyDescent="0.2">
      <c r="F507" s="1"/>
      <c r="M507" s="1"/>
    </row>
    <row r="508" spans="6:13" x14ac:dyDescent="0.2">
      <c r="F508" s="1"/>
      <c r="M508" s="1"/>
    </row>
    <row r="509" spans="6:13" x14ac:dyDescent="0.2">
      <c r="F509" s="1"/>
      <c r="M509" s="1"/>
    </row>
    <row r="510" spans="6:13" x14ac:dyDescent="0.2">
      <c r="F510" s="1"/>
      <c r="M510" s="1"/>
    </row>
    <row r="511" spans="6:13" x14ac:dyDescent="0.2">
      <c r="F511" s="1"/>
      <c r="M511" s="1"/>
    </row>
    <row r="512" spans="6:13" x14ac:dyDescent="0.2">
      <c r="F512" s="1"/>
      <c r="M512" s="1"/>
    </row>
    <row r="513" spans="6:13" x14ac:dyDescent="0.2">
      <c r="F513" s="1"/>
      <c r="M513" s="1"/>
    </row>
    <row r="514" spans="6:13" x14ac:dyDescent="0.2">
      <c r="F514" s="1"/>
      <c r="M514" s="1"/>
    </row>
    <row r="515" spans="6:13" x14ac:dyDescent="0.2">
      <c r="F515" s="1"/>
      <c r="M515" s="1"/>
    </row>
    <row r="516" spans="6:13" x14ac:dyDescent="0.2">
      <c r="F516" s="1"/>
      <c r="M516" s="1"/>
    </row>
    <row r="517" spans="6:13" x14ac:dyDescent="0.2">
      <c r="F517" s="1"/>
      <c r="M517" s="1"/>
    </row>
    <row r="518" spans="6:13" x14ac:dyDescent="0.2">
      <c r="F518" s="1"/>
      <c r="M518" s="1"/>
    </row>
    <row r="519" spans="6:13" x14ac:dyDescent="0.2">
      <c r="F519" s="1"/>
      <c r="M519" s="1"/>
    </row>
    <row r="520" spans="6:13" x14ac:dyDescent="0.2">
      <c r="F520" s="1"/>
      <c r="M520" s="1"/>
    </row>
    <row r="521" spans="6:13" x14ac:dyDescent="0.2">
      <c r="F521" s="1"/>
      <c r="M521" s="1"/>
    </row>
    <row r="522" spans="6:13" x14ac:dyDescent="0.2">
      <c r="F522" s="1"/>
      <c r="M522" s="1"/>
    </row>
    <row r="523" spans="6:13" x14ac:dyDescent="0.2">
      <c r="F523" s="1"/>
      <c r="M523" s="1"/>
    </row>
    <row r="524" spans="6:13" x14ac:dyDescent="0.2">
      <c r="F524" s="1"/>
      <c r="M524" s="1"/>
    </row>
    <row r="525" spans="6:13" x14ac:dyDescent="0.2">
      <c r="F525" s="1"/>
      <c r="M525" s="1"/>
    </row>
    <row r="526" spans="6:13" x14ac:dyDescent="0.2">
      <c r="F526" s="1"/>
      <c r="M526" s="1"/>
    </row>
    <row r="527" spans="6:13" x14ac:dyDescent="0.2">
      <c r="F527" s="1"/>
      <c r="M527" s="1"/>
    </row>
    <row r="528" spans="6:13" x14ac:dyDescent="0.2">
      <c r="F528" s="1"/>
      <c r="M528" s="1"/>
    </row>
    <row r="529" spans="6:13" x14ac:dyDescent="0.2">
      <c r="F529" s="1"/>
      <c r="M529" s="1"/>
    </row>
    <row r="530" spans="6:13" x14ac:dyDescent="0.2">
      <c r="F530" s="1"/>
      <c r="M530" s="1"/>
    </row>
    <row r="531" spans="6:13" x14ac:dyDescent="0.2">
      <c r="F531" s="1"/>
      <c r="M531" s="1"/>
    </row>
    <row r="532" spans="6:13" x14ac:dyDescent="0.2">
      <c r="F532" s="1"/>
      <c r="M532" s="1"/>
    </row>
    <row r="533" spans="6:13" x14ac:dyDescent="0.2">
      <c r="F533" s="1"/>
      <c r="M533" s="1"/>
    </row>
    <row r="534" spans="6:13" x14ac:dyDescent="0.2">
      <c r="F534" s="1"/>
      <c r="M534" s="1"/>
    </row>
    <row r="535" spans="6:13" x14ac:dyDescent="0.2">
      <c r="F535" s="1"/>
      <c r="M535" s="1"/>
    </row>
    <row r="536" spans="6:13" x14ac:dyDescent="0.2">
      <c r="F536" s="1"/>
      <c r="M536" s="1"/>
    </row>
    <row r="537" spans="6:13" x14ac:dyDescent="0.2">
      <c r="F537" s="1"/>
      <c r="M537" s="1"/>
    </row>
    <row r="538" spans="6:13" x14ac:dyDescent="0.2">
      <c r="F538" s="1"/>
      <c r="M538" s="1"/>
    </row>
    <row r="539" spans="6:13" x14ac:dyDescent="0.2">
      <c r="F539" s="1"/>
      <c r="M539" s="1"/>
    </row>
    <row r="540" spans="6:13" x14ac:dyDescent="0.2">
      <c r="F540" s="1"/>
      <c r="M540" s="1"/>
    </row>
    <row r="541" spans="6:13" x14ac:dyDescent="0.2">
      <c r="F541" s="1"/>
      <c r="M541" s="1"/>
    </row>
    <row r="542" spans="6:13" x14ac:dyDescent="0.2">
      <c r="F542" s="1"/>
      <c r="M542" s="1"/>
    </row>
    <row r="543" spans="6:13" x14ac:dyDescent="0.2">
      <c r="F543" s="1"/>
      <c r="M543" s="1"/>
    </row>
    <row r="544" spans="6:13" x14ac:dyDescent="0.2">
      <c r="F544" s="1"/>
      <c r="M544" s="1"/>
    </row>
    <row r="545" spans="6:13" x14ac:dyDescent="0.2">
      <c r="F545" s="1"/>
      <c r="M545" s="1"/>
    </row>
    <row r="546" spans="6:13" x14ac:dyDescent="0.2">
      <c r="F546" s="1"/>
      <c r="M546" s="1"/>
    </row>
    <row r="547" spans="6:13" x14ac:dyDescent="0.2">
      <c r="F547" s="1"/>
      <c r="M547" s="1"/>
    </row>
    <row r="548" spans="6:13" x14ac:dyDescent="0.2">
      <c r="F548" s="1"/>
      <c r="M548" s="1"/>
    </row>
    <row r="549" spans="6:13" x14ac:dyDescent="0.2">
      <c r="F549" s="1"/>
      <c r="M549" s="1"/>
    </row>
    <row r="550" spans="6:13" x14ac:dyDescent="0.2">
      <c r="F550" s="1"/>
      <c r="M550" s="1"/>
    </row>
    <row r="551" spans="6:13" x14ac:dyDescent="0.2">
      <c r="F551" s="1"/>
      <c r="M551" s="1"/>
    </row>
    <row r="552" spans="6:13" x14ac:dyDescent="0.2">
      <c r="F552" s="1"/>
      <c r="M552" s="1"/>
    </row>
    <row r="553" spans="6:13" x14ac:dyDescent="0.2">
      <c r="F553" s="1"/>
      <c r="M553" s="1"/>
    </row>
    <row r="554" spans="6:13" x14ac:dyDescent="0.2">
      <c r="F554" s="1"/>
      <c r="M554" s="1"/>
    </row>
    <row r="555" spans="6:13" x14ac:dyDescent="0.2">
      <c r="F555" s="1"/>
      <c r="M555" s="1"/>
    </row>
    <row r="556" spans="6:13" x14ac:dyDescent="0.2">
      <c r="F556" s="1"/>
      <c r="M556" s="1"/>
    </row>
    <row r="557" spans="6:13" x14ac:dyDescent="0.2">
      <c r="F557" s="1"/>
      <c r="M557" s="1"/>
    </row>
    <row r="558" spans="6:13" x14ac:dyDescent="0.2">
      <c r="F558" s="1"/>
      <c r="M558" s="1"/>
    </row>
    <row r="559" spans="6:13" x14ac:dyDescent="0.2">
      <c r="F559" s="1"/>
      <c r="M559" s="1"/>
    </row>
    <row r="560" spans="6:13" x14ac:dyDescent="0.2">
      <c r="F560" s="1"/>
      <c r="M560" s="1"/>
    </row>
    <row r="561" spans="6:13" x14ac:dyDescent="0.2">
      <c r="F561" s="1"/>
      <c r="M561" s="1"/>
    </row>
    <row r="562" spans="6:13" x14ac:dyDescent="0.2">
      <c r="F562" s="1"/>
      <c r="M562" s="1"/>
    </row>
    <row r="563" spans="6:13" x14ac:dyDescent="0.2">
      <c r="F563" s="1"/>
      <c r="M563" s="1"/>
    </row>
    <row r="564" spans="6:13" x14ac:dyDescent="0.2">
      <c r="F564" s="1"/>
      <c r="M564" s="1"/>
    </row>
    <row r="565" spans="6:13" x14ac:dyDescent="0.2">
      <c r="F565" s="1"/>
      <c r="M565" s="1"/>
    </row>
    <row r="566" spans="6:13" x14ac:dyDescent="0.2">
      <c r="F566" s="1"/>
      <c r="M566" s="1"/>
    </row>
    <row r="567" spans="6:13" x14ac:dyDescent="0.2">
      <c r="F567" s="1"/>
      <c r="M567" s="1"/>
    </row>
    <row r="568" spans="6:13" x14ac:dyDescent="0.2">
      <c r="F568" s="1"/>
      <c r="M568" s="1"/>
    </row>
    <row r="569" spans="6:13" x14ac:dyDescent="0.2">
      <c r="F569" s="1"/>
      <c r="M569" s="1"/>
    </row>
    <row r="570" spans="6:13" x14ac:dyDescent="0.2">
      <c r="F570" s="1"/>
      <c r="M570" s="1"/>
    </row>
    <row r="571" spans="6:13" x14ac:dyDescent="0.2">
      <c r="F571" s="1"/>
      <c r="M571" s="1"/>
    </row>
    <row r="572" spans="6:13" x14ac:dyDescent="0.2">
      <c r="F572" s="1"/>
      <c r="M572" s="1"/>
    </row>
    <row r="573" spans="6:13" x14ac:dyDescent="0.2">
      <c r="F573" s="1"/>
      <c r="M573" s="1"/>
    </row>
    <row r="574" spans="6:13" x14ac:dyDescent="0.2">
      <c r="F574" s="1"/>
      <c r="M574" s="1"/>
    </row>
    <row r="575" spans="6:13" x14ac:dyDescent="0.2">
      <c r="F575" s="1"/>
      <c r="M575" s="1"/>
    </row>
    <row r="576" spans="6:13" x14ac:dyDescent="0.2">
      <c r="F576" s="1"/>
      <c r="M576" s="1"/>
    </row>
    <row r="577" spans="6:13" x14ac:dyDescent="0.2">
      <c r="F577" s="1"/>
      <c r="M577" s="1"/>
    </row>
    <row r="578" spans="6:13" x14ac:dyDescent="0.2">
      <c r="F578" s="1"/>
      <c r="M578" s="1"/>
    </row>
    <row r="579" spans="6:13" x14ac:dyDescent="0.2">
      <c r="F579" s="1"/>
      <c r="M579" s="1"/>
    </row>
    <row r="580" spans="6:13" x14ac:dyDescent="0.2">
      <c r="F580" s="1"/>
      <c r="M580" s="1"/>
    </row>
    <row r="581" spans="6:13" x14ac:dyDescent="0.2">
      <c r="F581" s="1"/>
      <c r="M581" s="1"/>
    </row>
    <row r="582" spans="6:13" x14ac:dyDescent="0.2">
      <c r="F582" s="1"/>
      <c r="M582" s="1"/>
    </row>
    <row r="583" spans="6:13" x14ac:dyDescent="0.2">
      <c r="F583" s="1"/>
      <c r="M583" s="1"/>
    </row>
    <row r="584" spans="6:13" x14ac:dyDescent="0.2">
      <c r="F584" s="1"/>
      <c r="M584" s="1"/>
    </row>
    <row r="585" spans="6:13" x14ac:dyDescent="0.2">
      <c r="F585" s="1"/>
      <c r="M585" s="1"/>
    </row>
    <row r="586" spans="6:13" x14ac:dyDescent="0.2">
      <c r="F586" s="1"/>
      <c r="M586" s="1"/>
    </row>
    <row r="587" spans="6:13" x14ac:dyDescent="0.2">
      <c r="F587" s="1"/>
      <c r="M587" s="1"/>
    </row>
    <row r="588" spans="6:13" x14ac:dyDescent="0.2">
      <c r="F588" s="1"/>
      <c r="M588" s="1"/>
    </row>
    <row r="589" spans="6:13" x14ac:dyDescent="0.2">
      <c r="F589" s="1"/>
      <c r="M589" s="1"/>
    </row>
    <row r="590" spans="6:13" x14ac:dyDescent="0.2">
      <c r="F590" s="1"/>
      <c r="M590" s="1"/>
    </row>
    <row r="591" spans="6:13" x14ac:dyDescent="0.2">
      <c r="F591" s="1"/>
      <c r="M591" s="1"/>
    </row>
    <row r="592" spans="6:13" x14ac:dyDescent="0.2">
      <c r="F592" s="1"/>
      <c r="M592" s="1"/>
    </row>
    <row r="593" spans="6:13" x14ac:dyDescent="0.2">
      <c r="F593" s="1"/>
      <c r="M593" s="1"/>
    </row>
    <row r="594" spans="6:13" x14ac:dyDescent="0.2">
      <c r="F594" s="1"/>
      <c r="M594" s="1"/>
    </row>
    <row r="595" spans="6:13" x14ac:dyDescent="0.2">
      <c r="F595" s="1"/>
      <c r="M595" s="1"/>
    </row>
    <row r="596" spans="6:13" x14ac:dyDescent="0.2">
      <c r="F596" s="1"/>
      <c r="M596" s="1"/>
    </row>
    <row r="597" spans="6:13" x14ac:dyDescent="0.2">
      <c r="F597" s="1"/>
      <c r="M597" s="1"/>
    </row>
    <row r="598" spans="6:13" x14ac:dyDescent="0.2">
      <c r="F598" s="1"/>
      <c r="M598" s="1"/>
    </row>
    <row r="599" spans="6:13" x14ac:dyDescent="0.2">
      <c r="F599" s="1"/>
      <c r="M599" s="1"/>
    </row>
    <row r="600" spans="6:13" x14ac:dyDescent="0.2">
      <c r="F600" s="1"/>
      <c r="M600" s="1"/>
    </row>
    <row r="601" spans="6:13" x14ac:dyDescent="0.2">
      <c r="F601" s="1"/>
      <c r="M601" s="1"/>
    </row>
    <row r="602" spans="6:13" x14ac:dyDescent="0.2">
      <c r="F602" s="1"/>
      <c r="M602" s="1"/>
    </row>
    <row r="603" spans="6:13" x14ac:dyDescent="0.2">
      <c r="F603" s="1"/>
      <c r="M603" s="1"/>
    </row>
    <row r="604" spans="6:13" x14ac:dyDescent="0.2">
      <c r="F604" s="1"/>
      <c r="M604" s="1"/>
    </row>
    <row r="605" spans="6:13" x14ac:dyDescent="0.2">
      <c r="F605" s="1"/>
      <c r="M605" s="1"/>
    </row>
    <row r="606" spans="6:13" x14ac:dyDescent="0.2">
      <c r="F606" s="1"/>
      <c r="M606" s="1"/>
    </row>
    <row r="607" spans="6:13" x14ac:dyDescent="0.2">
      <c r="F607" s="1"/>
      <c r="M607" s="1"/>
    </row>
    <row r="608" spans="6:13" x14ac:dyDescent="0.2">
      <c r="F608" s="1"/>
      <c r="M608" s="1"/>
    </row>
    <row r="609" spans="6:13" x14ac:dyDescent="0.2">
      <c r="F609" s="1"/>
      <c r="M609" s="1"/>
    </row>
    <row r="610" spans="6:13" x14ac:dyDescent="0.2">
      <c r="F610" s="1"/>
      <c r="M610" s="1"/>
    </row>
    <row r="611" spans="6:13" x14ac:dyDescent="0.2">
      <c r="F611" s="1"/>
      <c r="M611" s="1"/>
    </row>
    <row r="612" spans="6:13" x14ac:dyDescent="0.2">
      <c r="F612" s="1"/>
      <c r="M612" s="1"/>
    </row>
    <row r="613" spans="6:13" x14ac:dyDescent="0.2">
      <c r="F613" s="1"/>
      <c r="M613" s="1"/>
    </row>
    <row r="614" spans="6:13" x14ac:dyDescent="0.2">
      <c r="F614" s="1"/>
      <c r="M614" s="1"/>
    </row>
    <row r="615" spans="6:13" x14ac:dyDescent="0.2">
      <c r="F615" s="1"/>
      <c r="M615" s="1"/>
    </row>
    <row r="616" spans="6:13" x14ac:dyDescent="0.2">
      <c r="F616" s="1"/>
      <c r="M616" s="1"/>
    </row>
    <row r="617" spans="6:13" x14ac:dyDescent="0.2">
      <c r="F617" s="1"/>
      <c r="M617" s="1"/>
    </row>
    <row r="618" spans="6:13" x14ac:dyDescent="0.2">
      <c r="F618" s="1"/>
      <c r="M618" s="1"/>
    </row>
    <row r="619" spans="6:13" x14ac:dyDescent="0.2">
      <c r="F619" s="1"/>
      <c r="M619" s="1"/>
    </row>
    <row r="620" spans="6:13" x14ac:dyDescent="0.2">
      <c r="F620" s="1"/>
      <c r="M620" s="1"/>
    </row>
    <row r="621" spans="6:13" x14ac:dyDescent="0.2">
      <c r="F621" s="1"/>
      <c r="M621" s="1"/>
    </row>
    <row r="622" spans="6:13" x14ac:dyDescent="0.2">
      <c r="F622" s="1"/>
      <c r="M622" s="1"/>
    </row>
    <row r="623" spans="6:13" x14ac:dyDescent="0.2">
      <c r="F623" s="1"/>
      <c r="M623" s="1"/>
    </row>
    <row r="624" spans="6:13" x14ac:dyDescent="0.2">
      <c r="F624" s="1"/>
      <c r="M624" s="1"/>
    </row>
    <row r="625" spans="6:13" x14ac:dyDescent="0.2">
      <c r="F625" s="1"/>
      <c r="M625" s="1"/>
    </row>
    <row r="626" spans="6:13" x14ac:dyDescent="0.2">
      <c r="F626" s="1"/>
      <c r="M626" s="1"/>
    </row>
    <row r="627" spans="6:13" x14ac:dyDescent="0.2">
      <c r="F627" s="1"/>
      <c r="M627" s="1"/>
    </row>
    <row r="628" spans="6:13" x14ac:dyDescent="0.2">
      <c r="F628" s="1"/>
      <c r="M628" s="1"/>
    </row>
    <row r="629" spans="6:13" x14ac:dyDescent="0.2">
      <c r="F629" s="1"/>
      <c r="M629" s="1"/>
    </row>
    <row r="630" spans="6:13" x14ac:dyDescent="0.2">
      <c r="F630" s="1"/>
      <c r="M630" s="1"/>
    </row>
    <row r="631" spans="6:13" x14ac:dyDescent="0.2">
      <c r="F631" s="1"/>
      <c r="M631" s="1"/>
    </row>
    <row r="632" spans="6:13" x14ac:dyDescent="0.2">
      <c r="F632" s="1"/>
      <c r="M632" s="1"/>
    </row>
    <row r="633" spans="6:13" x14ac:dyDescent="0.2">
      <c r="F633" s="1"/>
      <c r="M633" s="1"/>
    </row>
    <row r="634" spans="6:13" x14ac:dyDescent="0.2">
      <c r="F634" s="1"/>
      <c r="M634" s="1"/>
    </row>
    <row r="635" spans="6:13" x14ac:dyDescent="0.2">
      <c r="F635" s="1"/>
      <c r="M635" s="1"/>
    </row>
    <row r="636" spans="6:13" x14ac:dyDescent="0.2">
      <c r="F636" s="1"/>
      <c r="M636" s="1"/>
    </row>
    <row r="637" spans="6:13" x14ac:dyDescent="0.2">
      <c r="F637" s="1"/>
      <c r="M637" s="1"/>
    </row>
    <row r="638" spans="6:13" x14ac:dyDescent="0.2">
      <c r="F638" s="1"/>
      <c r="M638" s="1"/>
    </row>
    <row r="639" spans="6:13" x14ac:dyDescent="0.2">
      <c r="F639" s="1"/>
      <c r="M639" s="1"/>
    </row>
    <row r="640" spans="6:13" x14ac:dyDescent="0.2">
      <c r="F640" s="1"/>
      <c r="M640" s="1"/>
    </row>
    <row r="641" spans="6:13" x14ac:dyDescent="0.2">
      <c r="F641" s="1"/>
      <c r="M641" s="1"/>
    </row>
    <row r="642" spans="6:13" x14ac:dyDescent="0.2">
      <c r="F642" s="1"/>
      <c r="M642" s="1"/>
    </row>
    <row r="643" spans="6:13" x14ac:dyDescent="0.2">
      <c r="F643" s="1"/>
      <c r="M643" s="1"/>
    </row>
    <row r="644" spans="6:13" x14ac:dyDescent="0.2">
      <c r="F644" s="1"/>
      <c r="M644" s="1"/>
    </row>
    <row r="645" spans="6:13" x14ac:dyDescent="0.2">
      <c r="F645" s="1"/>
      <c r="M645" s="1"/>
    </row>
    <row r="646" spans="6:13" x14ac:dyDescent="0.2">
      <c r="F646" s="1"/>
      <c r="M646" s="1"/>
    </row>
    <row r="647" spans="6:13" x14ac:dyDescent="0.2">
      <c r="F647" s="1"/>
      <c r="M647" s="1"/>
    </row>
    <row r="648" spans="6:13" x14ac:dyDescent="0.2">
      <c r="F648" s="1"/>
      <c r="M648" s="1"/>
    </row>
    <row r="649" spans="6:13" x14ac:dyDescent="0.2">
      <c r="F649" s="1"/>
      <c r="M649" s="1"/>
    </row>
    <row r="650" spans="6:13" x14ac:dyDescent="0.2">
      <c r="F650" s="1"/>
      <c r="M650" s="1"/>
    </row>
    <row r="651" spans="6:13" x14ac:dyDescent="0.2">
      <c r="F651" s="1"/>
      <c r="M651" s="1"/>
    </row>
    <row r="652" spans="6:13" x14ac:dyDescent="0.2">
      <c r="F652" s="1"/>
      <c r="M652" s="1"/>
    </row>
    <row r="653" spans="6:13" x14ac:dyDescent="0.2">
      <c r="F653" s="1"/>
      <c r="M653" s="1"/>
    </row>
    <row r="654" spans="6:13" x14ac:dyDescent="0.2">
      <c r="F654" s="1"/>
      <c r="M654" s="1"/>
    </row>
    <row r="655" spans="6:13" x14ac:dyDescent="0.2">
      <c r="F655" s="1"/>
      <c r="M655" s="1"/>
    </row>
    <row r="656" spans="6:13" x14ac:dyDescent="0.2">
      <c r="F656" s="1"/>
      <c r="M656" s="1"/>
    </row>
    <row r="657" spans="6:13" x14ac:dyDescent="0.2">
      <c r="F657" s="1"/>
      <c r="M657" s="1"/>
    </row>
    <row r="658" spans="6:13" x14ac:dyDescent="0.2">
      <c r="F658" s="1"/>
      <c r="M658" s="1"/>
    </row>
    <row r="659" spans="6:13" x14ac:dyDescent="0.2">
      <c r="F659" s="1"/>
      <c r="M659" s="1"/>
    </row>
    <row r="660" spans="6:13" x14ac:dyDescent="0.2">
      <c r="F660" s="1"/>
      <c r="M660" s="1"/>
    </row>
    <row r="661" spans="6:13" x14ac:dyDescent="0.2">
      <c r="F661" s="1"/>
      <c r="M661" s="1"/>
    </row>
    <row r="662" spans="6:13" x14ac:dyDescent="0.2">
      <c r="F662" s="1"/>
      <c r="M662" s="1"/>
    </row>
    <row r="663" spans="6:13" x14ac:dyDescent="0.2">
      <c r="F663" s="1"/>
      <c r="M663" s="1"/>
    </row>
    <row r="664" spans="6:13" x14ac:dyDescent="0.2">
      <c r="F664" s="1"/>
      <c r="M664" s="1"/>
    </row>
    <row r="665" spans="6:13" x14ac:dyDescent="0.2">
      <c r="F665" s="1"/>
      <c r="M665" s="1"/>
    </row>
    <row r="666" spans="6:13" x14ac:dyDescent="0.2">
      <c r="F666" s="1"/>
      <c r="M666" s="1"/>
    </row>
    <row r="667" spans="6:13" x14ac:dyDescent="0.2">
      <c r="F667" s="1"/>
      <c r="M667" s="1"/>
    </row>
    <row r="668" spans="6:13" x14ac:dyDescent="0.2">
      <c r="F668" s="1"/>
      <c r="M668" s="1"/>
    </row>
    <row r="669" spans="6:13" x14ac:dyDescent="0.2">
      <c r="F669" s="1"/>
      <c r="M669" s="1"/>
    </row>
    <row r="670" spans="6:13" x14ac:dyDescent="0.2">
      <c r="F670" s="1"/>
      <c r="M670" s="1"/>
    </row>
    <row r="671" spans="6:13" x14ac:dyDescent="0.2">
      <c r="F671" s="1"/>
      <c r="M671" s="1"/>
    </row>
    <row r="672" spans="6:13" x14ac:dyDescent="0.2">
      <c r="F672" s="1"/>
      <c r="M672" s="1"/>
    </row>
    <row r="673" spans="6:13" x14ac:dyDescent="0.2">
      <c r="F673" s="1"/>
      <c r="M673" s="1"/>
    </row>
    <row r="674" spans="6:13" x14ac:dyDescent="0.2">
      <c r="F674" s="1"/>
      <c r="M674" s="1"/>
    </row>
    <row r="675" spans="6:13" x14ac:dyDescent="0.2">
      <c r="F675" s="1"/>
      <c r="M675" s="1"/>
    </row>
    <row r="676" spans="6:13" x14ac:dyDescent="0.2">
      <c r="F676" s="1"/>
      <c r="M676" s="1"/>
    </row>
    <row r="677" spans="6:13" x14ac:dyDescent="0.2">
      <c r="F677" s="1"/>
      <c r="M677" s="1"/>
    </row>
    <row r="678" spans="6:13" x14ac:dyDescent="0.2">
      <c r="F678" s="1"/>
      <c r="M678" s="1"/>
    </row>
    <row r="679" spans="6:13" x14ac:dyDescent="0.2">
      <c r="F679" s="1"/>
      <c r="M679" s="1"/>
    </row>
    <row r="680" spans="6:13" x14ac:dyDescent="0.2">
      <c r="F680" s="1"/>
      <c r="M680" s="1"/>
    </row>
    <row r="681" spans="6:13" x14ac:dyDescent="0.2">
      <c r="F681" s="1"/>
      <c r="M681" s="1"/>
    </row>
    <row r="682" spans="6:13" x14ac:dyDescent="0.2">
      <c r="F682" s="1"/>
      <c r="M682" s="1"/>
    </row>
    <row r="683" spans="6:13" x14ac:dyDescent="0.2">
      <c r="F683" s="1"/>
      <c r="M683" s="1"/>
    </row>
    <row r="684" spans="6:13" x14ac:dyDescent="0.2">
      <c r="F684" s="1"/>
      <c r="M684" s="1"/>
    </row>
    <row r="685" spans="6:13" x14ac:dyDescent="0.2">
      <c r="F685" s="1"/>
      <c r="M685" s="1"/>
    </row>
    <row r="686" spans="6:13" x14ac:dyDescent="0.2">
      <c r="F686" s="1"/>
      <c r="M686" s="1"/>
    </row>
    <row r="687" spans="6:13" x14ac:dyDescent="0.2">
      <c r="F687" s="1"/>
      <c r="M687" s="1"/>
    </row>
    <row r="688" spans="6:13" x14ac:dyDescent="0.2">
      <c r="F688" s="1"/>
      <c r="M688" s="1"/>
    </row>
    <row r="689" spans="6:13" x14ac:dyDescent="0.2">
      <c r="F689" s="1"/>
      <c r="M689" s="1"/>
    </row>
    <row r="690" spans="6:13" x14ac:dyDescent="0.2">
      <c r="F690" s="1"/>
      <c r="M690" s="1"/>
    </row>
    <row r="691" spans="6:13" x14ac:dyDescent="0.2">
      <c r="F691" s="1"/>
      <c r="M691" s="1"/>
    </row>
    <row r="692" spans="6:13" x14ac:dyDescent="0.2">
      <c r="F692" s="1"/>
      <c r="M692" s="1"/>
    </row>
    <row r="693" spans="6:13" x14ac:dyDescent="0.2">
      <c r="F693" s="1"/>
      <c r="M693" s="1"/>
    </row>
    <row r="694" spans="6:13" x14ac:dyDescent="0.2">
      <c r="F694" s="1"/>
      <c r="M694" s="1"/>
    </row>
    <row r="695" spans="6:13" x14ac:dyDescent="0.2">
      <c r="F695" s="1"/>
      <c r="M695" s="1"/>
    </row>
    <row r="696" spans="6:13" x14ac:dyDescent="0.2">
      <c r="F696" s="1"/>
      <c r="M696" s="1"/>
    </row>
    <row r="697" spans="6:13" x14ac:dyDescent="0.2">
      <c r="F697" s="1"/>
      <c r="M697" s="1"/>
    </row>
    <row r="698" spans="6:13" x14ac:dyDescent="0.2">
      <c r="F698" s="1"/>
      <c r="M698" s="1"/>
    </row>
    <row r="699" spans="6:13" x14ac:dyDescent="0.2">
      <c r="F699" s="1"/>
      <c r="M699" s="1"/>
    </row>
    <row r="700" spans="6:13" x14ac:dyDescent="0.2">
      <c r="F700" s="1"/>
      <c r="M700" s="1"/>
    </row>
    <row r="701" spans="6:13" x14ac:dyDescent="0.2">
      <c r="F701" s="1"/>
      <c r="M701" s="1"/>
    </row>
    <row r="702" spans="6:13" x14ac:dyDescent="0.2">
      <c r="F702" s="1"/>
      <c r="M702" s="1"/>
    </row>
    <row r="703" spans="6:13" x14ac:dyDescent="0.2">
      <c r="F703" s="1"/>
      <c r="M703" s="1"/>
    </row>
    <row r="704" spans="6:13" x14ac:dyDescent="0.2">
      <c r="F704" s="1"/>
      <c r="M704" s="1"/>
    </row>
    <row r="705" spans="6:13" x14ac:dyDescent="0.2">
      <c r="F705" s="1"/>
      <c r="M705" s="1"/>
    </row>
    <row r="706" spans="6:13" x14ac:dyDescent="0.2">
      <c r="F706" s="1"/>
      <c r="M706" s="1"/>
    </row>
    <row r="707" spans="6:13" x14ac:dyDescent="0.2">
      <c r="F707" s="1"/>
      <c r="M707" s="1"/>
    </row>
    <row r="708" spans="6:13" x14ac:dyDescent="0.2">
      <c r="F708" s="1"/>
      <c r="M708" s="1"/>
    </row>
    <row r="709" spans="6:13" x14ac:dyDescent="0.2">
      <c r="F709" s="1"/>
      <c r="M709" s="1"/>
    </row>
    <row r="710" spans="6:13" x14ac:dyDescent="0.2">
      <c r="F710" s="1"/>
      <c r="M710" s="1"/>
    </row>
    <row r="711" spans="6:13" x14ac:dyDescent="0.2">
      <c r="F711" s="1"/>
      <c r="M711" s="1"/>
    </row>
    <row r="712" spans="6:13" x14ac:dyDescent="0.2">
      <c r="F712" s="1"/>
      <c r="M712" s="1"/>
    </row>
    <row r="713" spans="6:13" x14ac:dyDescent="0.2">
      <c r="F713" s="1"/>
      <c r="M713" s="1"/>
    </row>
    <row r="714" spans="6:13" x14ac:dyDescent="0.2">
      <c r="F714" s="1"/>
      <c r="M714" s="1"/>
    </row>
    <row r="715" spans="6:13" x14ac:dyDescent="0.2">
      <c r="F715" s="1"/>
      <c r="M715" s="1"/>
    </row>
    <row r="716" spans="6:13" x14ac:dyDescent="0.2">
      <c r="F716" s="1"/>
      <c r="M716" s="1"/>
    </row>
    <row r="717" spans="6:13" x14ac:dyDescent="0.2">
      <c r="F717" s="1"/>
      <c r="M717" s="1"/>
    </row>
    <row r="718" spans="6:13" x14ac:dyDescent="0.2">
      <c r="F718" s="1"/>
      <c r="M718" s="1"/>
    </row>
    <row r="719" spans="6:13" x14ac:dyDescent="0.2">
      <c r="F719" s="1"/>
      <c r="M719" s="1"/>
    </row>
    <row r="720" spans="6:13" x14ac:dyDescent="0.2">
      <c r="F720" s="1"/>
      <c r="M720" s="1"/>
    </row>
    <row r="721" spans="6:13" x14ac:dyDescent="0.2">
      <c r="F721" s="1"/>
      <c r="M721" s="1"/>
    </row>
    <row r="722" spans="6:13" x14ac:dyDescent="0.2">
      <c r="F722" s="1"/>
      <c r="M722" s="1"/>
    </row>
    <row r="723" spans="6:13" x14ac:dyDescent="0.2">
      <c r="F723" s="1"/>
      <c r="M723" s="1"/>
    </row>
    <row r="724" spans="6:13" x14ac:dyDescent="0.2">
      <c r="F724" s="1"/>
      <c r="M724" s="1"/>
    </row>
    <row r="725" spans="6:13" x14ac:dyDescent="0.2">
      <c r="F725" s="1"/>
      <c r="M725" s="1"/>
    </row>
    <row r="726" spans="6:13" x14ac:dyDescent="0.2">
      <c r="F726" s="1"/>
      <c r="M726" s="1"/>
    </row>
    <row r="727" spans="6:13" x14ac:dyDescent="0.2">
      <c r="F727" s="1"/>
      <c r="M727" s="1"/>
    </row>
    <row r="728" spans="6:13" x14ac:dyDescent="0.2">
      <c r="F728" s="1"/>
      <c r="M728" s="1"/>
    </row>
    <row r="729" spans="6:13" x14ac:dyDescent="0.2">
      <c r="F729" s="1"/>
      <c r="M729" s="1"/>
    </row>
    <row r="730" spans="6:13" x14ac:dyDescent="0.2">
      <c r="F730" s="1"/>
      <c r="M730" s="1"/>
    </row>
    <row r="731" spans="6:13" x14ac:dyDescent="0.2">
      <c r="F731" s="1"/>
      <c r="M731" s="1"/>
    </row>
    <row r="732" spans="6:13" x14ac:dyDescent="0.2">
      <c r="F732" s="1"/>
      <c r="M732" s="1"/>
    </row>
    <row r="733" spans="6:13" x14ac:dyDescent="0.2">
      <c r="F733" s="1"/>
      <c r="M733" s="1"/>
    </row>
    <row r="734" spans="6:13" x14ac:dyDescent="0.2">
      <c r="F734" s="1"/>
      <c r="M734" s="1"/>
    </row>
    <row r="735" spans="6:13" x14ac:dyDescent="0.2">
      <c r="F735" s="1"/>
      <c r="M735" s="1"/>
    </row>
    <row r="736" spans="6:13" x14ac:dyDescent="0.2">
      <c r="F736" s="1"/>
      <c r="M736" s="1"/>
    </row>
    <row r="737" spans="6:13" x14ac:dyDescent="0.2">
      <c r="F737" s="1"/>
      <c r="M737" s="1"/>
    </row>
    <row r="738" spans="6:13" x14ac:dyDescent="0.2">
      <c r="F738" s="1"/>
      <c r="M738" s="1"/>
    </row>
    <row r="739" spans="6:13" x14ac:dyDescent="0.2">
      <c r="F739" s="1"/>
      <c r="M739" s="1"/>
    </row>
    <row r="740" spans="6:13" x14ac:dyDescent="0.2">
      <c r="F740" s="1"/>
      <c r="M740" s="1"/>
    </row>
    <row r="741" spans="6:13" x14ac:dyDescent="0.2">
      <c r="F741" s="1"/>
      <c r="M741" s="1"/>
    </row>
    <row r="742" spans="6:13" x14ac:dyDescent="0.2">
      <c r="F742" s="1"/>
      <c r="M742" s="1"/>
    </row>
    <row r="743" spans="6:13" x14ac:dyDescent="0.2">
      <c r="F743" s="1"/>
      <c r="M743" s="1"/>
    </row>
    <row r="744" spans="6:13" x14ac:dyDescent="0.2">
      <c r="F744" s="1"/>
      <c r="M744" s="1"/>
    </row>
    <row r="745" spans="6:13" x14ac:dyDescent="0.2">
      <c r="F745" s="1"/>
      <c r="M745" s="1"/>
    </row>
    <row r="746" spans="6:13" x14ac:dyDescent="0.2">
      <c r="F746" s="1"/>
      <c r="M746" s="1"/>
    </row>
    <row r="747" spans="6:13" x14ac:dyDescent="0.2">
      <c r="F747" s="1"/>
      <c r="M747" s="1"/>
    </row>
    <row r="748" spans="6:13" x14ac:dyDescent="0.2">
      <c r="F748" s="1"/>
      <c r="M748" s="1"/>
    </row>
    <row r="749" spans="6:13" x14ac:dyDescent="0.2">
      <c r="F749" s="1"/>
      <c r="M749" s="1"/>
    </row>
    <row r="750" spans="6:13" x14ac:dyDescent="0.2">
      <c r="F750" s="1"/>
      <c r="M750" s="1"/>
    </row>
    <row r="751" spans="6:13" x14ac:dyDescent="0.2">
      <c r="F751" s="1"/>
      <c r="M751" s="1"/>
    </row>
    <row r="752" spans="6:13" x14ac:dyDescent="0.2">
      <c r="F752" s="1"/>
      <c r="M752" s="1"/>
    </row>
    <row r="753" spans="6:13" x14ac:dyDescent="0.2">
      <c r="F753" s="1"/>
      <c r="M753" s="1"/>
    </row>
    <row r="754" spans="6:13" x14ac:dyDescent="0.2">
      <c r="F754" s="1"/>
      <c r="M754" s="1"/>
    </row>
    <row r="755" spans="6:13" x14ac:dyDescent="0.2">
      <c r="F755" s="1"/>
      <c r="M755" s="1"/>
    </row>
    <row r="756" spans="6:13" x14ac:dyDescent="0.2">
      <c r="F756" s="1"/>
      <c r="M756" s="1"/>
    </row>
    <row r="757" spans="6:13" x14ac:dyDescent="0.2">
      <c r="F757" s="1"/>
      <c r="M757" s="1"/>
    </row>
    <row r="758" spans="6:13" x14ac:dyDescent="0.2">
      <c r="F758" s="1"/>
      <c r="M758" s="1"/>
    </row>
    <row r="759" spans="6:13" x14ac:dyDescent="0.2">
      <c r="F759" s="1"/>
      <c r="M759" s="1"/>
    </row>
    <row r="760" spans="6:13" x14ac:dyDescent="0.2">
      <c r="F760" s="1"/>
      <c r="M760" s="1"/>
    </row>
    <row r="761" spans="6:13" x14ac:dyDescent="0.2">
      <c r="F761" s="1"/>
      <c r="M761" s="1"/>
    </row>
    <row r="762" spans="6:13" x14ac:dyDescent="0.2">
      <c r="F762" s="1"/>
      <c r="M762" s="1"/>
    </row>
    <row r="763" spans="6:13" x14ac:dyDescent="0.2">
      <c r="F763" s="1"/>
      <c r="M763" s="1"/>
    </row>
    <row r="764" spans="6:13" x14ac:dyDescent="0.2">
      <c r="F764" s="1"/>
      <c r="M764" s="1"/>
    </row>
    <row r="765" spans="6:13" x14ac:dyDescent="0.2">
      <c r="F765" s="1"/>
      <c r="M765" s="1"/>
    </row>
    <row r="766" spans="6:13" x14ac:dyDescent="0.2">
      <c r="F766" s="1"/>
      <c r="M766" s="1"/>
    </row>
    <row r="767" spans="6:13" x14ac:dyDescent="0.2">
      <c r="F767" s="1"/>
      <c r="M767" s="1"/>
    </row>
    <row r="768" spans="6:13" x14ac:dyDescent="0.2">
      <c r="F768" s="1"/>
      <c r="M768" s="1"/>
    </row>
    <row r="769" spans="6:13" x14ac:dyDescent="0.2">
      <c r="F769" s="1"/>
      <c r="M769" s="1"/>
    </row>
    <row r="770" spans="6:13" x14ac:dyDescent="0.2">
      <c r="F770" s="1"/>
      <c r="M770" s="1"/>
    </row>
    <row r="771" spans="6:13" x14ac:dyDescent="0.2">
      <c r="F771" s="1"/>
      <c r="M771" s="1"/>
    </row>
    <row r="772" spans="6:13" x14ac:dyDescent="0.2">
      <c r="F772" s="1"/>
      <c r="M772" s="1"/>
    </row>
    <row r="773" spans="6:13" x14ac:dyDescent="0.2">
      <c r="F773" s="1"/>
      <c r="M773" s="1"/>
    </row>
    <row r="774" spans="6:13" x14ac:dyDescent="0.2">
      <c r="F774" s="1"/>
      <c r="M774" s="1"/>
    </row>
    <row r="775" spans="6:13" x14ac:dyDescent="0.2">
      <c r="F775" s="1"/>
      <c r="M775" s="1"/>
    </row>
    <row r="776" spans="6:13" x14ac:dyDescent="0.2">
      <c r="F776" s="1"/>
      <c r="M776" s="1"/>
    </row>
    <row r="777" spans="6:13" x14ac:dyDescent="0.2">
      <c r="F777" s="1"/>
      <c r="M777" s="1"/>
    </row>
    <row r="778" spans="6:13" x14ac:dyDescent="0.2">
      <c r="F778" s="1"/>
      <c r="M778" s="1"/>
    </row>
    <row r="779" spans="6:13" x14ac:dyDescent="0.2">
      <c r="F779" s="1"/>
      <c r="M779" s="1"/>
    </row>
    <row r="780" spans="6:13" x14ac:dyDescent="0.2">
      <c r="F780" s="1"/>
      <c r="M780" s="1"/>
    </row>
    <row r="781" spans="6:13" x14ac:dyDescent="0.2">
      <c r="F781" s="1"/>
      <c r="M781" s="1"/>
    </row>
    <row r="782" spans="6:13" x14ac:dyDescent="0.2">
      <c r="F782" s="1"/>
      <c r="M782" s="1"/>
    </row>
    <row r="783" spans="6:13" x14ac:dyDescent="0.2">
      <c r="F783" s="1"/>
      <c r="M783" s="1"/>
    </row>
    <row r="784" spans="6:13" x14ac:dyDescent="0.2">
      <c r="F784" s="1"/>
      <c r="M784" s="1"/>
    </row>
    <row r="785" spans="6:13" x14ac:dyDescent="0.2">
      <c r="F785" s="1"/>
      <c r="M785" s="1"/>
    </row>
    <row r="786" spans="6:13" x14ac:dyDescent="0.2">
      <c r="F786" s="1"/>
      <c r="M786" s="1"/>
    </row>
    <row r="787" spans="6:13" x14ac:dyDescent="0.2">
      <c r="F787" s="1"/>
      <c r="M787" s="1"/>
    </row>
    <row r="788" spans="6:13" x14ac:dyDescent="0.2">
      <c r="F788" s="1"/>
      <c r="M788" s="1"/>
    </row>
    <row r="789" spans="6:13" x14ac:dyDescent="0.2">
      <c r="F789" s="1"/>
      <c r="M789" s="1"/>
    </row>
    <row r="790" spans="6:13" x14ac:dyDescent="0.2">
      <c r="F790" s="1"/>
      <c r="M790" s="1"/>
    </row>
    <row r="791" spans="6:13" x14ac:dyDescent="0.2">
      <c r="F791" s="1"/>
      <c r="M791" s="1"/>
    </row>
    <row r="792" spans="6:13" x14ac:dyDescent="0.2">
      <c r="F792" s="1"/>
      <c r="M792" s="1"/>
    </row>
    <row r="793" spans="6:13" x14ac:dyDescent="0.2">
      <c r="F793" s="1"/>
      <c r="M793" s="1"/>
    </row>
    <row r="794" spans="6:13" x14ac:dyDescent="0.2">
      <c r="F794" s="1"/>
      <c r="M794" s="1"/>
    </row>
    <row r="795" spans="6:13" x14ac:dyDescent="0.2">
      <c r="F795" s="1"/>
      <c r="M795" s="1"/>
    </row>
    <row r="796" spans="6:13" x14ac:dyDescent="0.2">
      <c r="F796" s="1"/>
      <c r="M796" s="1"/>
    </row>
    <row r="797" spans="6:13" x14ac:dyDescent="0.2">
      <c r="F797" s="1"/>
      <c r="M797" s="1"/>
    </row>
    <row r="798" spans="6:13" x14ac:dyDescent="0.2">
      <c r="F798" s="1"/>
      <c r="M798" s="1"/>
    </row>
    <row r="799" spans="6:13" x14ac:dyDescent="0.2">
      <c r="F799" s="1"/>
      <c r="M799" s="1"/>
    </row>
    <row r="800" spans="6:13" x14ac:dyDescent="0.2">
      <c r="F800" s="1"/>
      <c r="M800" s="1"/>
    </row>
    <row r="801" spans="6:13" x14ac:dyDescent="0.2">
      <c r="F801" s="1"/>
      <c r="M801" s="1"/>
    </row>
    <row r="802" spans="6:13" x14ac:dyDescent="0.2">
      <c r="F802" s="1"/>
      <c r="M802" s="1"/>
    </row>
    <row r="803" spans="6:13" x14ac:dyDescent="0.2">
      <c r="F803" s="1"/>
      <c r="M803" s="1"/>
    </row>
    <row r="804" spans="6:13" x14ac:dyDescent="0.2">
      <c r="F804" s="1"/>
      <c r="M804" s="1"/>
    </row>
    <row r="805" spans="6:13" x14ac:dyDescent="0.2">
      <c r="F805" s="1"/>
      <c r="M805" s="1"/>
    </row>
    <row r="806" spans="6:13" x14ac:dyDescent="0.2">
      <c r="F806" s="1"/>
      <c r="M806" s="1"/>
    </row>
    <row r="807" spans="6:13" x14ac:dyDescent="0.2">
      <c r="F807" s="1"/>
      <c r="M807" s="1"/>
    </row>
    <row r="808" spans="6:13" x14ac:dyDescent="0.2">
      <c r="F808" s="1"/>
      <c r="M808" s="1"/>
    </row>
    <row r="809" spans="6:13" x14ac:dyDescent="0.2">
      <c r="F809" s="1"/>
      <c r="M809" s="1"/>
    </row>
    <row r="810" spans="6:13" x14ac:dyDescent="0.2">
      <c r="F810" s="1"/>
      <c r="M810" s="1"/>
    </row>
    <row r="811" spans="6:13" x14ac:dyDescent="0.2">
      <c r="F811" s="1"/>
      <c r="M811" s="1"/>
    </row>
    <row r="812" spans="6:13" x14ac:dyDescent="0.2">
      <c r="F812" s="1"/>
      <c r="M812" s="1"/>
    </row>
    <row r="813" spans="6:13" x14ac:dyDescent="0.2">
      <c r="F813" s="1"/>
      <c r="M813" s="1"/>
    </row>
    <row r="814" spans="6:13" x14ac:dyDescent="0.2">
      <c r="F814" s="1"/>
      <c r="M814" s="1"/>
    </row>
    <row r="815" spans="6:13" x14ac:dyDescent="0.2">
      <c r="F815" s="1"/>
      <c r="M815" s="1"/>
    </row>
    <row r="816" spans="6:13" x14ac:dyDescent="0.2">
      <c r="F816" s="1"/>
      <c r="M816" s="1"/>
    </row>
    <row r="817" spans="6:13" x14ac:dyDescent="0.2">
      <c r="F817" s="1"/>
      <c r="M817" s="1"/>
    </row>
    <row r="818" spans="6:13" x14ac:dyDescent="0.2">
      <c r="F818" s="1"/>
      <c r="M818" s="1"/>
    </row>
    <row r="819" spans="6:13" x14ac:dyDescent="0.2">
      <c r="F819" s="1"/>
      <c r="M819" s="1"/>
    </row>
    <row r="820" spans="6:13" x14ac:dyDescent="0.2">
      <c r="F820" s="1"/>
      <c r="M820" s="1"/>
    </row>
    <row r="821" spans="6:13" x14ac:dyDescent="0.2">
      <c r="F821" s="1"/>
      <c r="M821" s="1"/>
    </row>
    <row r="822" spans="6:13" x14ac:dyDescent="0.2">
      <c r="F822" s="1"/>
      <c r="M822" s="1"/>
    </row>
    <row r="823" spans="6:13" x14ac:dyDescent="0.2">
      <c r="F823" s="1"/>
      <c r="M823" s="1"/>
    </row>
    <row r="824" spans="6:13" x14ac:dyDescent="0.2">
      <c r="F824" s="1"/>
      <c r="M824" s="1"/>
    </row>
    <row r="825" spans="6:13" x14ac:dyDescent="0.2">
      <c r="F825" s="1"/>
      <c r="M825" s="1"/>
    </row>
    <row r="826" spans="6:13" x14ac:dyDescent="0.2">
      <c r="F826" s="1"/>
      <c r="M826" s="1"/>
    </row>
    <row r="827" spans="6:13" x14ac:dyDescent="0.2">
      <c r="F827" s="1"/>
      <c r="M827" s="1"/>
    </row>
    <row r="828" spans="6:13" x14ac:dyDescent="0.2">
      <c r="F828" s="1"/>
      <c r="M828" s="1"/>
    </row>
    <row r="829" spans="6:13" x14ac:dyDescent="0.2">
      <c r="F829" s="1"/>
      <c r="M829" s="1"/>
    </row>
    <row r="830" spans="6:13" x14ac:dyDescent="0.2">
      <c r="F830" s="1"/>
      <c r="M830" s="1"/>
    </row>
    <row r="831" spans="6:13" x14ac:dyDescent="0.2">
      <c r="F831" s="1"/>
      <c r="M831" s="1"/>
    </row>
    <row r="832" spans="6:13" x14ac:dyDescent="0.2">
      <c r="F832" s="1"/>
      <c r="M832" s="1"/>
    </row>
    <row r="833" spans="6:13" x14ac:dyDescent="0.2">
      <c r="F833" s="1"/>
      <c r="M833" s="1"/>
    </row>
    <row r="834" spans="6:13" x14ac:dyDescent="0.2">
      <c r="F834" s="1"/>
      <c r="M834" s="1"/>
    </row>
    <row r="835" spans="6:13" x14ac:dyDescent="0.2">
      <c r="F835" s="1"/>
      <c r="M835" s="1"/>
    </row>
    <row r="836" spans="6:13" x14ac:dyDescent="0.2">
      <c r="F836" s="1"/>
      <c r="M836" s="1"/>
    </row>
    <row r="837" spans="6:13" x14ac:dyDescent="0.2">
      <c r="F837" s="1"/>
      <c r="M837" s="1"/>
    </row>
    <row r="838" spans="6:13" x14ac:dyDescent="0.2">
      <c r="F838" s="1"/>
      <c r="M838" s="1"/>
    </row>
    <row r="839" spans="6:13" x14ac:dyDescent="0.2">
      <c r="F839" s="1"/>
      <c r="M839" s="1"/>
    </row>
    <row r="840" spans="6:13" x14ac:dyDescent="0.2">
      <c r="F840" s="1"/>
      <c r="M840" s="1"/>
    </row>
    <row r="841" spans="6:13" x14ac:dyDescent="0.2">
      <c r="F841" s="1"/>
      <c r="M841" s="1"/>
    </row>
    <row r="842" spans="6:13" x14ac:dyDescent="0.2">
      <c r="F842" s="1"/>
      <c r="M842" s="1"/>
    </row>
    <row r="843" spans="6:13" x14ac:dyDescent="0.2">
      <c r="F843" s="1"/>
      <c r="M843" s="1"/>
    </row>
    <row r="844" spans="6:13" x14ac:dyDescent="0.2">
      <c r="F844" s="1"/>
      <c r="M844" s="1"/>
    </row>
    <row r="845" spans="6:13" x14ac:dyDescent="0.2">
      <c r="F845" s="1"/>
      <c r="M845" s="1"/>
    </row>
    <row r="846" spans="6:13" x14ac:dyDescent="0.2">
      <c r="F846" s="1"/>
      <c r="M846" s="1"/>
    </row>
    <row r="847" spans="6:13" x14ac:dyDescent="0.2">
      <c r="F847" s="1"/>
      <c r="M847" s="1"/>
    </row>
    <row r="848" spans="6:13" x14ac:dyDescent="0.2">
      <c r="F848" s="1"/>
      <c r="M848" s="1"/>
    </row>
    <row r="849" spans="6:13" x14ac:dyDescent="0.2">
      <c r="F849" s="1"/>
      <c r="M849" s="1"/>
    </row>
    <row r="850" spans="6:13" x14ac:dyDescent="0.2">
      <c r="F850" s="1"/>
      <c r="M850" s="1"/>
    </row>
    <row r="851" spans="6:13" x14ac:dyDescent="0.2">
      <c r="F851" s="1"/>
      <c r="M851" s="1"/>
    </row>
    <row r="852" spans="6:13" x14ac:dyDescent="0.2">
      <c r="F852" s="1"/>
      <c r="M852" s="1"/>
    </row>
    <row r="853" spans="6:13" x14ac:dyDescent="0.2">
      <c r="F853" s="1"/>
      <c r="M853" s="1"/>
    </row>
    <row r="854" spans="6:13" x14ac:dyDescent="0.2">
      <c r="F854" s="1"/>
      <c r="M854" s="1"/>
    </row>
    <row r="855" spans="6:13" x14ac:dyDescent="0.2">
      <c r="F855" s="1"/>
      <c r="M855" s="1"/>
    </row>
    <row r="856" spans="6:13" x14ac:dyDescent="0.2">
      <c r="F856" s="1"/>
      <c r="M856" s="1"/>
    </row>
    <row r="857" spans="6:13" x14ac:dyDescent="0.2">
      <c r="F857" s="1"/>
      <c r="M857" s="1"/>
    </row>
    <row r="858" spans="6:13" x14ac:dyDescent="0.2">
      <c r="F858" s="1"/>
      <c r="M858" s="1"/>
    </row>
    <row r="859" spans="6:13" x14ac:dyDescent="0.2">
      <c r="F859" s="1"/>
      <c r="M859" s="1"/>
    </row>
    <row r="860" spans="6:13" x14ac:dyDescent="0.2">
      <c r="F860" s="1"/>
      <c r="M860" s="1"/>
    </row>
    <row r="861" spans="6:13" x14ac:dyDescent="0.2">
      <c r="F861" s="1"/>
      <c r="M861" s="1"/>
    </row>
    <row r="862" spans="6:13" x14ac:dyDescent="0.2">
      <c r="F862" s="1"/>
      <c r="M862" s="1"/>
    </row>
    <row r="863" spans="6:13" x14ac:dyDescent="0.2">
      <c r="F863" s="1"/>
      <c r="M863" s="1"/>
    </row>
    <row r="864" spans="6:13" x14ac:dyDescent="0.2">
      <c r="F864" s="1"/>
      <c r="M864" s="1"/>
    </row>
    <row r="865" spans="6:13" x14ac:dyDescent="0.2">
      <c r="F865" s="1"/>
      <c r="M865" s="1"/>
    </row>
    <row r="866" spans="6:13" x14ac:dyDescent="0.2">
      <c r="F866" s="1"/>
      <c r="M866" s="1"/>
    </row>
    <row r="867" spans="6:13" x14ac:dyDescent="0.2">
      <c r="F867" s="1"/>
      <c r="M867" s="1"/>
    </row>
    <row r="868" spans="6:13" x14ac:dyDescent="0.2">
      <c r="F868" s="1"/>
      <c r="M868" s="1"/>
    </row>
    <row r="869" spans="6:13" x14ac:dyDescent="0.2">
      <c r="F869" s="1"/>
      <c r="M869" s="1"/>
    </row>
    <row r="870" spans="6:13" x14ac:dyDescent="0.2">
      <c r="F870" s="1"/>
      <c r="M870" s="1"/>
    </row>
    <row r="871" spans="6:13" x14ac:dyDescent="0.2">
      <c r="F871" s="1"/>
      <c r="M871" s="1"/>
    </row>
    <row r="872" spans="6:13" x14ac:dyDescent="0.2">
      <c r="F872" s="1"/>
      <c r="M872" s="1"/>
    </row>
    <row r="873" spans="6:13" x14ac:dyDescent="0.2">
      <c r="F873" s="1"/>
      <c r="M873" s="1"/>
    </row>
    <row r="874" spans="6:13" x14ac:dyDescent="0.2">
      <c r="F874" s="1"/>
      <c r="M874" s="1"/>
    </row>
    <row r="875" spans="6:13" x14ac:dyDescent="0.2">
      <c r="F875" s="1"/>
      <c r="M875" s="1"/>
    </row>
    <row r="876" spans="6:13" x14ac:dyDescent="0.2">
      <c r="F876" s="1"/>
      <c r="M876" s="1"/>
    </row>
    <row r="877" spans="6:13" x14ac:dyDescent="0.2">
      <c r="F877" s="1"/>
      <c r="M877" s="1"/>
    </row>
    <row r="878" spans="6:13" x14ac:dyDescent="0.2">
      <c r="F878" s="1"/>
      <c r="M878" s="1"/>
    </row>
    <row r="879" spans="6:13" x14ac:dyDescent="0.2">
      <c r="F879" s="1"/>
      <c r="M879" s="1"/>
    </row>
    <row r="880" spans="6:13" x14ac:dyDescent="0.2">
      <c r="F880" s="1"/>
      <c r="M880" s="1"/>
    </row>
    <row r="881" spans="6:13" x14ac:dyDescent="0.2">
      <c r="F881" s="1"/>
      <c r="M881" s="1"/>
    </row>
    <row r="882" spans="6:13" x14ac:dyDescent="0.2">
      <c r="F882" s="1"/>
      <c r="M882" s="1"/>
    </row>
    <row r="883" spans="6:13" x14ac:dyDescent="0.2">
      <c r="F883" s="1"/>
      <c r="M883" s="1"/>
    </row>
    <row r="884" spans="6:13" x14ac:dyDescent="0.2">
      <c r="F884" s="1"/>
      <c r="M884" s="1"/>
    </row>
    <row r="885" spans="6:13" x14ac:dyDescent="0.2">
      <c r="F885" s="1"/>
      <c r="M885" s="1"/>
    </row>
    <row r="886" spans="6:13" x14ac:dyDescent="0.2">
      <c r="F886" s="1"/>
      <c r="M886" s="1"/>
    </row>
    <row r="887" spans="6:13" x14ac:dyDescent="0.2">
      <c r="F887" s="1"/>
      <c r="M887" s="1"/>
    </row>
    <row r="888" spans="6:13" x14ac:dyDescent="0.2">
      <c r="F888" s="1"/>
      <c r="M888" s="1"/>
    </row>
    <row r="889" spans="6:13" x14ac:dyDescent="0.2">
      <c r="F889" s="1"/>
      <c r="M889" s="1"/>
    </row>
    <row r="890" spans="6:13" x14ac:dyDescent="0.2">
      <c r="F890" s="1"/>
      <c r="M890" s="1"/>
    </row>
    <row r="891" spans="6:13" x14ac:dyDescent="0.2">
      <c r="F891" s="1"/>
      <c r="M891" s="1"/>
    </row>
    <row r="892" spans="6:13" x14ac:dyDescent="0.2">
      <c r="F892" s="1"/>
      <c r="M892" s="1"/>
    </row>
    <row r="893" spans="6:13" x14ac:dyDescent="0.2">
      <c r="F893" s="1"/>
      <c r="M893" s="1"/>
    </row>
    <row r="894" spans="6:13" x14ac:dyDescent="0.2">
      <c r="F894" s="1"/>
      <c r="M894" s="1"/>
    </row>
    <row r="895" spans="6:13" x14ac:dyDescent="0.2">
      <c r="F895" s="1"/>
    </row>
    <row r="896" spans="6:13" x14ac:dyDescent="0.2">
      <c r="F896" s="1"/>
    </row>
    <row r="897" spans="6:6" x14ac:dyDescent="0.2">
      <c r="F897" s="1"/>
    </row>
    <row r="898" spans="6:6" x14ac:dyDescent="0.2">
      <c r="F898" s="1"/>
    </row>
    <row r="899" spans="6:6" x14ac:dyDescent="0.2">
      <c r="F899" s="1"/>
    </row>
    <row r="900" spans="6:6" x14ac:dyDescent="0.2">
      <c r="F900" s="1"/>
    </row>
    <row r="901" spans="6:6" x14ac:dyDescent="0.2">
      <c r="F901" s="1"/>
    </row>
    <row r="902" spans="6:6" x14ac:dyDescent="0.2">
      <c r="F902" s="1"/>
    </row>
    <row r="903" spans="6:6" x14ac:dyDescent="0.2">
      <c r="F903" s="1"/>
    </row>
    <row r="904" spans="6:6" x14ac:dyDescent="0.2">
      <c r="F904" s="1"/>
    </row>
    <row r="905" spans="6:6" x14ac:dyDescent="0.2">
      <c r="F905" s="1"/>
    </row>
    <row r="906" spans="6:6" x14ac:dyDescent="0.2">
      <c r="F906" s="1"/>
    </row>
    <row r="907" spans="6:6" x14ac:dyDescent="0.2">
      <c r="F907" s="1"/>
    </row>
    <row r="908" spans="6:6" x14ac:dyDescent="0.2">
      <c r="F908" s="1"/>
    </row>
    <row r="909" spans="6:6" x14ac:dyDescent="0.2">
      <c r="F909" s="1"/>
    </row>
    <row r="910" spans="6:6" x14ac:dyDescent="0.2">
      <c r="F910" s="1"/>
    </row>
    <row r="911" spans="6:6" x14ac:dyDescent="0.2">
      <c r="F911" s="1"/>
    </row>
    <row r="912" spans="6:6" x14ac:dyDescent="0.2">
      <c r="F912" s="1"/>
    </row>
    <row r="913" spans="6:6" x14ac:dyDescent="0.2">
      <c r="F913" s="1"/>
    </row>
    <row r="914" spans="6:6" x14ac:dyDescent="0.2">
      <c r="F914" s="1"/>
    </row>
    <row r="915" spans="6:6" x14ac:dyDescent="0.2">
      <c r="F915" s="1"/>
    </row>
    <row r="916" spans="6:6" x14ac:dyDescent="0.2">
      <c r="F916" s="1"/>
    </row>
    <row r="917" spans="6:6" x14ac:dyDescent="0.2">
      <c r="F917" s="1"/>
    </row>
    <row r="918" spans="6:6" x14ac:dyDescent="0.2">
      <c r="F918" s="1"/>
    </row>
    <row r="919" spans="6:6" x14ac:dyDescent="0.2">
      <c r="F919" s="1"/>
    </row>
    <row r="920" spans="6:6" x14ac:dyDescent="0.2">
      <c r="F920" s="1"/>
    </row>
    <row r="921" spans="6:6" x14ac:dyDescent="0.2">
      <c r="F921" s="1"/>
    </row>
    <row r="922" spans="6:6" x14ac:dyDescent="0.2">
      <c r="F922" s="1"/>
    </row>
    <row r="923" spans="6:6" x14ac:dyDescent="0.2">
      <c r="F923" s="1"/>
    </row>
    <row r="924" spans="6:6" x14ac:dyDescent="0.2">
      <c r="F924" s="1"/>
    </row>
    <row r="925" spans="6:6" x14ac:dyDescent="0.2">
      <c r="F925" s="1"/>
    </row>
    <row r="926" spans="6:6" x14ac:dyDescent="0.2">
      <c r="F926" s="1"/>
    </row>
    <row r="927" spans="6:6" x14ac:dyDescent="0.2">
      <c r="F927" s="1"/>
    </row>
    <row r="928" spans="6:6" x14ac:dyDescent="0.2">
      <c r="F928" s="1"/>
    </row>
    <row r="929" spans="6:6" x14ac:dyDescent="0.2">
      <c r="F929" s="1"/>
    </row>
    <row r="930" spans="6:6" x14ac:dyDescent="0.2">
      <c r="F930" s="1"/>
    </row>
    <row r="931" spans="6:6" x14ac:dyDescent="0.2">
      <c r="F931" s="1"/>
    </row>
    <row r="932" spans="6:6" x14ac:dyDescent="0.2">
      <c r="F932" s="1"/>
    </row>
    <row r="933" spans="6:6" x14ac:dyDescent="0.2">
      <c r="F933" s="1"/>
    </row>
    <row r="934" spans="6:6" x14ac:dyDescent="0.2">
      <c r="F934" s="1"/>
    </row>
    <row r="935" spans="6:6" x14ac:dyDescent="0.2">
      <c r="F935" s="1"/>
    </row>
    <row r="936" spans="6:6" x14ac:dyDescent="0.2">
      <c r="F936" s="1"/>
    </row>
    <row r="937" spans="6:6" x14ac:dyDescent="0.2">
      <c r="F937" s="1"/>
    </row>
    <row r="938" spans="6:6" x14ac:dyDescent="0.2">
      <c r="F938" s="1"/>
    </row>
    <row r="939" spans="6:6" x14ac:dyDescent="0.2">
      <c r="F939" s="1"/>
    </row>
    <row r="940" spans="6:6" x14ac:dyDescent="0.2">
      <c r="F940" s="1"/>
    </row>
    <row r="941" spans="6:6" x14ac:dyDescent="0.2">
      <c r="F941" s="1"/>
    </row>
    <row r="942" spans="6:6" x14ac:dyDescent="0.2">
      <c r="F942" s="1"/>
    </row>
    <row r="943" spans="6:6" x14ac:dyDescent="0.2">
      <c r="F943" s="1"/>
    </row>
    <row r="944" spans="6:6" x14ac:dyDescent="0.2">
      <c r="F944" s="1"/>
    </row>
    <row r="945" spans="6:6" x14ac:dyDescent="0.2">
      <c r="F945" s="1"/>
    </row>
    <row r="946" spans="6:6" x14ac:dyDescent="0.2">
      <c r="F946" s="1"/>
    </row>
    <row r="947" spans="6:6" x14ac:dyDescent="0.2">
      <c r="F947" s="1"/>
    </row>
    <row r="948" spans="6:6" x14ac:dyDescent="0.2">
      <c r="F948" s="1"/>
    </row>
    <row r="949" spans="6:6" x14ac:dyDescent="0.2">
      <c r="F949" s="1"/>
    </row>
    <row r="950" spans="6:6" x14ac:dyDescent="0.2">
      <c r="F950" s="1"/>
    </row>
    <row r="951" spans="6:6" x14ac:dyDescent="0.2">
      <c r="F951" s="1"/>
    </row>
    <row r="952" spans="6:6" x14ac:dyDescent="0.2">
      <c r="F952" s="1"/>
    </row>
    <row r="953" spans="6:6" x14ac:dyDescent="0.2">
      <c r="F953" s="1"/>
    </row>
    <row r="954" spans="6:6" x14ac:dyDescent="0.2">
      <c r="F954" s="1"/>
    </row>
    <row r="955" spans="6:6" x14ac:dyDescent="0.2">
      <c r="F955" s="1"/>
    </row>
    <row r="956" spans="6:6" x14ac:dyDescent="0.2">
      <c r="F956" s="1"/>
    </row>
    <row r="957" spans="6:6" x14ac:dyDescent="0.2">
      <c r="F957" s="1"/>
    </row>
    <row r="958" spans="6:6" x14ac:dyDescent="0.2">
      <c r="F958" s="1"/>
    </row>
    <row r="959" spans="6:6" x14ac:dyDescent="0.2">
      <c r="F959" s="1"/>
    </row>
    <row r="960" spans="6:6" x14ac:dyDescent="0.2">
      <c r="F960" s="1"/>
    </row>
    <row r="961" spans="6:6" x14ac:dyDescent="0.2">
      <c r="F961" s="1"/>
    </row>
    <row r="962" spans="6:6" x14ac:dyDescent="0.2">
      <c r="F962" s="1"/>
    </row>
    <row r="963" spans="6:6" x14ac:dyDescent="0.2">
      <c r="F963" s="1"/>
    </row>
    <row r="964" spans="6:6" x14ac:dyDescent="0.2">
      <c r="F964" s="1"/>
    </row>
    <row r="965" spans="6:6" x14ac:dyDescent="0.2">
      <c r="F965" s="1"/>
    </row>
    <row r="966" spans="6:6" x14ac:dyDescent="0.2">
      <c r="F966" s="1"/>
    </row>
    <row r="967" spans="6:6" x14ac:dyDescent="0.2">
      <c r="F967" s="1"/>
    </row>
    <row r="968" spans="6:6" x14ac:dyDescent="0.2">
      <c r="F968" s="1"/>
    </row>
    <row r="969" spans="6:6" x14ac:dyDescent="0.2">
      <c r="F969" s="1"/>
    </row>
    <row r="970" spans="6:6" x14ac:dyDescent="0.2">
      <c r="F970" s="1"/>
    </row>
    <row r="971" spans="6:6" x14ac:dyDescent="0.2">
      <c r="F971" s="1"/>
    </row>
    <row r="972" spans="6:6" x14ac:dyDescent="0.2">
      <c r="F972" s="1"/>
    </row>
    <row r="973" spans="6:6" x14ac:dyDescent="0.2">
      <c r="F973" s="1"/>
    </row>
    <row r="974" spans="6:6" x14ac:dyDescent="0.2">
      <c r="F974" s="1"/>
    </row>
    <row r="975" spans="6:6" x14ac:dyDescent="0.2">
      <c r="F975" s="1"/>
    </row>
    <row r="976" spans="6:6" x14ac:dyDescent="0.2">
      <c r="F976" s="1"/>
    </row>
    <row r="977" spans="6:6" x14ac:dyDescent="0.2">
      <c r="F977" s="1"/>
    </row>
    <row r="978" spans="6:6" x14ac:dyDescent="0.2">
      <c r="F978" s="1"/>
    </row>
    <row r="979" spans="6:6" x14ac:dyDescent="0.2">
      <c r="F979" s="1"/>
    </row>
    <row r="980" spans="6:6" x14ac:dyDescent="0.2">
      <c r="F980" s="1"/>
    </row>
    <row r="981" spans="6:6" x14ac:dyDescent="0.2">
      <c r="F981" s="1"/>
    </row>
    <row r="982" spans="6:6" x14ac:dyDescent="0.2">
      <c r="F982" s="1"/>
    </row>
    <row r="983" spans="6:6" x14ac:dyDescent="0.2">
      <c r="F983" s="1"/>
    </row>
    <row r="984" spans="6:6" x14ac:dyDescent="0.2">
      <c r="F984" s="1"/>
    </row>
    <row r="985" spans="6:6" x14ac:dyDescent="0.2">
      <c r="F985" s="1"/>
    </row>
    <row r="986" spans="6:6" x14ac:dyDescent="0.2">
      <c r="F986" s="1"/>
    </row>
    <row r="987" spans="6:6" x14ac:dyDescent="0.2">
      <c r="F987" s="1"/>
    </row>
    <row r="988" spans="6:6" x14ac:dyDescent="0.2">
      <c r="F988" s="1"/>
    </row>
    <row r="989" spans="6:6" x14ac:dyDescent="0.2">
      <c r="F989" s="1"/>
    </row>
    <row r="990" spans="6:6" x14ac:dyDescent="0.2">
      <c r="F990" s="1"/>
    </row>
    <row r="991" spans="6:6" x14ac:dyDescent="0.2">
      <c r="F991" s="1"/>
    </row>
    <row r="992" spans="6:6" x14ac:dyDescent="0.2">
      <c r="F992" s="1"/>
    </row>
    <row r="993" spans="6:6" x14ac:dyDescent="0.2">
      <c r="F993" s="1"/>
    </row>
    <row r="994" spans="6:6" x14ac:dyDescent="0.2">
      <c r="F994" s="1"/>
    </row>
    <row r="995" spans="6:6" x14ac:dyDescent="0.2">
      <c r="F995" s="1"/>
    </row>
    <row r="996" spans="6:6" x14ac:dyDescent="0.2">
      <c r="F996" s="1"/>
    </row>
    <row r="997" spans="6:6" x14ac:dyDescent="0.2">
      <c r="F997" s="1"/>
    </row>
    <row r="998" spans="6:6" x14ac:dyDescent="0.2">
      <c r="F998" s="1"/>
    </row>
    <row r="999" spans="6:6" x14ac:dyDescent="0.2">
      <c r="F999" s="1"/>
    </row>
    <row r="1000" spans="6:6" x14ac:dyDescent="0.2">
      <c r="F1000" s="1"/>
    </row>
    <row r="1001" spans="6:6" x14ac:dyDescent="0.2">
      <c r="F1001" s="1"/>
    </row>
    <row r="1002" spans="6:6" x14ac:dyDescent="0.2">
      <c r="F1002" s="1"/>
    </row>
    <row r="1003" spans="6:6" x14ac:dyDescent="0.2">
      <c r="F1003" s="1"/>
    </row>
    <row r="1004" spans="6:6" x14ac:dyDescent="0.2">
      <c r="F1004" s="1"/>
    </row>
    <row r="1005" spans="6:6" x14ac:dyDescent="0.2">
      <c r="F1005" s="1"/>
    </row>
    <row r="1006" spans="6:6" x14ac:dyDescent="0.2">
      <c r="F1006" s="1"/>
    </row>
    <row r="1007" spans="6:6" x14ac:dyDescent="0.2">
      <c r="F1007" s="1"/>
    </row>
    <row r="1008" spans="6:6" x14ac:dyDescent="0.2">
      <c r="F1008" s="1"/>
    </row>
    <row r="1009" spans="6:6" x14ac:dyDescent="0.2">
      <c r="F1009" s="1"/>
    </row>
    <row r="1010" spans="6:6" x14ac:dyDescent="0.2">
      <c r="F1010" s="1"/>
    </row>
    <row r="1011" spans="6:6" x14ac:dyDescent="0.2">
      <c r="F1011" s="1"/>
    </row>
    <row r="1012" spans="6:6" x14ac:dyDescent="0.2">
      <c r="F1012" s="1"/>
    </row>
    <row r="1013" spans="6:6" x14ac:dyDescent="0.2">
      <c r="F1013" s="1"/>
    </row>
    <row r="1014" spans="6:6" x14ac:dyDescent="0.2">
      <c r="F1014" s="1"/>
    </row>
    <row r="1015" spans="6:6" x14ac:dyDescent="0.2">
      <c r="F1015" s="1"/>
    </row>
    <row r="1016" spans="6:6" x14ac:dyDescent="0.2">
      <c r="F1016" s="1"/>
    </row>
    <row r="1017" spans="6:6" x14ac:dyDescent="0.2">
      <c r="F1017" s="1"/>
    </row>
    <row r="1018" spans="6:6" x14ac:dyDescent="0.2">
      <c r="F1018" s="1"/>
    </row>
    <row r="1019" spans="6:6" x14ac:dyDescent="0.2">
      <c r="F1019" s="1"/>
    </row>
    <row r="1020" spans="6:6" x14ac:dyDescent="0.2">
      <c r="F1020" s="1"/>
    </row>
    <row r="1021" spans="6:6" x14ac:dyDescent="0.2">
      <c r="F1021" s="1"/>
    </row>
    <row r="1022" spans="6:6" x14ac:dyDescent="0.2">
      <c r="F1022" s="1"/>
    </row>
    <row r="1023" spans="6:6" x14ac:dyDescent="0.2">
      <c r="F1023" s="1"/>
    </row>
    <row r="1024" spans="6:6" x14ac:dyDescent="0.2">
      <c r="F1024" s="1"/>
    </row>
    <row r="1025" spans="6:6" x14ac:dyDescent="0.2">
      <c r="F1025" s="1"/>
    </row>
    <row r="1026" spans="6:6" x14ac:dyDescent="0.2">
      <c r="F1026" s="1"/>
    </row>
    <row r="1027" spans="6:6" x14ac:dyDescent="0.2">
      <c r="F1027" s="1"/>
    </row>
    <row r="1028" spans="6:6" x14ac:dyDescent="0.2">
      <c r="F1028" s="1"/>
    </row>
    <row r="1029" spans="6:6" x14ac:dyDescent="0.2">
      <c r="F1029" s="1"/>
    </row>
    <row r="1030" spans="6:6" x14ac:dyDescent="0.2">
      <c r="F1030" s="1"/>
    </row>
    <row r="1031" spans="6:6" x14ac:dyDescent="0.2">
      <c r="F1031" s="1"/>
    </row>
    <row r="1032" spans="6:6" x14ac:dyDescent="0.2">
      <c r="F1032" s="1"/>
    </row>
    <row r="1033" spans="6:6" x14ac:dyDescent="0.2">
      <c r="F1033" s="1"/>
    </row>
    <row r="1034" spans="6:6" x14ac:dyDescent="0.2">
      <c r="F1034" s="1"/>
    </row>
    <row r="1035" spans="6:6" x14ac:dyDescent="0.2">
      <c r="F1035" s="1"/>
    </row>
    <row r="1036" spans="6:6" x14ac:dyDescent="0.2">
      <c r="F1036" s="1"/>
    </row>
    <row r="1037" spans="6:6" x14ac:dyDescent="0.2">
      <c r="F1037" s="1"/>
    </row>
    <row r="1038" spans="6:6" x14ac:dyDescent="0.2">
      <c r="F1038" s="1"/>
    </row>
    <row r="1039" spans="6:6" x14ac:dyDescent="0.2">
      <c r="F1039" s="1"/>
    </row>
    <row r="1040" spans="6:6" x14ac:dyDescent="0.2">
      <c r="F1040" s="1"/>
    </row>
    <row r="1041" spans="6:6" x14ac:dyDescent="0.2">
      <c r="F1041" s="1"/>
    </row>
    <row r="1042" spans="6:6" x14ac:dyDescent="0.2">
      <c r="F1042" s="1"/>
    </row>
    <row r="1043" spans="6:6" x14ac:dyDescent="0.2">
      <c r="F1043" s="1"/>
    </row>
    <row r="1044" spans="6:6" x14ac:dyDescent="0.2">
      <c r="F1044" s="1"/>
    </row>
    <row r="1045" spans="6:6" x14ac:dyDescent="0.2">
      <c r="F1045" s="1"/>
    </row>
    <row r="1046" spans="6:6" x14ac:dyDescent="0.2">
      <c r="F1046" s="1"/>
    </row>
    <row r="1047" spans="6:6" x14ac:dyDescent="0.2">
      <c r="F1047" s="1"/>
    </row>
    <row r="1048" spans="6:6" x14ac:dyDescent="0.2">
      <c r="F1048" s="1"/>
    </row>
    <row r="1049" spans="6:6" x14ac:dyDescent="0.2">
      <c r="F1049" s="1"/>
    </row>
    <row r="1050" spans="6:6" x14ac:dyDescent="0.2">
      <c r="F1050" s="1"/>
    </row>
    <row r="1051" spans="6:6" x14ac:dyDescent="0.2">
      <c r="F1051" s="1"/>
    </row>
    <row r="1052" spans="6:6" x14ac:dyDescent="0.2">
      <c r="F1052" s="1"/>
    </row>
    <row r="1053" spans="6:6" x14ac:dyDescent="0.2">
      <c r="F1053" s="1"/>
    </row>
    <row r="1054" spans="6:6" x14ac:dyDescent="0.2">
      <c r="F1054" s="1"/>
    </row>
    <row r="1055" spans="6:6" x14ac:dyDescent="0.2">
      <c r="F1055" s="1"/>
    </row>
    <row r="1056" spans="6:6" x14ac:dyDescent="0.2">
      <c r="F1056" s="1"/>
    </row>
    <row r="1057" spans="6:6" x14ac:dyDescent="0.2">
      <c r="F1057" s="1"/>
    </row>
    <row r="1058" spans="6:6" x14ac:dyDescent="0.2">
      <c r="F1058" s="1"/>
    </row>
    <row r="1059" spans="6:6" x14ac:dyDescent="0.2">
      <c r="F1059" s="1"/>
    </row>
    <row r="1060" spans="6:6" x14ac:dyDescent="0.2">
      <c r="F1060" s="1"/>
    </row>
    <row r="1061" spans="6:6" x14ac:dyDescent="0.2">
      <c r="F1061" s="1"/>
    </row>
    <row r="1062" spans="6:6" x14ac:dyDescent="0.2">
      <c r="F1062" s="1"/>
    </row>
    <row r="1063" spans="6:6" x14ac:dyDescent="0.2">
      <c r="F1063" s="1"/>
    </row>
    <row r="1064" spans="6:6" x14ac:dyDescent="0.2">
      <c r="F1064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Monster!$B:$B</xm:f>
          </x14:formula1>
          <xm:sqref>F2:F1064</xm:sqref>
        </x14:dataValidation>
        <x14:dataValidation type="list" allowBlank="1" showErrorMessage="1" xr:uid="{00000000-0002-0000-0100-000001000000}">
          <x14:formula1>
            <xm:f>Monster!$H:$H</xm:f>
          </x14:formula1>
          <xm:sqref>M305:M894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I108"/>
  <sheetViews>
    <sheetView workbookViewId="0"/>
  </sheetViews>
  <sheetFormatPr defaultColWidth="12.5703125" defaultRowHeight="15.75" customHeight="1" x14ac:dyDescent="0.2"/>
  <sheetData>
    <row r="1" spans="1:9" x14ac:dyDescent="0.2">
      <c r="A1" s="1" t="s">
        <v>0</v>
      </c>
      <c r="B1" s="1" t="s">
        <v>1</v>
      </c>
      <c r="C1" s="1" t="s">
        <v>7</v>
      </c>
      <c r="E1" s="1" t="s">
        <v>12</v>
      </c>
      <c r="F1" s="1" t="s">
        <v>15</v>
      </c>
      <c r="G1" s="1" t="s">
        <v>17</v>
      </c>
      <c r="H1" s="1" t="s">
        <v>19</v>
      </c>
      <c r="I1" s="1" t="s">
        <v>21</v>
      </c>
    </row>
    <row r="2" spans="1:9" x14ac:dyDescent="0.2">
      <c r="B2" s="1" t="s">
        <v>23</v>
      </c>
      <c r="C2" s="1">
        <v>2</v>
      </c>
      <c r="E2" s="1" t="s">
        <v>25</v>
      </c>
      <c r="F2" s="1" t="s">
        <v>26</v>
      </c>
    </row>
    <row r="3" spans="1:9" x14ac:dyDescent="0.2">
      <c r="B3" s="1" t="s">
        <v>28</v>
      </c>
      <c r="C3" s="1">
        <v>5</v>
      </c>
      <c r="E3" s="1" t="s">
        <v>30</v>
      </c>
      <c r="F3" s="1" t="s">
        <v>31</v>
      </c>
      <c r="G3" s="1" t="s">
        <v>32</v>
      </c>
      <c r="H3" s="1" t="s">
        <v>35</v>
      </c>
      <c r="I3" s="1" t="s">
        <v>37</v>
      </c>
    </row>
    <row r="4" spans="1:9" x14ac:dyDescent="0.2">
      <c r="B4" s="1" t="s">
        <v>38</v>
      </c>
      <c r="C4" s="1">
        <v>5</v>
      </c>
      <c r="E4" s="1" t="s">
        <v>40</v>
      </c>
      <c r="F4" s="1" t="s">
        <v>42</v>
      </c>
      <c r="G4" s="1" t="s">
        <v>43</v>
      </c>
      <c r="H4" s="1" t="s">
        <v>44</v>
      </c>
      <c r="I4" s="1" t="s">
        <v>45</v>
      </c>
    </row>
    <row r="5" spans="1:9" x14ac:dyDescent="0.2">
      <c r="B5" s="1" t="s">
        <v>46</v>
      </c>
      <c r="C5" s="1">
        <v>5</v>
      </c>
      <c r="E5" s="2" t="s">
        <v>49</v>
      </c>
      <c r="F5" s="1" t="s">
        <v>51</v>
      </c>
      <c r="G5" s="2" t="s">
        <v>54</v>
      </c>
      <c r="H5" s="2" t="s">
        <v>56</v>
      </c>
      <c r="I5" s="2" t="s">
        <v>57</v>
      </c>
    </row>
    <row r="6" spans="1:9" x14ac:dyDescent="0.2">
      <c r="B6" s="1" t="s">
        <v>59</v>
      </c>
      <c r="C6" s="1">
        <v>5</v>
      </c>
      <c r="E6" s="1" t="s">
        <v>62</v>
      </c>
      <c r="F6" s="1" t="s">
        <v>64</v>
      </c>
      <c r="G6" s="1" t="s">
        <v>65</v>
      </c>
      <c r="H6" s="1" t="s">
        <v>67</v>
      </c>
      <c r="I6" s="1" t="s">
        <v>68</v>
      </c>
    </row>
    <row r="7" spans="1:9" x14ac:dyDescent="0.2">
      <c r="B7" s="1" t="s">
        <v>70</v>
      </c>
      <c r="C7" s="1">
        <v>3</v>
      </c>
      <c r="E7" s="1" t="s">
        <v>72</v>
      </c>
      <c r="F7" s="1" t="s">
        <v>73</v>
      </c>
      <c r="G7" s="1" t="s">
        <v>74</v>
      </c>
    </row>
    <row r="8" spans="1:9" x14ac:dyDescent="0.2">
      <c r="B8" s="1" t="s">
        <v>77</v>
      </c>
      <c r="C8" s="1">
        <v>1</v>
      </c>
      <c r="E8" s="1" t="s">
        <v>78</v>
      </c>
    </row>
    <row r="9" spans="1:9" x14ac:dyDescent="0.2">
      <c r="B9" s="1" t="s">
        <v>80</v>
      </c>
      <c r="C9" s="1">
        <v>5</v>
      </c>
      <c r="E9" s="1" t="s">
        <v>83</v>
      </c>
      <c r="F9" s="1" t="s">
        <v>84</v>
      </c>
      <c r="G9" s="1" t="s">
        <v>85</v>
      </c>
      <c r="H9" s="1" t="s">
        <v>86</v>
      </c>
      <c r="I9" s="1" t="s">
        <v>88</v>
      </c>
    </row>
    <row r="10" spans="1:9" x14ac:dyDescent="0.2">
      <c r="B10" s="1" t="s">
        <v>90</v>
      </c>
      <c r="C10" s="1">
        <v>3</v>
      </c>
      <c r="E10" s="1" t="s">
        <v>94</v>
      </c>
      <c r="F10" s="1" t="s">
        <v>96</v>
      </c>
      <c r="G10" s="1" t="s">
        <v>99</v>
      </c>
    </row>
    <row r="11" spans="1:9" x14ac:dyDescent="0.2">
      <c r="B11" s="1" t="s">
        <v>101</v>
      </c>
      <c r="C11" s="1">
        <v>3</v>
      </c>
      <c r="E11" s="1" t="s">
        <v>103</v>
      </c>
      <c r="F11" s="1" t="s">
        <v>105</v>
      </c>
      <c r="G11" s="1" t="s">
        <v>106</v>
      </c>
    </row>
    <row r="12" spans="1:9" x14ac:dyDescent="0.2">
      <c r="B12" s="1" t="s">
        <v>108</v>
      </c>
      <c r="C12" s="1">
        <v>3</v>
      </c>
      <c r="E12" s="1" t="s">
        <v>110</v>
      </c>
      <c r="F12" s="1" t="s">
        <v>111</v>
      </c>
      <c r="G12" s="1" t="s">
        <v>113</v>
      </c>
    </row>
    <row r="13" spans="1:9" x14ac:dyDescent="0.2">
      <c r="B13" s="1" t="s">
        <v>116</v>
      </c>
      <c r="C13" s="1">
        <v>5</v>
      </c>
      <c r="E13" s="1" t="s">
        <v>120</v>
      </c>
      <c r="F13" s="1" t="s">
        <v>122</v>
      </c>
      <c r="G13" s="1" t="s">
        <v>123</v>
      </c>
      <c r="H13" s="1" t="s">
        <v>124</v>
      </c>
      <c r="I13" s="1" t="s">
        <v>126</v>
      </c>
    </row>
    <row r="14" spans="1:9" x14ac:dyDescent="0.2">
      <c r="B14" s="1" t="s">
        <v>127</v>
      </c>
      <c r="C14" s="1">
        <v>3</v>
      </c>
      <c r="E14" s="1" t="s">
        <v>128</v>
      </c>
      <c r="F14" s="1" t="s">
        <v>129</v>
      </c>
      <c r="G14" s="1" t="s">
        <v>130</v>
      </c>
    </row>
    <row r="15" spans="1:9" x14ac:dyDescent="0.2">
      <c r="B15" s="1" t="s">
        <v>132</v>
      </c>
      <c r="C15" s="1">
        <v>5</v>
      </c>
      <c r="E15" s="1" t="s">
        <v>134</v>
      </c>
      <c r="F15" s="1" t="s">
        <v>135</v>
      </c>
      <c r="G15" s="1" t="s">
        <v>136</v>
      </c>
      <c r="H15" s="1" t="s">
        <v>139</v>
      </c>
      <c r="I15" s="1" t="s">
        <v>141</v>
      </c>
    </row>
    <row r="16" spans="1:9" x14ac:dyDescent="0.2">
      <c r="B16" s="1" t="s">
        <v>144</v>
      </c>
      <c r="C16" s="1">
        <v>5</v>
      </c>
      <c r="E16" s="1" t="s">
        <v>145</v>
      </c>
      <c r="F16" s="1" t="s">
        <v>147</v>
      </c>
      <c r="G16" s="1" t="s">
        <v>148</v>
      </c>
      <c r="H16" s="1" t="s">
        <v>149</v>
      </c>
      <c r="I16" s="1" t="s">
        <v>150</v>
      </c>
    </row>
    <row r="17" spans="2:9" x14ac:dyDescent="0.2">
      <c r="B17" s="1" t="s">
        <v>152</v>
      </c>
      <c r="C17" s="1">
        <v>3</v>
      </c>
      <c r="E17" s="1" t="s">
        <v>153</v>
      </c>
      <c r="F17" s="1" t="s">
        <v>154</v>
      </c>
      <c r="G17" s="1" t="s">
        <v>156</v>
      </c>
    </row>
    <row r="18" spans="2:9" x14ac:dyDescent="0.2">
      <c r="B18" s="1" t="s">
        <v>158</v>
      </c>
      <c r="C18" s="1">
        <v>5</v>
      </c>
      <c r="E18" s="1" t="s">
        <v>159</v>
      </c>
      <c r="F18" s="1" t="s">
        <v>161</v>
      </c>
      <c r="G18" s="1" t="s">
        <v>162</v>
      </c>
      <c r="H18" s="1" t="s">
        <v>163</v>
      </c>
      <c r="I18" s="1" t="s">
        <v>164</v>
      </c>
    </row>
    <row r="19" spans="2:9" x14ac:dyDescent="0.2">
      <c r="B19" s="1" t="s">
        <v>166</v>
      </c>
      <c r="C19" s="1">
        <v>5</v>
      </c>
      <c r="E19" s="1" t="s">
        <v>168</v>
      </c>
      <c r="F19" s="1" t="s">
        <v>169</v>
      </c>
      <c r="G19" s="1" t="s">
        <v>170</v>
      </c>
      <c r="H19" s="1" t="s">
        <v>172</v>
      </c>
      <c r="I19" s="1" t="s">
        <v>174</v>
      </c>
    </row>
    <row r="20" spans="2:9" x14ac:dyDescent="0.2">
      <c r="B20" s="1" t="s">
        <v>175</v>
      </c>
      <c r="C20" s="1">
        <v>5</v>
      </c>
      <c r="E20" s="1" t="s">
        <v>177</v>
      </c>
      <c r="F20" s="1" t="s">
        <v>178</v>
      </c>
      <c r="G20" s="1" t="s">
        <v>180</v>
      </c>
      <c r="H20" s="1" t="s">
        <v>181</v>
      </c>
      <c r="I20" s="1" t="s">
        <v>182</v>
      </c>
    </row>
    <row r="21" spans="2:9" x14ac:dyDescent="0.2">
      <c r="B21" s="1" t="s">
        <v>55</v>
      </c>
      <c r="C21" s="1">
        <v>5</v>
      </c>
      <c r="E21" s="1" t="s">
        <v>187</v>
      </c>
      <c r="F21" s="1" t="s">
        <v>188</v>
      </c>
      <c r="G21" s="1" t="s">
        <v>189</v>
      </c>
      <c r="H21" s="1" t="s">
        <v>191</v>
      </c>
      <c r="I21" s="1" t="s">
        <v>192</v>
      </c>
    </row>
    <row r="22" spans="2:9" x14ac:dyDescent="0.2">
      <c r="B22" s="1" t="s">
        <v>194</v>
      </c>
      <c r="C22" s="1">
        <v>5</v>
      </c>
      <c r="E22" s="1" t="s">
        <v>195</v>
      </c>
      <c r="F22" s="1" t="s">
        <v>196</v>
      </c>
      <c r="G22" s="1" t="s">
        <v>198</v>
      </c>
      <c r="H22" s="1" t="s">
        <v>200</v>
      </c>
      <c r="I22" s="1" t="s">
        <v>201</v>
      </c>
    </row>
    <row r="23" spans="2:9" x14ac:dyDescent="0.2">
      <c r="B23" s="1" t="s">
        <v>204</v>
      </c>
      <c r="C23" s="1">
        <v>5</v>
      </c>
      <c r="E23" s="1" t="s">
        <v>206</v>
      </c>
      <c r="F23" s="1" t="s">
        <v>207</v>
      </c>
      <c r="G23" s="1" t="s">
        <v>208</v>
      </c>
      <c r="H23" s="1" t="s">
        <v>209</v>
      </c>
      <c r="I23" s="1" t="s">
        <v>211</v>
      </c>
    </row>
    <row r="24" spans="2:9" x14ac:dyDescent="0.2">
      <c r="B24" s="1" t="s">
        <v>213</v>
      </c>
      <c r="C24" s="1">
        <v>5</v>
      </c>
      <c r="E24" s="1" t="s">
        <v>214</v>
      </c>
      <c r="F24" s="1" t="s">
        <v>215</v>
      </c>
      <c r="G24" s="1" t="s">
        <v>217</v>
      </c>
      <c r="H24" s="1" t="s">
        <v>218</v>
      </c>
      <c r="I24" s="1" t="s">
        <v>220</v>
      </c>
    </row>
    <row r="25" spans="2:9" x14ac:dyDescent="0.2">
      <c r="B25" s="1" t="s">
        <v>221</v>
      </c>
      <c r="C25" s="1">
        <v>3</v>
      </c>
      <c r="E25" s="1" t="s">
        <v>224</v>
      </c>
      <c r="F25" s="1" t="s">
        <v>225</v>
      </c>
      <c r="G25" s="1" t="s">
        <v>227</v>
      </c>
    </row>
    <row r="26" spans="2:9" x14ac:dyDescent="0.2">
      <c r="B26" s="1" t="s">
        <v>228</v>
      </c>
      <c r="C26" s="1">
        <v>5</v>
      </c>
      <c r="E26" s="1" t="s">
        <v>230</v>
      </c>
      <c r="F26" s="1" t="s">
        <v>231</v>
      </c>
      <c r="G26" s="1" t="s">
        <v>232</v>
      </c>
      <c r="H26" s="1" t="s">
        <v>233</v>
      </c>
      <c r="I26" s="1" t="s">
        <v>235</v>
      </c>
    </row>
    <row r="27" spans="2:9" x14ac:dyDescent="0.2">
      <c r="B27" s="1" t="s">
        <v>237</v>
      </c>
      <c r="C27" s="1">
        <v>5</v>
      </c>
      <c r="E27" s="1" t="s">
        <v>238</v>
      </c>
      <c r="F27" s="1" t="s">
        <v>240</v>
      </c>
      <c r="G27" s="1" t="s">
        <v>241</v>
      </c>
      <c r="H27" s="1" t="s">
        <v>242</v>
      </c>
      <c r="I27" s="1" t="s">
        <v>243</v>
      </c>
    </row>
    <row r="28" spans="2:9" x14ac:dyDescent="0.2">
      <c r="B28" s="1" t="s">
        <v>244</v>
      </c>
      <c r="C28" s="1">
        <v>5</v>
      </c>
      <c r="E28" s="1" t="s">
        <v>247</v>
      </c>
      <c r="F28" s="1" t="s">
        <v>248</v>
      </c>
      <c r="G28" s="1" t="s">
        <v>249</v>
      </c>
      <c r="H28" s="1" t="s">
        <v>250</v>
      </c>
      <c r="I28" s="1" t="s">
        <v>252</v>
      </c>
    </row>
    <row r="29" spans="2:9" x14ac:dyDescent="0.2">
      <c r="B29" s="1" t="s">
        <v>253</v>
      </c>
      <c r="C29" s="1">
        <v>5</v>
      </c>
      <c r="E29" s="1" t="s">
        <v>254</v>
      </c>
      <c r="F29" s="1" t="s">
        <v>257</v>
      </c>
      <c r="G29" s="1" t="s">
        <v>259</v>
      </c>
      <c r="H29" s="1" t="s">
        <v>260</v>
      </c>
      <c r="I29" s="1" t="s">
        <v>261</v>
      </c>
    </row>
    <row r="30" spans="2:9" x14ac:dyDescent="0.2">
      <c r="B30" s="1" t="s">
        <v>262</v>
      </c>
      <c r="C30" s="1">
        <v>3</v>
      </c>
      <c r="E30" s="1" t="s">
        <v>265</v>
      </c>
      <c r="F30" s="1" t="s">
        <v>266</v>
      </c>
      <c r="G30" s="1" t="s">
        <v>267</v>
      </c>
    </row>
    <row r="31" spans="2:9" x14ac:dyDescent="0.2">
      <c r="B31" s="1" t="s">
        <v>269</v>
      </c>
      <c r="C31" s="1">
        <v>5</v>
      </c>
      <c r="E31" s="1" t="s">
        <v>270</v>
      </c>
      <c r="F31" s="1" t="s">
        <v>271</v>
      </c>
      <c r="G31" s="1" t="s">
        <v>272</v>
      </c>
      <c r="H31" s="1" t="s">
        <v>274</v>
      </c>
      <c r="I31" s="1" t="s">
        <v>275</v>
      </c>
    </row>
    <row r="32" spans="2:9" x14ac:dyDescent="0.2">
      <c r="B32" s="1" t="s">
        <v>276</v>
      </c>
      <c r="C32" s="1">
        <v>5</v>
      </c>
      <c r="E32" s="1" t="s">
        <v>277</v>
      </c>
      <c r="F32" s="1" t="s">
        <v>279</v>
      </c>
      <c r="G32" s="1" t="s">
        <v>281</v>
      </c>
      <c r="H32" s="1" t="s">
        <v>282</v>
      </c>
      <c r="I32" s="1" t="s">
        <v>283</v>
      </c>
    </row>
    <row r="33" spans="2:9" x14ac:dyDescent="0.2">
      <c r="B33" s="1" t="s">
        <v>284</v>
      </c>
      <c r="C33" s="1">
        <v>5</v>
      </c>
      <c r="E33" s="1" t="s">
        <v>285</v>
      </c>
      <c r="F33" s="1" t="s">
        <v>286</v>
      </c>
      <c r="G33" s="1" t="s">
        <v>287</v>
      </c>
      <c r="H33" s="1" t="s">
        <v>289</v>
      </c>
      <c r="I33" s="1" t="s">
        <v>290</v>
      </c>
    </row>
    <row r="34" spans="2:9" x14ac:dyDescent="0.2">
      <c r="B34" s="1" t="s">
        <v>291</v>
      </c>
      <c r="C34" s="1">
        <v>5</v>
      </c>
      <c r="E34" s="1" t="s">
        <v>292</v>
      </c>
      <c r="F34" s="1" t="s">
        <v>294</v>
      </c>
      <c r="G34" s="1" t="s">
        <v>295</v>
      </c>
      <c r="H34" s="1" t="s">
        <v>296</v>
      </c>
      <c r="I34" s="1" t="s">
        <v>297</v>
      </c>
    </row>
    <row r="35" spans="2:9" x14ac:dyDescent="0.2">
      <c r="B35" s="1" t="s">
        <v>222</v>
      </c>
      <c r="C35" s="1">
        <v>3</v>
      </c>
      <c r="E35" s="1" t="s">
        <v>301</v>
      </c>
      <c r="F35" s="1" t="s">
        <v>303</v>
      </c>
      <c r="G35" s="1" t="s">
        <v>304</v>
      </c>
    </row>
    <row r="36" spans="2:9" x14ac:dyDescent="0.2">
      <c r="B36" s="1" t="s">
        <v>306</v>
      </c>
      <c r="C36" s="1">
        <v>3</v>
      </c>
      <c r="E36" s="1" t="s">
        <v>307</v>
      </c>
      <c r="F36" s="1" t="s">
        <v>308</v>
      </c>
      <c r="G36" s="1" t="s">
        <v>309</v>
      </c>
    </row>
    <row r="37" spans="2:9" x14ac:dyDescent="0.2">
      <c r="B37" s="1" t="s">
        <v>311</v>
      </c>
      <c r="C37" s="1">
        <v>5</v>
      </c>
      <c r="E37" s="1" t="s">
        <v>312</v>
      </c>
      <c r="F37" s="1" t="s">
        <v>313</v>
      </c>
      <c r="G37" s="1" t="s">
        <v>315</v>
      </c>
      <c r="H37" s="1" t="s">
        <v>317</v>
      </c>
      <c r="I37" s="1" t="s">
        <v>318</v>
      </c>
    </row>
    <row r="38" spans="2:9" x14ac:dyDescent="0.2">
      <c r="B38" s="1" t="s">
        <v>319</v>
      </c>
      <c r="C38" s="1">
        <v>5</v>
      </c>
      <c r="E38" s="1" t="s">
        <v>321</v>
      </c>
      <c r="F38" s="1" t="s">
        <v>323</v>
      </c>
      <c r="G38" s="1" t="s">
        <v>325</v>
      </c>
      <c r="H38" s="1" t="s">
        <v>326</v>
      </c>
      <c r="I38" s="1" t="s">
        <v>327</v>
      </c>
    </row>
    <row r="39" spans="2:9" x14ac:dyDescent="0.2">
      <c r="B39" s="1" t="s">
        <v>329</v>
      </c>
      <c r="C39" s="1">
        <v>5</v>
      </c>
      <c r="E39" s="1" t="s">
        <v>331</v>
      </c>
      <c r="F39" s="1" t="s">
        <v>332</v>
      </c>
      <c r="G39" s="1" t="s">
        <v>333</v>
      </c>
      <c r="H39" s="1" t="s">
        <v>335</v>
      </c>
      <c r="I39" s="1" t="s">
        <v>337</v>
      </c>
    </row>
    <row r="40" spans="2:9" x14ac:dyDescent="0.2">
      <c r="B40" s="1" t="s">
        <v>338</v>
      </c>
      <c r="C40" s="1">
        <v>1</v>
      </c>
      <c r="E40" s="1" t="s">
        <v>340</v>
      </c>
    </row>
    <row r="41" spans="2:9" x14ac:dyDescent="0.2">
      <c r="B41" s="1" t="s">
        <v>341</v>
      </c>
      <c r="C41" s="1">
        <v>5</v>
      </c>
      <c r="E41" s="1" t="s">
        <v>342</v>
      </c>
      <c r="F41" s="1" t="s">
        <v>344</v>
      </c>
      <c r="G41" s="1" t="s">
        <v>345</v>
      </c>
      <c r="H41" s="1" t="s">
        <v>346</v>
      </c>
      <c r="I41" s="1" t="s">
        <v>347</v>
      </c>
    </row>
    <row r="42" spans="2:9" x14ac:dyDescent="0.2">
      <c r="B42" s="1" t="s">
        <v>348</v>
      </c>
      <c r="C42" s="1">
        <v>5</v>
      </c>
      <c r="E42" s="1" t="s">
        <v>350</v>
      </c>
      <c r="F42" s="1" t="s">
        <v>351</v>
      </c>
      <c r="G42" s="1" t="s">
        <v>352</v>
      </c>
      <c r="H42" s="1" t="s">
        <v>353</v>
      </c>
      <c r="I42" s="1" t="s">
        <v>355</v>
      </c>
    </row>
    <row r="43" spans="2:9" x14ac:dyDescent="0.2">
      <c r="B43" s="1" t="s">
        <v>358</v>
      </c>
      <c r="C43" s="1">
        <v>3</v>
      </c>
      <c r="E43" s="1" t="s">
        <v>359</v>
      </c>
      <c r="F43" s="1" t="s">
        <v>361</v>
      </c>
      <c r="G43" s="1" t="s">
        <v>362</v>
      </c>
    </row>
    <row r="44" spans="2:9" x14ac:dyDescent="0.2">
      <c r="B44" s="1" t="s">
        <v>364</v>
      </c>
      <c r="C44" s="1">
        <v>5</v>
      </c>
      <c r="E44" s="1" t="s">
        <v>366</v>
      </c>
      <c r="F44" s="1" t="s">
        <v>367</v>
      </c>
      <c r="G44" s="1" t="s">
        <v>368</v>
      </c>
      <c r="H44" s="1" t="s">
        <v>369</v>
      </c>
      <c r="I44" s="1" t="s">
        <v>371</v>
      </c>
    </row>
    <row r="45" spans="2:9" x14ac:dyDescent="0.2">
      <c r="B45" s="1" t="s">
        <v>372</v>
      </c>
      <c r="C45" s="1">
        <v>1</v>
      </c>
      <c r="E45" s="1" t="s">
        <v>373</v>
      </c>
    </row>
    <row r="46" spans="2:9" x14ac:dyDescent="0.2">
      <c r="B46" s="1" t="s">
        <v>375</v>
      </c>
      <c r="C46" s="1">
        <v>5</v>
      </c>
      <c r="E46" s="1" t="s">
        <v>376</v>
      </c>
      <c r="F46" s="1" t="s">
        <v>377</v>
      </c>
      <c r="G46" s="1" t="s">
        <v>378</v>
      </c>
      <c r="H46" s="1" t="s">
        <v>379</v>
      </c>
      <c r="I46" s="1" t="s">
        <v>380</v>
      </c>
    </row>
    <row r="47" spans="2:9" x14ac:dyDescent="0.2">
      <c r="B47" s="1" t="s">
        <v>115</v>
      </c>
      <c r="C47" s="1">
        <v>3</v>
      </c>
      <c r="E47" s="1" t="s">
        <v>381</v>
      </c>
      <c r="F47" s="1" t="s">
        <v>383</v>
      </c>
      <c r="G47" s="1" t="s">
        <v>384</v>
      </c>
    </row>
    <row r="48" spans="2:9" x14ac:dyDescent="0.2">
      <c r="B48" s="1" t="s">
        <v>385</v>
      </c>
      <c r="C48" s="1">
        <v>3</v>
      </c>
      <c r="E48" s="1" t="s">
        <v>387</v>
      </c>
      <c r="F48" s="1" t="s">
        <v>388</v>
      </c>
      <c r="G48" s="1" t="s">
        <v>389</v>
      </c>
    </row>
    <row r="49" spans="2:9" x14ac:dyDescent="0.2">
      <c r="B49" s="1" t="s">
        <v>390</v>
      </c>
      <c r="C49" s="1">
        <v>3</v>
      </c>
      <c r="E49" s="1" t="s">
        <v>391</v>
      </c>
      <c r="F49" s="1" t="s">
        <v>392</v>
      </c>
      <c r="G49" s="1" t="s">
        <v>393</v>
      </c>
    </row>
    <row r="50" spans="2:9" x14ac:dyDescent="0.2">
      <c r="B50" s="1" t="s">
        <v>394</v>
      </c>
      <c r="C50" s="1">
        <v>5</v>
      </c>
      <c r="E50" s="1" t="s">
        <v>395</v>
      </c>
      <c r="F50" s="1" t="s">
        <v>396</v>
      </c>
      <c r="G50" s="1" t="s">
        <v>397</v>
      </c>
      <c r="H50" s="1" t="s">
        <v>398</v>
      </c>
      <c r="I50" s="1" t="s">
        <v>399</v>
      </c>
    </row>
    <row r="51" spans="2:9" x14ac:dyDescent="0.2">
      <c r="B51" s="1" t="s">
        <v>400</v>
      </c>
      <c r="C51" s="1">
        <v>5</v>
      </c>
      <c r="E51" s="1" t="s">
        <v>402</v>
      </c>
      <c r="F51" s="1" t="s">
        <v>403</v>
      </c>
      <c r="G51" s="1" t="s">
        <v>404</v>
      </c>
      <c r="H51" s="1" t="s">
        <v>405</v>
      </c>
      <c r="I51" s="1" t="s">
        <v>406</v>
      </c>
    </row>
    <row r="52" spans="2:9" x14ac:dyDescent="0.2">
      <c r="B52" s="1" t="s">
        <v>407</v>
      </c>
      <c r="C52" s="1">
        <v>3</v>
      </c>
      <c r="E52" s="1" t="s">
        <v>408</v>
      </c>
      <c r="F52" s="1" t="s">
        <v>409</v>
      </c>
      <c r="G52" s="1" t="s">
        <v>411</v>
      </c>
    </row>
    <row r="53" spans="2:9" x14ac:dyDescent="0.2">
      <c r="B53" s="1" t="s">
        <v>412</v>
      </c>
      <c r="C53" s="1">
        <v>1</v>
      </c>
      <c r="E53" s="1" t="s">
        <v>413</v>
      </c>
    </row>
    <row r="54" spans="2:9" x14ac:dyDescent="0.2">
      <c r="B54" s="1" t="s">
        <v>414</v>
      </c>
      <c r="C54" s="1">
        <v>5</v>
      </c>
      <c r="E54" s="1" t="s">
        <v>415</v>
      </c>
      <c r="F54" s="1" t="s">
        <v>416</v>
      </c>
      <c r="G54" s="1" t="s">
        <v>417</v>
      </c>
      <c r="H54" s="1" t="s">
        <v>418</v>
      </c>
      <c r="I54" s="1" t="s">
        <v>420</v>
      </c>
    </row>
    <row r="55" spans="2:9" x14ac:dyDescent="0.2">
      <c r="B55" s="1" t="s">
        <v>421</v>
      </c>
      <c r="C55" s="1">
        <v>1</v>
      </c>
      <c r="E55" s="1" t="s">
        <v>422</v>
      </c>
    </row>
    <row r="56" spans="2:9" x14ac:dyDescent="0.2">
      <c r="B56" s="1" t="s">
        <v>423</v>
      </c>
      <c r="C56" s="1">
        <v>3</v>
      </c>
      <c r="E56" s="1" t="s">
        <v>424</v>
      </c>
      <c r="F56" s="1" t="s">
        <v>425</v>
      </c>
      <c r="G56" s="1" t="s">
        <v>426</v>
      </c>
    </row>
    <row r="57" spans="2:9" x14ac:dyDescent="0.2">
      <c r="B57" s="1" t="s">
        <v>427</v>
      </c>
      <c r="C57" s="1">
        <v>3</v>
      </c>
      <c r="E57" s="1" t="s">
        <v>428</v>
      </c>
      <c r="F57" s="1" t="s">
        <v>429</v>
      </c>
      <c r="G57" s="1" t="s">
        <v>430</v>
      </c>
    </row>
    <row r="58" spans="2:9" x14ac:dyDescent="0.2">
      <c r="B58" s="1" t="s">
        <v>432</v>
      </c>
      <c r="C58" s="1">
        <v>5</v>
      </c>
      <c r="E58" s="1" t="s">
        <v>433</v>
      </c>
      <c r="F58" s="1" t="s">
        <v>434</v>
      </c>
      <c r="G58" s="1" t="s">
        <v>435</v>
      </c>
      <c r="H58" s="1" t="s">
        <v>436</v>
      </c>
      <c r="I58" s="1" t="s">
        <v>438</v>
      </c>
    </row>
    <row r="59" spans="2:9" x14ac:dyDescent="0.2">
      <c r="B59" s="1" t="s">
        <v>440</v>
      </c>
      <c r="C59" s="1">
        <v>5</v>
      </c>
      <c r="E59" s="1" t="s">
        <v>442</v>
      </c>
      <c r="F59" s="1" t="s">
        <v>443</v>
      </c>
      <c r="G59" s="1" t="s">
        <v>444</v>
      </c>
      <c r="H59" s="1" t="s">
        <v>445</v>
      </c>
      <c r="I59" s="1" t="s">
        <v>446</v>
      </c>
    </row>
    <row r="60" spans="2:9" x14ac:dyDescent="0.2">
      <c r="B60" s="1" t="s">
        <v>447</v>
      </c>
      <c r="C60" s="1">
        <v>5</v>
      </c>
      <c r="E60" s="1" t="s">
        <v>448</v>
      </c>
      <c r="F60" s="1" t="s">
        <v>449</v>
      </c>
      <c r="G60" s="1" t="s">
        <v>450</v>
      </c>
      <c r="H60" s="1" t="s">
        <v>451</v>
      </c>
      <c r="I60" s="1" t="s">
        <v>452</v>
      </c>
    </row>
    <row r="61" spans="2:9" x14ac:dyDescent="0.2">
      <c r="B61" s="1" t="s">
        <v>453</v>
      </c>
      <c r="C61" s="1">
        <v>5</v>
      </c>
      <c r="E61" s="1" t="s">
        <v>455</v>
      </c>
      <c r="F61" s="1" t="s">
        <v>456</v>
      </c>
      <c r="G61" s="1" t="s">
        <v>457</v>
      </c>
      <c r="H61" s="1" t="s">
        <v>458</v>
      </c>
      <c r="I61" s="1" t="s">
        <v>459</v>
      </c>
    </row>
    <row r="62" spans="2:9" x14ac:dyDescent="0.2">
      <c r="B62" s="1" t="s">
        <v>431</v>
      </c>
      <c r="C62" s="1">
        <v>3</v>
      </c>
      <c r="E62" s="1" t="s">
        <v>460</v>
      </c>
      <c r="F62" s="1" t="s">
        <v>461</v>
      </c>
      <c r="G62" s="1" t="s">
        <v>462</v>
      </c>
    </row>
    <row r="63" spans="2:9" x14ac:dyDescent="0.2">
      <c r="B63" s="1" t="s">
        <v>463</v>
      </c>
      <c r="C63" s="1">
        <v>5</v>
      </c>
      <c r="E63" s="1" t="s">
        <v>464</v>
      </c>
      <c r="F63" s="1" t="s">
        <v>465</v>
      </c>
      <c r="G63" s="1" t="s">
        <v>467</v>
      </c>
      <c r="H63" s="1" t="s">
        <v>468</v>
      </c>
      <c r="I63" s="1" t="s">
        <v>469</v>
      </c>
    </row>
    <row r="64" spans="2:9" x14ac:dyDescent="0.2">
      <c r="B64" s="1" t="s">
        <v>470</v>
      </c>
      <c r="C64" s="1">
        <v>5</v>
      </c>
      <c r="E64" s="1" t="s">
        <v>471</v>
      </c>
      <c r="F64" s="1" t="s">
        <v>472</v>
      </c>
      <c r="G64" s="1" t="s">
        <v>473</v>
      </c>
      <c r="H64" s="1" t="s">
        <v>474</v>
      </c>
      <c r="I64" s="1" t="s">
        <v>475</v>
      </c>
    </row>
    <row r="65" spans="2:9" x14ac:dyDescent="0.2">
      <c r="B65" s="1" t="s">
        <v>476</v>
      </c>
      <c r="C65" s="1">
        <v>5</v>
      </c>
      <c r="E65" s="1" t="s">
        <v>478</v>
      </c>
      <c r="F65" s="1" t="s">
        <v>479</v>
      </c>
      <c r="G65" s="1" t="s">
        <v>480</v>
      </c>
      <c r="H65" s="1" t="s">
        <v>481</v>
      </c>
      <c r="I65" s="1" t="s">
        <v>482</v>
      </c>
    </row>
    <row r="66" spans="2:9" x14ac:dyDescent="0.2">
      <c r="B66" s="1" t="s">
        <v>483</v>
      </c>
      <c r="C66" s="1">
        <v>5</v>
      </c>
      <c r="E66" s="1" t="s">
        <v>484</v>
      </c>
      <c r="F66" s="1" t="s">
        <v>485</v>
      </c>
      <c r="G66" s="1" t="s">
        <v>486</v>
      </c>
      <c r="H66" s="1" t="s">
        <v>487</v>
      </c>
      <c r="I66" s="1" t="s">
        <v>488</v>
      </c>
    </row>
    <row r="67" spans="2:9" x14ac:dyDescent="0.2">
      <c r="B67" s="1" t="s">
        <v>410</v>
      </c>
      <c r="C67" s="1">
        <v>3</v>
      </c>
      <c r="E67" s="1" t="s">
        <v>489</v>
      </c>
      <c r="F67" s="1" t="s">
        <v>490</v>
      </c>
      <c r="G67" s="1" t="s">
        <v>491</v>
      </c>
    </row>
    <row r="68" spans="2:9" x14ac:dyDescent="0.2">
      <c r="B68" s="1" t="s">
        <v>492</v>
      </c>
      <c r="C68" s="1">
        <v>5</v>
      </c>
      <c r="E68" s="1" t="s">
        <v>493</v>
      </c>
      <c r="F68" s="1" t="s">
        <v>494</v>
      </c>
      <c r="G68" s="1" t="s">
        <v>495</v>
      </c>
      <c r="H68" s="1" t="s">
        <v>496</v>
      </c>
      <c r="I68" s="1" t="s">
        <v>497</v>
      </c>
    </row>
    <row r="69" spans="2:9" x14ac:dyDescent="0.2">
      <c r="B69" s="1" t="s">
        <v>498</v>
      </c>
      <c r="C69" s="1">
        <v>5</v>
      </c>
      <c r="E69" s="1" t="s">
        <v>499</v>
      </c>
      <c r="F69" s="1" t="s">
        <v>500</v>
      </c>
      <c r="G69" s="1" t="s">
        <v>501</v>
      </c>
      <c r="H69" s="1" t="s">
        <v>502</v>
      </c>
      <c r="I69" s="1" t="s">
        <v>503</v>
      </c>
    </row>
    <row r="70" spans="2:9" x14ac:dyDescent="0.2">
      <c r="B70" s="1" t="s">
        <v>504</v>
      </c>
      <c r="C70" s="1">
        <v>3</v>
      </c>
      <c r="E70" s="1" t="s">
        <v>505</v>
      </c>
      <c r="F70" s="1" t="s">
        <v>506</v>
      </c>
      <c r="G70" s="1" t="s">
        <v>507</v>
      </c>
    </row>
    <row r="71" spans="2:9" x14ac:dyDescent="0.2">
      <c r="B71" s="1" t="s">
        <v>509</v>
      </c>
      <c r="C71" s="1">
        <v>5</v>
      </c>
      <c r="E71" s="1" t="s">
        <v>510</v>
      </c>
      <c r="F71" s="1" t="s">
        <v>511</v>
      </c>
      <c r="G71" s="1" t="s">
        <v>512</v>
      </c>
      <c r="H71" s="1" t="s">
        <v>513</v>
      </c>
      <c r="I71" s="1" t="s">
        <v>514</v>
      </c>
    </row>
    <row r="72" spans="2:9" x14ac:dyDescent="0.2">
      <c r="B72" s="1" t="s">
        <v>515</v>
      </c>
      <c r="C72" s="1">
        <v>3</v>
      </c>
      <c r="E72" s="1" t="s">
        <v>516</v>
      </c>
      <c r="F72" s="1" t="s">
        <v>517</v>
      </c>
      <c r="G72" s="1" t="s">
        <v>518</v>
      </c>
    </row>
    <row r="73" spans="2:9" x14ac:dyDescent="0.2">
      <c r="B73" s="1" t="s">
        <v>519</v>
      </c>
      <c r="C73" s="1">
        <v>3</v>
      </c>
      <c r="E73" s="1" t="s">
        <v>520</v>
      </c>
      <c r="F73" s="1" t="s">
        <v>521</v>
      </c>
      <c r="G73" s="1" t="s">
        <v>522</v>
      </c>
    </row>
    <row r="74" spans="2:9" x14ac:dyDescent="0.2">
      <c r="B74" s="1" t="s">
        <v>524</v>
      </c>
      <c r="C74" s="1">
        <v>3</v>
      </c>
      <c r="E74" s="1" t="s">
        <v>525</v>
      </c>
      <c r="F74" s="1" t="s">
        <v>526</v>
      </c>
      <c r="G74" s="1" t="s">
        <v>527</v>
      </c>
    </row>
    <row r="75" spans="2:9" x14ac:dyDescent="0.2">
      <c r="B75" s="1" t="s">
        <v>529</v>
      </c>
      <c r="C75" s="1">
        <v>5</v>
      </c>
      <c r="E75" s="1" t="s">
        <v>530</v>
      </c>
      <c r="F75" s="1" t="s">
        <v>531</v>
      </c>
      <c r="G75" s="1" t="s">
        <v>532</v>
      </c>
      <c r="H75" s="1" t="s">
        <v>533</v>
      </c>
      <c r="I75" s="1" t="s">
        <v>534</v>
      </c>
    </row>
    <row r="76" spans="2:9" x14ac:dyDescent="0.2">
      <c r="B76" s="1" t="s">
        <v>535</v>
      </c>
      <c r="C76" s="1">
        <v>5</v>
      </c>
      <c r="E76" s="1" t="s">
        <v>536</v>
      </c>
      <c r="F76" s="1" t="s">
        <v>537</v>
      </c>
      <c r="G76" s="1" t="s">
        <v>538</v>
      </c>
      <c r="H76" s="1" t="s">
        <v>540</v>
      </c>
      <c r="I76" s="1" t="s">
        <v>542</v>
      </c>
    </row>
    <row r="77" spans="2:9" x14ac:dyDescent="0.2">
      <c r="B77" s="1" t="s">
        <v>543</v>
      </c>
      <c r="C77" s="1">
        <v>5</v>
      </c>
      <c r="E77" s="1" t="s">
        <v>544</v>
      </c>
      <c r="F77" s="1" t="s">
        <v>545</v>
      </c>
      <c r="G77" s="1" t="s">
        <v>546</v>
      </c>
      <c r="H77" s="1" t="s">
        <v>547</v>
      </c>
      <c r="I77" s="1" t="s">
        <v>548</v>
      </c>
    </row>
    <row r="78" spans="2:9" x14ac:dyDescent="0.2">
      <c r="B78" s="1" t="s">
        <v>549</v>
      </c>
      <c r="C78" s="1">
        <v>3</v>
      </c>
      <c r="E78" s="1" t="s">
        <v>550</v>
      </c>
      <c r="F78" s="1" t="s">
        <v>551</v>
      </c>
      <c r="G78" s="1" t="s">
        <v>552</v>
      </c>
    </row>
    <row r="79" spans="2:9" x14ac:dyDescent="0.2">
      <c r="B79" s="1" t="s">
        <v>553</v>
      </c>
      <c r="C79" s="1">
        <v>5</v>
      </c>
      <c r="E79" s="1" t="s">
        <v>554</v>
      </c>
      <c r="F79" s="1" t="s">
        <v>555</v>
      </c>
      <c r="G79" s="1" t="s">
        <v>557</v>
      </c>
      <c r="H79" s="1" t="s">
        <v>558</v>
      </c>
      <c r="I79" s="1" t="s">
        <v>559</v>
      </c>
    </row>
    <row r="80" spans="2:9" x14ac:dyDescent="0.2">
      <c r="B80" s="1" t="s">
        <v>560</v>
      </c>
      <c r="C80" s="1">
        <v>5</v>
      </c>
      <c r="E80" s="1" t="s">
        <v>561</v>
      </c>
      <c r="F80" s="1" t="s">
        <v>562</v>
      </c>
      <c r="G80" s="1" t="s">
        <v>563</v>
      </c>
      <c r="H80" s="1" t="s">
        <v>564</v>
      </c>
      <c r="I80" s="1" t="s">
        <v>565</v>
      </c>
    </row>
    <row r="81" spans="2:9" x14ac:dyDescent="0.2">
      <c r="B81" s="1" t="s">
        <v>566</v>
      </c>
      <c r="C81" s="1">
        <v>5</v>
      </c>
      <c r="E81" s="1" t="s">
        <v>567</v>
      </c>
      <c r="F81" s="1" t="s">
        <v>568</v>
      </c>
      <c r="G81" s="1" t="s">
        <v>569</v>
      </c>
      <c r="H81" s="1" t="s">
        <v>570</v>
      </c>
      <c r="I81" s="1" t="s">
        <v>571</v>
      </c>
    </row>
    <row r="82" spans="2:9" x14ac:dyDescent="0.2">
      <c r="B82" s="1" t="s">
        <v>573</v>
      </c>
      <c r="C82" s="1">
        <v>5</v>
      </c>
      <c r="E82" s="1" t="s">
        <v>574</v>
      </c>
      <c r="F82" s="1" t="s">
        <v>575</v>
      </c>
      <c r="G82" s="1" t="s">
        <v>576</v>
      </c>
      <c r="H82" s="1" t="s">
        <v>577</v>
      </c>
      <c r="I82" s="1" t="s">
        <v>578</v>
      </c>
    </row>
    <row r="83" spans="2:9" x14ac:dyDescent="0.2">
      <c r="B83" s="1" t="s">
        <v>579</v>
      </c>
      <c r="C83" s="1">
        <v>3</v>
      </c>
      <c r="E83" s="1" t="s">
        <v>580</v>
      </c>
      <c r="F83" s="1" t="s">
        <v>581</v>
      </c>
      <c r="G83" s="1" t="s">
        <v>582</v>
      </c>
    </row>
    <row r="84" spans="2:9" x14ac:dyDescent="0.2">
      <c r="B84" s="1" t="s">
        <v>583</v>
      </c>
      <c r="C84" s="1">
        <v>5</v>
      </c>
      <c r="E84" s="1" t="s">
        <v>584</v>
      </c>
      <c r="F84" s="1" t="s">
        <v>585</v>
      </c>
      <c r="G84" s="1" t="s">
        <v>587</v>
      </c>
      <c r="H84" s="1" t="s">
        <v>588</v>
      </c>
      <c r="I84" s="1" t="s">
        <v>589</v>
      </c>
    </row>
    <row r="85" spans="2:9" x14ac:dyDescent="0.2">
      <c r="B85" s="1" t="s">
        <v>590</v>
      </c>
      <c r="C85" s="1">
        <v>5</v>
      </c>
      <c r="E85" s="1" t="s">
        <v>591</v>
      </c>
      <c r="F85" s="1" t="s">
        <v>592</v>
      </c>
      <c r="G85" s="1" t="s">
        <v>594</v>
      </c>
      <c r="H85" s="1" t="s">
        <v>595</v>
      </c>
      <c r="I85" s="1" t="s">
        <v>598</v>
      </c>
    </row>
    <row r="86" spans="2:9" x14ac:dyDescent="0.2">
      <c r="B86" s="1" t="s">
        <v>600</v>
      </c>
      <c r="C86" s="1">
        <v>1</v>
      </c>
      <c r="E86" s="1" t="s">
        <v>601</v>
      </c>
    </row>
    <row r="87" spans="2:9" x14ac:dyDescent="0.2">
      <c r="B87" s="1" t="s">
        <v>602</v>
      </c>
      <c r="C87" s="1">
        <v>5</v>
      </c>
      <c r="E87" s="1" t="s">
        <v>603</v>
      </c>
      <c r="F87" s="1" t="s">
        <v>605</v>
      </c>
      <c r="G87" s="1" t="s">
        <v>606</v>
      </c>
      <c r="H87" s="1" t="s">
        <v>607</v>
      </c>
      <c r="I87" s="1" t="s">
        <v>608</v>
      </c>
    </row>
    <row r="88" spans="2:9" x14ac:dyDescent="0.2">
      <c r="B88" s="1" t="s">
        <v>609</v>
      </c>
      <c r="C88" s="1">
        <v>5</v>
      </c>
      <c r="E88" s="1" t="s">
        <v>610</v>
      </c>
      <c r="F88" s="1" t="s">
        <v>611</v>
      </c>
      <c r="G88" s="1" t="s">
        <v>612</v>
      </c>
      <c r="H88" s="1" t="s">
        <v>613</v>
      </c>
      <c r="I88" s="1" t="s">
        <v>614</v>
      </c>
    </row>
    <row r="89" spans="2:9" x14ac:dyDescent="0.2">
      <c r="B89" s="1" t="s">
        <v>615</v>
      </c>
      <c r="C89" s="1">
        <v>5</v>
      </c>
      <c r="E89" s="1" t="s">
        <v>618</v>
      </c>
      <c r="F89" s="1" t="s">
        <v>619</v>
      </c>
      <c r="G89" s="1" t="s">
        <v>621</v>
      </c>
      <c r="H89" s="1" t="s">
        <v>622</v>
      </c>
      <c r="I89" s="1" t="s">
        <v>623</v>
      </c>
    </row>
    <row r="90" spans="2:9" x14ac:dyDescent="0.2">
      <c r="B90" s="1" t="s">
        <v>624</v>
      </c>
      <c r="C90" s="1">
        <v>5</v>
      </c>
      <c r="E90" s="1" t="s">
        <v>625</v>
      </c>
      <c r="F90" s="1" t="s">
        <v>626</v>
      </c>
      <c r="G90" s="1" t="s">
        <v>627</v>
      </c>
      <c r="H90" s="1" t="s">
        <v>628</v>
      </c>
      <c r="I90" s="1" t="s">
        <v>629</v>
      </c>
    </row>
    <row r="91" spans="2:9" x14ac:dyDescent="0.2">
      <c r="B91" s="1" t="s">
        <v>630</v>
      </c>
      <c r="C91" s="1">
        <v>3</v>
      </c>
      <c r="E91" s="1" t="s">
        <v>631</v>
      </c>
      <c r="F91" s="1" t="s">
        <v>633</v>
      </c>
      <c r="G91" s="1" t="s">
        <v>634</v>
      </c>
    </row>
    <row r="92" spans="2:9" x14ac:dyDescent="0.2">
      <c r="B92" s="1" t="s">
        <v>635</v>
      </c>
      <c r="C92" s="1">
        <v>5</v>
      </c>
      <c r="E92" s="1" t="s">
        <v>636</v>
      </c>
      <c r="F92" s="1" t="s">
        <v>637</v>
      </c>
      <c r="G92" s="1" t="s">
        <v>638</v>
      </c>
      <c r="H92" s="1" t="s">
        <v>639</v>
      </c>
      <c r="I92" s="1" t="s">
        <v>640</v>
      </c>
    </row>
    <row r="93" spans="2:9" x14ac:dyDescent="0.2">
      <c r="B93" s="1" t="s">
        <v>314</v>
      </c>
      <c r="C93" s="1">
        <v>3</v>
      </c>
      <c r="E93" s="1" t="s">
        <v>641</v>
      </c>
      <c r="F93" s="1" t="s">
        <v>642</v>
      </c>
      <c r="G93" s="1" t="s">
        <v>643</v>
      </c>
    </row>
    <row r="94" spans="2:9" x14ac:dyDescent="0.2">
      <c r="B94" s="1" t="s">
        <v>466</v>
      </c>
      <c r="C94" s="1">
        <v>3</v>
      </c>
      <c r="E94" s="1" t="s">
        <v>644</v>
      </c>
      <c r="F94" s="1" t="s">
        <v>646</v>
      </c>
      <c r="G94" s="1" t="s">
        <v>647</v>
      </c>
    </row>
    <row r="95" spans="2:9" x14ac:dyDescent="0.2">
      <c r="B95" s="1" t="s">
        <v>648</v>
      </c>
      <c r="C95" s="1">
        <v>5</v>
      </c>
      <c r="E95" s="1" t="s">
        <v>649</v>
      </c>
      <c r="F95" s="1" t="s">
        <v>650</v>
      </c>
      <c r="G95" s="1" t="s">
        <v>651</v>
      </c>
      <c r="H95" s="1" t="s">
        <v>652</v>
      </c>
      <c r="I95" s="1" t="s">
        <v>653</v>
      </c>
    </row>
    <row r="96" spans="2:9" x14ac:dyDescent="0.2">
      <c r="B96" s="1" t="s">
        <v>654</v>
      </c>
      <c r="C96" s="1">
        <v>3</v>
      </c>
      <c r="E96" s="1" t="s">
        <v>655</v>
      </c>
      <c r="F96" s="1" t="s">
        <v>656</v>
      </c>
      <c r="G96" s="1" t="s">
        <v>657</v>
      </c>
    </row>
    <row r="97" spans="2:9" x14ac:dyDescent="0.2">
      <c r="B97" s="1" t="s">
        <v>659</v>
      </c>
      <c r="C97" s="1">
        <v>3</v>
      </c>
      <c r="E97" s="1" t="s">
        <v>660</v>
      </c>
      <c r="F97" s="1" t="s">
        <v>661</v>
      </c>
      <c r="G97" s="1" t="s">
        <v>662</v>
      </c>
    </row>
    <row r="98" spans="2:9" x14ac:dyDescent="0.2">
      <c r="B98" s="1" t="s">
        <v>664</v>
      </c>
      <c r="C98" s="1">
        <v>3</v>
      </c>
      <c r="E98" s="1" t="s">
        <v>665</v>
      </c>
      <c r="F98" s="1" t="s">
        <v>666</v>
      </c>
      <c r="G98" s="1" t="s">
        <v>667</v>
      </c>
    </row>
    <row r="99" spans="2:9" x14ac:dyDescent="0.2">
      <c r="B99" s="1" t="s">
        <v>597</v>
      </c>
      <c r="C99" s="1">
        <v>5</v>
      </c>
      <c r="E99" s="1" t="s">
        <v>668</v>
      </c>
      <c r="F99" s="1" t="s">
        <v>669</v>
      </c>
      <c r="G99" s="1" t="s">
        <v>670</v>
      </c>
      <c r="H99" s="1" t="s">
        <v>671</v>
      </c>
      <c r="I99" s="1" t="s">
        <v>672</v>
      </c>
    </row>
    <row r="100" spans="2:9" x14ac:dyDescent="0.2">
      <c r="B100" s="1" t="s">
        <v>386</v>
      </c>
      <c r="C100" s="1">
        <v>3</v>
      </c>
      <c r="E100" s="1" t="s">
        <v>674</v>
      </c>
      <c r="F100" s="1" t="s">
        <v>675</v>
      </c>
      <c r="G100" s="1" t="s">
        <v>676</v>
      </c>
    </row>
    <row r="101" spans="2:9" x14ac:dyDescent="0.2">
      <c r="B101" s="1" t="s">
        <v>677</v>
      </c>
      <c r="C101" s="1">
        <v>5</v>
      </c>
      <c r="E101" s="1" t="s">
        <v>678</v>
      </c>
      <c r="F101" s="1" t="s">
        <v>679</v>
      </c>
      <c r="G101" s="1" t="s">
        <v>680</v>
      </c>
      <c r="H101" s="1" t="s">
        <v>682</v>
      </c>
      <c r="I101" s="1" t="s">
        <v>683</v>
      </c>
    </row>
    <row r="102" spans="2:9" x14ac:dyDescent="0.2">
      <c r="B102" s="1" t="s">
        <v>528</v>
      </c>
      <c r="C102" s="1">
        <v>5</v>
      </c>
      <c r="E102" s="1" t="s">
        <v>684</v>
      </c>
      <c r="F102" s="1" t="s">
        <v>685</v>
      </c>
      <c r="G102" s="1" t="s">
        <v>686</v>
      </c>
      <c r="H102" s="1" t="s">
        <v>687</v>
      </c>
      <c r="I102" s="1" t="s">
        <v>688</v>
      </c>
    </row>
    <row r="103" spans="2:9" x14ac:dyDescent="0.2">
      <c r="B103" s="1" t="s">
        <v>689</v>
      </c>
      <c r="C103" s="1">
        <v>3</v>
      </c>
      <c r="E103" s="1" t="s">
        <v>690</v>
      </c>
      <c r="F103" s="1" t="s">
        <v>691</v>
      </c>
      <c r="G103" s="1" t="s">
        <v>692</v>
      </c>
    </row>
    <row r="104" spans="2:9" x14ac:dyDescent="0.2">
      <c r="B104" s="1" t="s">
        <v>693</v>
      </c>
      <c r="C104" s="1">
        <v>1</v>
      </c>
      <c r="E104" s="1" t="s">
        <v>695</v>
      </c>
    </row>
    <row r="105" spans="2:9" x14ac:dyDescent="0.2">
      <c r="B105" s="1" t="s">
        <v>697</v>
      </c>
      <c r="C105" s="1">
        <v>3</v>
      </c>
      <c r="E105" s="1" t="s">
        <v>698</v>
      </c>
      <c r="F105" s="1" t="s">
        <v>699</v>
      </c>
      <c r="G105" s="1" t="s">
        <v>700</v>
      </c>
    </row>
    <row r="106" spans="2:9" x14ac:dyDescent="0.2">
      <c r="B106" s="1" t="s">
        <v>701</v>
      </c>
      <c r="C106" s="1">
        <v>3</v>
      </c>
      <c r="E106" s="1" t="s">
        <v>702</v>
      </c>
      <c r="F106" s="1" t="s">
        <v>703</v>
      </c>
      <c r="G106" s="1" t="s">
        <v>704</v>
      </c>
    </row>
    <row r="107" spans="2:9" x14ac:dyDescent="0.2">
      <c r="B107" s="1" t="s">
        <v>705</v>
      </c>
      <c r="C107" s="1">
        <v>3</v>
      </c>
      <c r="E107" s="1" t="s">
        <v>706</v>
      </c>
      <c r="F107" s="1" t="s">
        <v>707</v>
      </c>
      <c r="G107" s="1" t="s">
        <v>708</v>
      </c>
    </row>
    <row r="108" spans="2:9" x14ac:dyDescent="0.2">
      <c r="B108" s="1" t="s">
        <v>710</v>
      </c>
      <c r="C108" s="1">
        <v>1</v>
      </c>
      <c r="E108" s="1" t="s">
        <v>711</v>
      </c>
    </row>
  </sheetData>
  <autoFilter ref="A1:I100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62"/>
  <sheetViews>
    <sheetView workbookViewId="0">
      <selection activeCell="J21" sqref="J21"/>
    </sheetView>
  </sheetViews>
  <sheetFormatPr defaultColWidth="12.5703125" defaultRowHeight="15.75" customHeight="1" x14ac:dyDescent="0.2"/>
  <cols>
    <col min="2" max="2" width="23.7109375" customWidth="1"/>
    <col min="3" max="3" width="22.7109375" customWidth="1"/>
    <col min="4" max="4" width="24.42578125" customWidth="1"/>
  </cols>
  <sheetData>
    <row r="1" spans="1:6" ht="12.75" x14ac:dyDescent="0.2">
      <c r="A1" s="1" t="s">
        <v>0</v>
      </c>
      <c r="B1" s="1" t="s">
        <v>4</v>
      </c>
      <c r="C1" s="1" t="s">
        <v>6</v>
      </c>
      <c r="D1" s="1" t="s">
        <v>7</v>
      </c>
    </row>
    <row r="2" spans="1:6" ht="12.75" x14ac:dyDescent="0.2">
      <c r="A2" s="1">
        <v>1</v>
      </c>
      <c r="B2" s="1" t="s">
        <v>33</v>
      </c>
      <c r="C2" s="1" t="s">
        <v>55</v>
      </c>
      <c r="D2" s="1">
        <v>1</v>
      </c>
      <c r="E2" s="1">
        <f>VLOOKUP(C2,Skill!B:C,2,FALSE)</f>
        <v>5</v>
      </c>
      <c r="F2" s="1" t="str">
        <f>VLOOKUP(B2,Equipment!B:N,3,FALSE)</f>
        <v>Helm</v>
      </c>
    </row>
    <row r="3" spans="1:6" ht="12.75" x14ac:dyDescent="0.2">
      <c r="A3" s="1">
        <v>2</v>
      </c>
      <c r="B3" s="1" t="s">
        <v>33</v>
      </c>
      <c r="C3" s="1" t="s">
        <v>115</v>
      </c>
      <c r="D3" s="1">
        <v>1</v>
      </c>
      <c r="E3" s="1">
        <f>VLOOKUP(C3,Skill!B:C,2,FALSE)</f>
        <v>3</v>
      </c>
      <c r="F3" s="1" t="str">
        <f>VLOOKUP(B3,Equipment!B:N,3,FALSE)</f>
        <v>Helm</v>
      </c>
    </row>
    <row r="4" spans="1:6" ht="12.75" x14ac:dyDescent="0.2">
      <c r="A4" s="1">
        <v>3</v>
      </c>
      <c r="B4" s="1" t="s">
        <v>89</v>
      </c>
      <c r="C4" s="1" t="s">
        <v>59</v>
      </c>
      <c r="D4" s="1">
        <v>1</v>
      </c>
      <c r="E4" s="1">
        <f>VLOOKUP(C4,Skill!B:C,2,FALSE)</f>
        <v>5</v>
      </c>
      <c r="F4" s="1" t="str">
        <f>VLOOKUP(B4,Equipment!B:N,3,FALSE)</f>
        <v>Mail</v>
      </c>
    </row>
    <row r="5" spans="1:6" ht="12.75" x14ac:dyDescent="0.2">
      <c r="A5" s="1">
        <v>4</v>
      </c>
      <c r="B5" s="1" t="s">
        <v>89</v>
      </c>
      <c r="C5" s="1" t="s">
        <v>222</v>
      </c>
      <c r="D5" s="1">
        <v>1</v>
      </c>
      <c r="E5" s="1">
        <f>VLOOKUP(C5,Skill!B:C,2,FALSE)</f>
        <v>3</v>
      </c>
      <c r="F5" s="1" t="str">
        <f>VLOOKUP(B5,Equipment!B:N,3,FALSE)</f>
        <v>Mail</v>
      </c>
    </row>
    <row r="6" spans="1:6" ht="12.75" x14ac:dyDescent="0.2">
      <c r="A6" s="1">
        <v>5</v>
      </c>
      <c r="B6" s="1" t="s">
        <v>114</v>
      </c>
      <c r="C6" s="1" t="s">
        <v>213</v>
      </c>
      <c r="D6" s="1">
        <v>1</v>
      </c>
      <c r="E6" s="1">
        <f>VLOOKUP(C6,Skill!B:C,2,FALSE)</f>
        <v>5</v>
      </c>
      <c r="F6" s="1" t="str">
        <f>VLOOKUP(B6,Equipment!B:N,3,FALSE)</f>
        <v>Vambraces</v>
      </c>
    </row>
    <row r="7" spans="1:6" ht="12.75" x14ac:dyDescent="0.2">
      <c r="A7" s="1">
        <v>6</v>
      </c>
      <c r="B7" s="1" t="s">
        <v>114</v>
      </c>
      <c r="C7" s="1" t="s">
        <v>314</v>
      </c>
      <c r="D7" s="1">
        <v>1</v>
      </c>
      <c r="E7" s="1">
        <f>VLOOKUP(C7,Skill!B:C,2,FALSE)</f>
        <v>3</v>
      </c>
      <c r="F7" s="1" t="str">
        <f>VLOOKUP(B7,Equipment!B:N,3,FALSE)</f>
        <v>Vambraces</v>
      </c>
    </row>
    <row r="8" spans="1:6" ht="12.75" x14ac:dyDescent="0.2">
      <c r="A8" s="1">
        <v>7</v>
      </c>
      <c r="B8" s="1" t="s">
        <v>138</v>
      </c>
      <c r="C8" s="1" t="s">
        <v>348</v>
      </c>
      <c r="D8" s="1">
        <v>1</v>
      </c>
      <c r="E8" s="1">
        <f>VLOOKUP(C8,Skill!B:C,2,FALSE)</f>
        <v>5</v>
      </c>
      <c r="F8" s="1" t="str">
        <f>VLOOKUP(B8,Equipment!B:N,3,FALSE)</f>
        <v>Coil</v>
      </c>
    </row>
    <row r="9" spans="1:6" ht="12.75" x14ac:dyDescent="0.2">
      <c r="A9" s="1">
        <v>8</v>
      </c>
      <c r="B9" s="1" t="s">
        <v>138</v>
      </c>
      <c r="C9" s="1" t="s">
        <v>386</v>
      </c>
      <c r="D9" s="1">
        <v>1</v>
      </c>
      <c r="E9" s="1">
        <f>VLOOKUP(C9,Skill!B:C,2,FALSE)</f>
        <v>3</v>
      </c>
      <c r="F9" s="1" t="str">
        <f>VLOOKUP(B9,Equipment!B:N,3,FALSE)</f>
        <v>Coil</v>
      </c>
    </row>
    <row r="10" spans="1:6" ht="12.75" x14ac:dyDescent="0.2">
      <c r="A10" s="1">
        <v>9</v>
      </c>
      <c r="B10" s="1" t="s">
        <v>183</v>
      </c>
      <c r="C10" s="1" t="s">
        <v>410</v>
      </c>
      <c r="D10" s="1">
        <v>1</v>
      </c>
      <c r="E10" s="1">
        <f>VLOOKUP(C10,Skill!B:C,2,FALSE)</f>
        <v>3</v>
      </c>
      <c r="F10" s="1" t="str">
        <f>VLOOKUP(B10,Equipment!B:N,3,FALSE)</f>
        <v>Greaves</v>
      </c>
    </row>
    <row r="11" spans="1:6" ht="12.75" x14ac:dyDescent="0.2">
      <c r="A11" s="1">
        <v>10</v>
      </c>
      <c r="B11" s="1" t="s">
        <v>183</v>
      </c>
      <c r="C11" s="1" t="s">
        <v>431</v>
      </c>
      <c r="D11" s="1">
        <v>1</v>
      </c>
      <c r="E11" s="1">
        <f>VLOOKUP(C11,Skill!B:C,2,FALSE)</f>
        <v>3</v>
      </c>
      <c r="F11" s="1" t="str">
        <f>VLOOKUP(B11,Equipment!B:N,3,FALSE)</f>
        <v>Greaves</v>
      </c>
    </row>
    <row r="12" spans="1:6" ht="12.75" x14ac:dyDescent="0.2">
      <c r="A12" s="1">
        <v>11</v>
      </c>
      <c r="B12" s="1" t="s">
        <v>202</v>
      </c>
      <c r="C12" s="1" t="s">
        <v>244</v>
      </c>
      <c r="D12" s="1">
        <v>3</v>
      </c>
      <c r="E12" s="1">
        <f>VLOOKUP(C12,Skill!B:C,2,FALSE)</f>
        <v>5</v>
      </c>
      <c r="F12" s="1" t="str">
        <f>VLOOKUP(B12,Equipment!B:N,3,FALSE)</f>
        <v>Helm</v>
      </c>
    </row>
    <row r="13" spans="1:6" ht="12.75" x14ac:dyDescent="0.2">
      <c r="A13" s="1">
        <v>12</v>
      </c>
      <c r="B13" s="1" t="s">
        <v>226</v>
      </c>
      <c r="C13" s="1" t="s">
        <v>466</v>
      </c>
      <c r="D13" s="1">
        <v>2</v>
      </c>
      <c r="E13" s="1">
        <f>VLOOKUP(C13,Skill!B:C,2,FALSE)</f>
        <v>3</v>
      </c>
      <c r="F13" s="1" t="str">
        <f>VLOOKUP(B13,Equipment!B:N,3,FALSE)</f>
        <v>Mail</v>
      </c>
    </row>
    <row r="14" spans="1:6" ht="12.75" x14ac:dyDescent="0.2">
      <c r="A14" s="1">
        <v>13</v>
      </c>
      <c r="B14" s="1" t="s">
        <v>255</v>
      </c>
      <c r="C14" s="1" t="s">
        <v>348</v>
      </c>
      <c r="D14" s="1">
        <v>3</v>
      </c>
      <c r="E14" s="1">
        <f>VLOOKUP(C14,Skill!B:C,2,FALSE)</f>
        <v>5</v>
      </c>
      <c r="F14" s="1" t="str">
        <f>VLOOKUP(B14,Equipment!B:N,3,FALSE)</f>
        <v>Vambraces</v>
      </c>
    </row>
    <row r="15" spans="1:6" ht="12.75" x14ac:dyDescent="0.2">
      <c r="A15" s="1">
        <v>14</v>
      </c>
      <c r="B15" s="1" t="s">
        <v>280</v>
      </c>
      <c r="C15" s="1" t="s">
        <v>213</v>
      </c>
      <c r="D15" s="1">
        <v>3</v>
      </c>
      <c r="E15" s="1">
        <f>VLOOKUP(C15,Skill!B:C,2,FALSE)</f>
        <v>5</v>
      </c>
      <c r="F15" s="1" t="str">
        <f>VLOOKUP(B15,Equipment!B:N,3,FALSE)</f>
        <v>Coil</v>
      </c>
    </row>
    <row r="16" spans="1:6" ht="12.75" x14ac:dyDescent="0.2">
      <c r="A16" s="1">
        <v>15</v>
      </c>
      <c r="B16" s="1" t="s">
        <v>299</v>
      </c>
      <c r="C16" s="1" t="s">
        <v>412</v>
      </c>
      <c r="D16" s="1">
        <v>1</v>
      </c>
      <c r="E16" s="1">
        <f>VLOOKUP(C16,Skill!B:C,2,FALSE)</f>
        <v>1</v>
      </c>
      <c r="F16" s="1" t="str">
        <f>VLOOKUP(B16,Equipment!B:N,3,FALSE)</f>
        <v>Greaves</v>
      </c>
    </row>
    <row r="17" spans="1:6" ht="12.75" x14ac:dyDescent="0.2">
      <c r="A17" s="1">
        <v>16</v>
      </c>
      <c r="B17" s="1" t="s">
        <v>299</v>
      </c>
      <c r="C17" s="1" t="s">
        <v>528</v>
      </c>
      <c r="D17" s="1">
        <v>1</v>
      </c>
      <c r="E17" s="1">
        <f>VLOOKUP(C17,Skill!B:C,2,FALSE)</f>
        <v>5</v>
      </c>
      <c r="F17" s="1" t="str">
        <f>VLOOKUP(B17,Equipment!B:N,3,FALSE)</f>
        <v>Greaves</v>
      </c>
    </row>
    <row r="18" spans="1:6" ht="12.75" x14ac:dyDescent="0.2">
      <c r="A18" s="1">
        <v>17</v>
      </c>
      <c r="B18" s="1" t="s">
        <v>322</v>
      </c>
      <c r="C18" s="1" t="s">
        <v>306</v>
      </c>
      <c r="D18" s="1">
        <v>2</v>
      </c>
      <c r="E18" s="1">
        <f>VLOOKUP(C18,Skill!B:C,2,FALSE)</f>
        <v>3</v>
      </c>
      <c r="F18" s="1" t="str">
        <f>VLOOKUP(B18,Equipment!B:N,3,FALSE)</f>
        <v>Helm</v>
      </c>
    </row>
    <row r="19" spans="1:6" ht="12.75" x14ac:dyDescent="0.2">
      <c r="A19" s="1">
        <v>18</v>
      </c>
      <c r="B19" s="1" t="s">
        <v>357</v>
      </c>
      <c r="C19" s="1" t="s">
        <v>543</v>
      </c>
      <c r="D19" s="1">
        <v>2</v>
      </c>
      <c r="E19" s="1">
        <f>VLOOKUP(C19,Skill!B:C,2,FALSE)</f>
        <v>5</v>
      </c>
      <c r="F19" s="1" t="str">
        <f>VLOOKUP(B19,Equipment!B:N,3,FALSE)</f>
        <v>Mail</v>
      </c>
    </row>
    <row r="20" spans="1:6" ht="12.75" x14ac:dyDescent="0.2">
      <c r="A20" s="1">
        <v>19</v>
      </c>
      <c r="B20" s="1" t="s">
        <v>382</v>
      </c>
      <c r="C20" s="1" t="s">
        <v>306</v>
      </c>
      <c r="D20" s="1">
        <v>1</v>
      </c>
      <c r="E20" s="1">
        <f>VLOOKUP(C20,Skill!B:C,2,FALSE)</f>
        <v>3</v>
      </c>
      <c r="F20" s="1" t="str">
        <f>VLOOKUP(B20,Equipment!B:N,3,FALSE)</f>
        <v>Vambraces</v>
      </c>
    </row>
    <row r="21" spans="1:6" ht="12.75" x14ac:dyDescent="0.2">
      <c r="A21" s="1">
        <v>20</v>
      </c>
      <c r="B21" s="1" t="s">
        <v>382</v>
      </c>
      <c r="C21" s="1" t="s">
        <v>597</v>
      </c>
      <c r="D21" s="1">
        <v>1</v>
      </c>
      <c r="E21" s="1">
        <f>VLOOKUP(C21,Skill!B:C,2,FALSE)</f>
        <v>5</v>
      </c>
      <c r="F21" s="1" t="str">
        <f>VLOOKUP(B21,Equipment!B:N,3,FALSE)</f>
        <v>Vambraces</v>
      </c>
    </row>
    <row r="22" spans="1:6" ht="12.75" x14ac:dyDescent="0.2">
      <c r="A22" s="1">
        <v>21</v>
      </c>
      <c r="B22" s="1" t="s">
        <v>401</v>
      </c>
      <c r="C22" s="1" t="s">
        <v>319</v>
      </c>
      <c r="D22" s="1">
        <v>2</v>
      </c>
      <c r="E22" s="1">
        <f>VLOOKUP(C22,Skill!B:C,2,FALSE)</f>
        <v>5</v>
      </c>
      <c r="F22" s="1" t="str">
        <f>VLOOKUP(B22,Equipment!B:N,3,FALSE)</f>
        <v>Coil</v>
      </c>
    </row>
    <row r="23" spans="1:6" ht="12.75" x14ac:dyDescent="0.2">
      <c r="A23" s="1">
        <v>22</v>
      </c>
      <c r="B23" s="1" t="s">
        <v>401</v>
      </c>
      <c r="C23" s="1" t="s">
        <v>543</v>
      </c>
      <c r="D23" s="1">
        <v>1</v>
      </c>
      <c r="E23" s="1">
        <f>VLOOKUP(C23,Skill!B:C,2,FALSE)</f>
        <v>5</v>
      </c>
      <c r="F23" s="1" t="str">
        <f>VLOOKUP(B23,Equipment!B:N,3,FALSE)</f>
        <v>Coil</v>
      </c>
    </row>
    <row r="24" spans="1:6" ht="12.75" x14ac:dyDescent="0.2">
      <c r="A24" s="1">
        <v>23</v>
      </c>
      <c r="B24" s="1" t="s">
        <v>419</v>
      </c>
      <c r="C24" s="1" t="s">
        <v>597</v>
      </c>
      <c r="D24" s="1">
        <v>2</v>
      </c>
      <c r="E24" s="1">
        <f>VLOOKUP(C24,Skill!B:C,2,FALSE)</f>
        <v>5</v>
      </c>
      <c r="F24" s="1" t="str">
        <f>VLOOKUP(B24,Equipment!B:N,3,FALSE)</f>
        <v>Greaves</v>
      </c>
    </row>
    <row r="25" spans="1:6" ht="12.75" x14ac:dyDescent="0.2">
      <c r="A25" s="1">
        <v>24</v>
      </c>
      <c r="B25" s="1" t="s">
        <v>437</v>
      </c>
      <c r="C25" s="1" t="s">
        <v>412</v>
      </c>
      <c r="D25" s="1">
        <v>1</v>
      </c>
      <c r="E25" s="1">
        <f>VLOOKUP(C25,Skill!B:C,2,FALSE)</f>
        <v>1</v>
      </c>
      <c r="F25" s="1" t="str">
        <f>VLOOKUP(B25,Equipment!B:N,3,FALSE)</f>
        <v>Helm</v>
      </c>
    </row>
    <row r="26" spans="1:6" ht="12.75" x14ac:dyDescent="0.2">
      <c r="A26" s="1">
        <v>25</v>
      </c>
      <c r="B26" s="1" t="s">
        <v>437</v>
      </c>
      <c r="C26" s="1" t="s">
        <v>55</v>
      </c>
      <c r="D26" s="1">
        <v>1</v>
      </c>
      <c r="E26" s="1">
        <f>VLOOKUP(C26,Skill!B:C,2,FALSE)</f>
        <v>5</v>
      </c>
      <c r="F26" s="1" t="str">
        <f>VLOOKUP(B26,Equipment!B:N,3,FALSE)</f>
        <v>Helm</v>
      </c>
    </row>
    <row r="27" spans="1:6" ht="12.75" x14ac:dyDescent="0.2">
      <c r="A27" s="1">
        <v>26</v>
      </c>
      <c r="B27" s="1" t="s">
        <v>454</v>
      </c>
      <c r="C27" s="1" t="s">
        <v>341</v>
      </c>
      <c r="D27" s="1">
        <v>2</v>
      </c>
      <c r="E27" s="1">
        <f>VLOOKUP(C27,Skill!B:C,2,FALSE)</f>
        <v>5</v>
      </c>
      <c r="F27" s="1" t="str">
        <f>VLOOKUP(B27,Equipment!B:N,3,FALSE)</f>
        <v>Mail</v>
      </c>
    </row>
    <row r="28" spans="1:6" ht="12.75" x14ac:dyDescent="0.2">
      <c r="A28" s="1">
        <v>27</v>
      </c>
      <c r="B28" s="1" t="s">
        <v>477</v>
      </c>
      <c r="C28" s="1" t="s">
        <v>394</v>
      </c>
      <c r="D28" s="1">
        <v>1</v>
      </c>
      <c r="E28" s="1">
        <f>VLOOKUP(C28,Skill!B:C,2,FALSE)</f>
        <v>5</v>
      </c>
      <c r="F28" s="1" t="str">
        <f>VLOOKUP(B28,Equipment!B:N,3,FALSE)</f>
        <v>Vambraces</v>
      </c>
    </row>
    <row r="29" spans="1:6" ht="12.75" x14ac:dyDescent="0.2">
      <c r="A29" s="1">
        <v>28</v>
      </c>
      <c r="B29" s="1" t="s">
        <v>477</v>
      </c>
      <c r="C29" s="1" t="s">
        <v>55</v>
      </c>
      <c r="D29" s="1">
        <v>1</v>
      </c>
      <c r="E29" s="1">
        <f>VLOOKUP(C29,Skill!B:C,2,FALSE)</f>
        <v>5</v>
      </c>
      <c r="F29" s="1" t="str">
        <f>VLOOKUP(B29,Equipment!B:N,3,FALSE)</f>
        <v>Vambraces</v>
      </c>
    </row>
    <row r="30" spans="1:6" ht="12.75" x14ac:dyDescent="0.2">
      <c r="A30" s="1">
        <v>29</v>
      </c>
      <c r="B30" s="1" t="s">
        <v>508</v>
      </c>
      <c r="C30" s="1" t="s">
        <v>394</v>
      </c>
      <c r="D30" s="1">
        <v>1</v>
      </c>
      <c r="E30" s="1">
        <f>VLOOKUP(C30,Skill!B:C,2,FALSE)</f>
        <v>5</v>
      </c>
      <c r="F30" s="1" t="str">
        <f>VLOOKUP(B30,Equipment!B:N,3,FALSE)</f>
        <v>Coil</v>
      </c>
    </row>
    <row r="31" spans="1:6" ht="12.75" x14ac:dyDescent="0.2">
      <c r="A31" s="1">
        <v>30</v>
      </c>
      <c r="B31" s="1" t="s">
        <v>508</v>
      </c>
      <c r="C31" s="1" t="s">
        <v>253</v>
      </c>
      <c r="D31" s="1">
        <v>1</v>
      </c>
      <c r="E31" s="1">
        <f>VLOOKUP(C31,Skill!B:C,2,FALSE)</f>
        <v>5</v>
      </c>
      <c r="F31" s="1" t="str">
        <f>VLOOKUP(B31,Equipment!B:N,3,FALSE)</f>
        <v>Coil</v>
      </c>
    </row>
    <row r="32" spans="1:6" ht="12.75" x14ac:dyDescent="0.2">
      <c r="A32" s="1">
        <v>31</v>
      </c>
      <c r="B32" s="1" t="s">
        <v>523</v>
      </c>
      <c r="C32" s="1" t="s">
        <v>55</v>
      </c>
      <c r="D32" s="1">
        <v>2</v>
      </c>
      <c r="E32" s="1">
        <f>VLOOKUP(C32,Skill!B:C,2,FALSE)</f>
        <v>5</v>
      </c>
      <c r="F32" s="1" t="str">
        <f>VLOOKUP(B32,Equipment!B:N,3,FALSE)</f>
        <v>Greaves</v>
      </c>
    </row>
    <row r="33" spans="1:6" ht="12.75" x14ac:dyDescent="0.2">
      <c r="A33" s="1">
        <v>32</v>
      </c>
      <c r="B33" s="1" t="s">
        <v>539</v>
      </c>
      <c r="C33" s="1" t="s">
        <v>311</v>
      </c>
      <c r="D33" s="1">
        <v>1</v>
      </c>
      <c r="E33" s="1">
        <f>VLOOKUP(C33,Skill!B:C,2,FALSE)</f>
        <v>5</v>
      </c>
      <c r="F33" s="1" t="str">
        <f>VLOOKUP(B33,Equipment!B:N,3,FALSE)</f>
        <v>Helm</v>
      </c>
    </row>
    <row r="34" spans="1:6" ht="12.75" x14ac:dyDescent="0.2">
      <c r="A34" s="1">
        <v>33</v>
      </c>
      <c r="B34" s="1" t="s">
        <v>539</v>
      </c>
      <c r="C34" s="1" t="s">
        <v>348</v>
      </c>
      <c r="D34" s="1">
        <v>2</v>
      </c>
      <c r="E34" s="1">
        <f>VLOOKUP(C34,Skill!B:C,2,FALSE)</f>
        <v>5</v>
      </c>
      <c r="F34" s="1" t="str">
        <f>VLOOKUP(B34,Equipment!B:N,3,FALSE)</f>
        <v>Helm</v>
      </c>
    </row>
    <row r="35" spans="1:6" ht="12.75" x14ac:dyDescent="0.2">
      <c r="A35" s="1">
        <v>34</v>
      </c>
      <c r="B35" s="1" t="s">
        <v>556</v>
      </c>
      <c r="C35" s="1" t="s">
        <v>410</v>
      </c>
      <c r="D35" s="1">
        <v>1</v>
      </c>
      <c r="E35" s="1">
        <f>VLOOKUP(C35,Skill!B:C,2,FALSE)</f>
        <v>3</v>
      </c>
      <c r="F35" s="1" t="str">
        <f>VLOOKUP(B35,Equipment!B:N,3,FALSE)</f>
        <v>Mail</v>
      </c>
    </row>
    <row r="36" spans="1:6" ht="12.75" x14ac:dyDescent="0.2">
      <c r="A36" s="1">
        <v>35</v>
      </c>
      <c r="B36" s="1" t="s">
        <v>556</v>
      </c>
      <c r="C36" s="1" t="s">
        <v>311</v>
      </c>
      <c r="D36" s="1">
        <v>1</v>
      </c>
      <c r="E36" s="1">
        <f>VLOOKUP(C36,Skill!B:C,2,FALSE)</f>
        <v>5</v>
      </c>
      <c r="F36" s="1" t="str">
        <f>VLOOKUP(B36,Equipment!B:N,3,FALSE)</f>
        <v>Mail</v>
      </c>
    </row>
    <row r="37" spans="1:6" ht="12.75" x14ac:dyDescent="0.2">
      <c r="A37" s="1">
        <v>36</v>
      </c>
      <c r="B37" s="1" t="s">
        <v>572</v>
      </c>
      <c r="C37" s="1" t="s">
        <v>476</v>
      </c>
      <c r="D37" s="1">
        <v>1</v>
      </c>
      <c r="E37" s="1">
        <f>VLOOKUP(C37,Skill!B:C,2,FALSE)</f>
        <v>5</v>
      </c>
      <c r="F37" s="1" t="str">
        <f>VLOOKUP(B37,Equipment!B:N,3,FALSE)</f>
        <v>Vambraces</v>
      </c>
    </row>
    <row r="38" spans="1:6" ht="12.75" x14ac:dyDescent="0.2">
      <c r="A38" s="1">
        <v>37</v>
      </c>
      <c r="B38" s="1" t="s">
        <v>572</v>
      </c>
      <c r="C38" s="1" t="s">
        <v>410</v>
      </c>
      <c r="D38" s="1">
        <v>1</v>
      </c>
      <c r="E38" s="1">
        <f>VLOOKUP(C38,Skill!B:C,2,FALSE)</f>
        <v>3</v>
      </c>
      <c r="F38" s="1" t="str">
        <f>VLOOKUP(B38,Equipment!B:N,3,FALSE)</f>
        <v>Vambraces</v>
      </c>
    </row>
    <row r="39" spans="1:6" ht="12.75" x14ac:dyDescent="0.2">
      <c r="A39" s="1">
        <v>38</v>
      </c>
      <c r="B39" s="1" t="s">
        <v>586</v>
      </c>
      <c r="C39" s="1" t="s">
        <v>476</v>
      </c>
      <c r="D39" s="1">
        <v>2</v>
      </c>
      <c r="E39" s="1">
        <f>VLOOKUP(C39,Skill!B:C,2,FALSE)</f>
        <v>5</v>
      </c>
      <c r="F39" s="1" t="str">
        <f>VLOOKUP(B39,Equipment!B:N,3,FALSE)</f>
        <v>Coil</v>
      </c>
    </row>
    <row r="40" spans="1:6" ht="12.75" x14ac:dyDescent="0.2">
      <c r="A40" s="1">
        <v>39</v>
      </c>
      <c r="B40" s="1" t="s">
        <v>604</v>
      </c>
      <c r="C40" s="1" t="s">
        <v>348</v>
      </c>
      <c r="D40" s="1">
        <v>1</v>
      </c>
      <c r="E40" s="1">
        <f>VLOOKUP(C40,Skill!B:C,2,FALSE)</f>
        <v>5</v>
      </c>
      <c r="F40" s="1" t="str">
        <f>VLOOKUP(B40,Equipment!B:N,3,FALSE)</f>
        <v>Greaves</v>
      </c>
    </row>
    <row r="41" spans="1:6" ht="12.75" x14ac:dyDescent="0.2">
      <c r="A41" s="1">
        <v>40</v>
      </c>
      <c r="B41" s="1" t="s">
        <v>604</v>
      </c>
      <c r="C41" s="1" t="s">
        <v>410</v>
      </c>
      <c r="D41" s="1">
        <v>1</v>
      </c>
      <c r="E41" s="1">
        <f>VLOOKUP(C41,Skill!B:C,2,FALSE)</f>
        <v>3</v>
      </c>
      <c r="F41" s="1" t="str">
        <f>VLOOKUP(B41,Equipment!B:N,3,FALSE)</f>
        <v>Greaves</v>
      </c>
    </row>
    <row r="42" spans="1:6" ht="12.75" x14ac:dyDescent="0.2">
      <c r="A42" s="1">
        <v>41</v>
      </c>
      <c r="B42" s="1" t="s">
        <v>616</v>
      </c>
      <c r="C42" s="1" t="s">
        <v>677</v>
      </c>
      <c r="D42" s="1">
        <v>2</v>
      </c>
      <c r="E42" s="1">
        <f>VLOOKUP(C42,Skill!B:C,2,FALSE)</f>
        <v>5</v>
      </c>
      <c r="F42" s="1" t="str">
        <f>VLOOKUP(B42,Equipment!B:N,3,FALSE)</f>
        <v>Helm</v>
      </c>
    </row>
    <row r="43" spans="1:6" ht="12.75" x14ac:dyDescent="0.2">
      <c r="A43" s="1">
        <v>42</v>
      </c>
      <c r="B43" s="1" t="s">
        <v>616</v>
      </c>
      <c r="C43" s="1" t="s">
        <v>412</v>
      </c>
      <c r="D43" s="1">
        <v>1</v>
      </c>
      <c r="E43" s="1">
        <f>VLOOKUP(C43,Skill!B:C,2,FALSE)</f>
        <v>1</v>
      </c>
      <c r="F43" s="1" t="str">
        <f>VLOOKUP(B43,Equipment!B:N,3,FALSE)</f>
        <v>Helm</v>
      </c>
    </row>
    <row r="44" spans="1:6" ht="12.75" x14ac:dyDescent="0.2">
      <c r="A44" s="1">
        <v>43</v>
      </c>
      <c r="B44" s="1" t="s">
        <v>632</v>
      </c>
      <c r="C44" s="1" t="s">
        <v>492</v>
      </c>
      <c r="D44" s="1">
        <v>2</v>
      </c>
      <c r="E44" s="1">
        <f>VLOOKUP(C44,Skill!B:C,2,FALSE)</f>
        <v>5</v>
      </c>
      <c r="F44" s="1" t="str">
        <f>VLOOKUP(B44,Equipment!B:N,3,FALSE)</f>
        <v>Mail</v>
      </c>
    </row>
    <row r="45" spans="1:6" ht="12.75" x14ac:dyDescent="0.2">
      <c r="A45" s="1">
        <v>44</v>
      </c>
      <c r="B45" s="1" t="s">
        <v>632</v>
      </c>
      <c r="C45" s="1" t="s">
        <v>543</v>
      </c>
      <c r="D45" s="1">
        <v>1</v>
      </c>
      <c r="E45" s="1">
        <f>VLOOKUP(C45,Skill!B:C,2,FALSE)</f>
        <v>5</v>
      </c>
      <c r="F45" s="1" t="str">
        <f>VLOOKUP(B45,Equipment!B:N,3,FALSE)</f>
        <v>Mail</v>
      </c>
    </row>
    <row r="46" spans="1:6" ht="12.75" x14ac:dyDescent="0.2">
      <c r="A46" s="1">
        <v>45</v>
      </c>
      <c r="B46" s="1" t="s">
        <v>645</v>
      </c>
      <c r="C46" s="1" t="s">
        <v>543</v>
      </c>
      <c r="D46" s="1">
        <v>1</v>
      </c>
      <c r="E46" s="1">
        <f>VLOOKUP(C46,Skill!B:C,2,FALSE)</f>
        <v>5</v>
      </c>
      <c r="F46" s="1" t="str">
        <f>VLOOKUP(B46,Equipment!B:N,3,FALSE)</f>
        <v>Vambraces</v>
      </c>
    </row>
    <row r="47" spans="1:6" ht="12.75" x14ac:dyDescent="0.2">
      <c r="A47" s="1">
        <v>46</v>
      </c>
      <c r="B47" s="1" t="s">
        <v>645</v>
      </c>
      <c r="C47" s="1" t="s">
        <v>566</v>
      </c>
      <c r="D47" s="1">
        <v>1</v>
      </c>
      <c r="E47" s="1">
        <f>VLOOKUP(C47,Skill!B:C,2,FALSE)</f>
        <v>5</v>
      </c>
      <c r="F47" s="1" t="str">
        <f>VLOOKUP(B47,Equipment!B:N,3,FALSE)</f>
        <v>Vambraces</v>
      </c>
    </row>
    <row r="48" spans="1:6" ht="12.75" x14ac:dyDescent="0.2">
      <c r="A48" s="1">
        <v>47</v>
      </c>
      <c r="B48" s="1" t="s">
        <v>663</v>
      </c>
      <c r="C48" s="1" t="s">
        <v>524</v>
      </c>
      <c r="D48" s="1">
        <v>1</v>
      </c>
      <c r="E48" s="1">
        <f>VLOOKUP(C48,Skill!B:C,2,FALSE)</f>
        <v>3</v>
      </c>
      <c r="F48" s="1" t="str">
        <f>VLOOKUP(B48,Equipment!B:N,3,FALSE)</f>
        <v>Coil</v>
      </c>
    </row>
    <row r="49" spans="1:6" ht="12.75" x14ac:dyDescent="0.2">
      <c r="A49" s="1">
        <v>48</v>
      </c>
      <c r="B49" s="1" t="s">
        <v>663</v>
      </c>
      <c r="C49" s="1" t="s">
        <v>519</v>
      </c>
      <c r="D49" s="1">
        <v>1</v>
      </c>
      <c r="E49" s="1">
        <f>VLOOKUP(C49,Skill!B:C,2,FALSE)</f>
        <v>3</v>
      </c>
      <c r="F49" s="1" t="str">
        <f>VLOOKUP(B49,Equipment!B:N,3,FALSE)</f>
        <v>Coil</v>
      </c>
    </row>
    <row r="50" spans="1:6" ht="12.75" x14ac:dyDescent="0.2">
      <c r="A50" s="1">
        <v>49</v>
      </c>
      <c r="B50" s="1" t="s">
        <v>681</v>
      </c>
      <c r="C50" s="1" t="s">
        <v>492</v>
      </c>
      <c r="D50" s="1">
        <v>1</v>
      </c>
      <c r="E50" s="1">
        <f>VLOOKUP(C50,Skill!B:C,2,FALSE)</f>
        <v>5</v>
      </c>
      <c r="F50" s="1" t="str">
        <f>VLOOKUP(B50,Equipment!B:N,3,FALSE)</f>
        <v>Greaves</v>
      </c>
    </row>
    <row r="51" spans="1:6" ht="12.75" x14ac:dyDescent="0.2">
      <c r="A51" s="1">
        <v>50</v>
      </c>
      <c r="B51" s="1" t="s">
        <v>681</v>
      </c>
      <c r="C51" s="1" t="s">
        <v>677</v>
      </c>
      <c r="D51" s="1">
        <v>1</v>
      </c>
      <c r="E51" s="1">
        <f>VLOOKUP(C51,Skill!B:C,2,FALSE)</f>
        <v>5</v>
      </c>
      <c r="F51" s="1" t="str">
        <f>VLOOKUP(B51,Equipment!B:N,3,FALSE)</f>
        <v>Greaves</v>
      </c>
    </row>
    <row r="52" spans="1:6" ht="12.75" x14ac:dyDescent="0.2">
      <c r="A52" s="1">
        <v>51</v>
      </c>
      <c r="B52" s="1" t="s">
        <v>694</v>
      </c>
      <c r="C52" s="1" t="s">
        <v>213</v>
      </c>
      <c r="D52" s="1">
        <v>1</v>
      </c>
      <c r="E52" s="1">
        <f>VLOOKUP(C52,Skill!B:C,2,FALSE)</f>
        <v>5</v>
      </c>
      <c r="F52" s="1" t="str">
        <f>VLOOKUP(B52,Equipment!B:N,3,FALSE)</f>
        <v>Helm</v>
      </c>
    </row>
    <row r="53" spans="1:6" ht="12.75" x14ac:dyDescent="0.2">
      <c r="A53" s="1">
        <v>52</v>
      </c>
      <c r="B53" s="1" t="s">
        <v>694</v>
      </c>
      <c r="C53" s="1" t="s">
        <v>440</v>
      </c>
      <c r="D53" s="1">
        <v>1</v>
      </c>
      <c r="E53" s="1">
        <f>VLOOKUP(C53,Skill!B:C,2,FALSE)</f>
        <v>5</v>
      </c>
      <c r="F53" s="1" t="str">
        <f>VLOOKUP(B53,Equipment!B:N,3,FALSE)</f>
        <v>Helm</v>
      </c>
    </row>
    <row r="54" spans="1:6" ht="12.75" x14ac:dyDescent="0.2">
      <c r="A54" s="1">
        <v>53</v>
      </c>
      <c r="B54" s="1" t="s">
        <v>709</v>
      </c>
      <c r="C54" s="1" t="s">
        <v>440</v>
      </c>
      <c r="D54" s="1">
        <v>2</v>
      </c>
      <c r="E54" s="1">
        <f>VLOOKUP(C54,Skill!B:C,2,FALSE)</f>
        <v>5</v>
      </c>
      <c r="F54" s="1" t="str">
        <f>VLOOKUP(B54,Equipment!B:N,3,FALSE)</f>
        <v>Mail</v>
      </c>
    </row>
    <row r="55" spans="1:6" ht="12.75" x14ac:dyDescent="0.2">
      <c r="A55" s="1">
        <v>54</v>
      </c>
      <c r="B55" s="1" t="s">
        <v>713</v>
      </c>
      <c r="C55" s="1" t="s">
        <v>329</v>
      </c>
      <c r="D55" s="1">
        <v>2</v>
      </c>
      <c r="E55" s="1">
        <f>VLOOKUP(C55,Skill!B:C,2,FALSE)</f>
        <v>5</v>
      </c>
      <c r="F55" s="1" t="str">
        <f>VLOOKUP(B55,Equipment!B:N,3,FALSE)</f>
        <v>Vambraces</v>
      </c>
    </row>
    <row r="56" spans="1:6" ht="12.75" x14ac:dyDescent="0.2">
      <c r="A56" s="1">
        <v>55</v>
      </c>
      <c r="B56" s="1" t="s">
        <v>715</v>
      </c>
      <c r="C56" s="1" t="s">
        <v>213</v>
      </c>
      <c r="D56" s="1">
        <v>1</v>
      </c>
      <c r="E56" s="1">
        <f>VLOOKUP(C56,Skill!B:C,2,FALSE)</f>
        <v>5</v>
      </c>
      <c r="F56" s="1" t="str">
        <f>VLOOKUP(B56,Equipment!B:N,3,FALSE)</f>
        <v>Coil</v>
      </c>
    </row>
    <row r="57" spans="1:6" ht="12.75" x14ac:dyDescent="0.2">
      <c r="A57" s="1">
        <v>56</v>
      </c>
      <c r="B57" s="1" t="s">
        <v>715</v>
      </c>
      <c r="C57" s="1" t="s">
        <v>329</v>
      </c>
      <c r="D57" s="1">
        <v>1</v>
      </c>
      <c r="E57" s="1">
        <f>VLOOKUP(C57,Skill!B:C,2,FALSE)</f>
        <v>5</v>
      </c>
      <c r="F57" s="1" t="str">
        <f>VLOOKUP(B57,Equipment!B:N,3,FALSE)</f>
        <v>Coil</v>
      </c>
    </row>
    <row r="58" spans="1:6" ht="12.75" x14ac:dyDescent="0.2">
      <c r="A58" s="1">
        <v>57</v>
      </c>
      <c r="B58" s="1" t="s">
        <v>716</v>
      </c>
      <c r="C58" s="1" t="s">
        <v>519</v>
      </c>
      <c r="D58" s="1">
        <v>1</v>
      </c>
      <c r="E58" s="1">
        <f>VLOOKUP(C58,Skill!B:C,2,FALSE)</f>
        <v>3</v>
      </c>
      <c r="F58" s="1" t="str">
        <f>VLOOKUP(B58,Equipment!B:N,3,FALSE)</f>
        <v>Greaves</v>
      </c>
    </row>
    <row r="59" spans="1:6" ht="12.75" x14ac:dyDescent="0.2">
      <c r="A59" s="1">
        <v>58</v>
      </c>
      <c r="B59" s="1" t="s">
        <v>716</v>
      </c>
      <c r="C59" s="1" t="s">
        <v>213</v>
      </c>
      <c r="D59" s="1">
        <v>2</v>
      </c>
      <c r="E59" s="1">
        <f>VLOOKUP(C59,Skill!B:C,2,FALSE)</f>
        <v>5</v>
      </c>
      <c r="F59" s="1" t="str">
        <f>VLOOKUP(B59,Equipment!B:N,3,FALSE)</f>
        <v>Greaves</v>
      </c>
    </row>
    <row r="60" spans="1:6" ht="12.75" x14ac:dyDescent="0.2">
      <c r="A60" s="1">
        <v>59</v>
      </c>
      <c r="B60" s="1" t="s">
        <v>718</v>
      </c>
      <c r="C60" s="1" t="s">
        <v>431</v>
      </c>
      <c r="D60" s="1">
        <v>2</v>
      </c>
      <c r="E60" s="1">
        <f>VLOOKUP(C60,Skill!B:C,2,FALSE)</f>
        <v>3</v>
      </c>
      <c r="F60" s="1" t="str">
        <f>VLOOKUP(B60,Equipment!B:N,3,FALSE)</f>
        <v>Helm</v>
      </c>
    </row>
    <row r="61" spans="1:6" ht="12.75" x14ac:dyDescent="0.2">
      <c r="A61" s="1">
        <v>60</v>
      </c>
      <c r="B61" s="1" t="s">
        <v>720</v>
      </c>
      <c r="C61" s="1" t="s">
        <v>431</v>
      </c>
      <c r="D61" s="1">
        <v>1</v>
      </c>
      <c r="E61" s="1">
        <f>VLOOKUP(C61,Skill!B:C,2,FALSE)</f>
        <v>3</v>
      </c>
      <c r="F61" s="1" t="str">
        <f>VLOOKUP(B61,Equipment!B:N,3,FALSE)</f>
        <v>Mail</v>
      </c>
    </row>
    <row r="62" spans="1:6" ht="12.75" x14ac:dyDescent="0.2">
      <c r="A62" s="1">
        <v>61</v>
      </c>
      <c r="B62" s="1" t="s">
        <v>720</v>
      </c>
      <c r="C62" s="1" t="s">
        <v>590</v>
      </c>
      <c r="D62" s="1">
        <v>1</v>
      </c>
      <c r="E62" s="1">
        <f>VLOOKUP(C62,Skill!B:C,2,FALSE)</f>
        <v>5</v>
      </c>
      <c r="F62" s="1" t="str">
        <f>VLOOKUP(B62,Equipment!B:N,3,FALSE)</f>
        <v>Mail</v>
      </c>
    </row>
    <row r="63" spans="1:6" ht="12.75" x14ac:dyDescent="0.2">
      <c r="A63" s="1">
        <v>62</v>
      </c>
      <c r="B63" s="1" t="s">
        <v>723</v>
      </c>
      <c r="C63" s="1" t="s">
        <v>590</v>
      </c>
      <c r="D63" s="1">
        <v>1</v>
      </c>
      <c r="E63" s="1">
        <f>VLOOKUP(C63,Skill!B:C,2,FALSE)</f>
        <v>5</v>
      </c>
      <c r="F63" s="1" t="str">
        <f>VLOOKUP(B63,Equipment!B:N,3,FALSE)</f>
        <v>Vambraces</v>
      </c>
    </row>
    <row r="64" spans="1:6" ht="12.75" x14ac:dyDescent="0.2">
      <c r="A64" s="1">
        <v>63</v>
      </c>
      <c r="B64" s="1" t="s">
        <v>723</v>
      </c>
      <c r="C64" s="1" t="s">
        <v>244</v>
      </c>
      <c r="D64" s="1">
        <v>1</v>
      </c>
      <c r="E64" s="1">
        <f>VLOOKUP(C64,Skill!B:C,2,FALSE)</f>
        <v>5</v>
      </c>
      <c r="F64" s="1" t="str">
        <f>VLOOKUP(B64,Equipment!B:N,3,FALSE)</f>
        <v>Vambraces</v>
      </c>
    </row>
    <row r="65" spans="1:6" ht="12.75" x14ac:dyDescent="0.2">
      <c r="A65" s="1">
        <v>64</v>
      </c>
      <c r="B65" s="1" t="s">
        <v>724</v>
      </c>
      <c r="C65" s="1" t="s">
        <v>447</v>
      </c>
      <c r="D65" s="1">
        <v>1</v>
      </c>
      <c r="E65" s="1">
        <f>VLOOKUP(C65,Skill!B:C,2,FALSE)</f>
        <v>5</v>
      </c>
      <c r="F65" s="1" t="str">
        <f>VLOOKUP(B65,Equipment!B:N,3,FALSE)</f>
        <v>Coil</v>
      </c>
    </row>
    <row r="66" spans="1:6" ht="12.75" x14ac:dyDescent="0.2">
      <c r="A66" s="1">
        <v>65</v>
      </c>
      <c r="B66" s="1" t="s">
        <v>724</v>
      </c>
      <c r="C66" s="1" t="s">
        <v>244</v>
      </c>
      <c r="D66" s="1">
        <v>2</v>
      </c>
      <c r="E66" s="1">
        <f>VLOOKUP(C66,Skill!B:C,2,FALSE)</f>
        <v>5</v>
      </c>
      <c r="F66" s="1" t="str">
        <f>VLOOKUP(B66,Equipment!B:N,3,FALSE)</f>
        <v>Coil</v>
      </c>
    </row>
    <row r="67" spans="1:6" ht="12.75" x14ac:dyDescent="0.2">
      <c r="A67" s="1">
        <v>66</v>
      </c>
      <c r="B67" s="1" t="s">
        <v>727</v>
      </c>
      <c r="C67" s="1" t="s">
        <v>447</v>
      </c>
      <c r="D67" s="1">
        <v>2</v>
      </c>
      <c r="E67" s="1">
        <f>VLOOKUP(C67,Skill!B:C,2,FALSE)</f>
        <v>5</v>
      </c>
      <c r="F67" s="1" t="str">
        <f>VLOOKUP(B67,Equipment!B:N,3,FALSE)</f>
        <v>Greaves</v>
      </c>
    </row>
    <row r="68" spans="1:6" ht="12.75" x14ac:dyDescent="0.2">
      <c r="A68" s="1">
        <v>67</v>
      </c>
      <c r="B68" s="1" t="s">
        <v>728</v>
      </c>
      <c r="C68" s="1" t="s">
        <v>524</v>
      </c>
      <c r="D68" s="1">
        <v>1</v>
      </c>
      <c r="E68" s="1">
        <f>VLOOKUP(C68,Skill!B:C,2,FALSE)</f>
        <v>3</v>
      </c>
      <c r="F68" s="1" t="str">
        <f>VLOOKUP(B68,Equipment!B:N,3,FALSE)</f>
        <v>Helm</v>
      </c>
    </row>
    <row r="69" spans="1:6" ht="12.75" x14ac:dyDescent="0.2">
      <c r="A69" s="1">
        <v>68</v>
      </c>
      <c r="B69" s="1" t="s">
        <v>728</v>
      </c>
      <c r="C69" s="1" t="s">
        <v>38</v>
      </c>
      <c r="D69" s="1">
        <v>1</v>
      </c>
      <c r="E69" s="1">
        <f>VLOOKUP(C69,Skill!B:C,2,FALSE)</f>
        <v>5</v>
      </c>
      <c r="F69" s="1" t="str">
        <f>VLOOKUP(B69,Equipment!B:N,3,FALSE)</f>
        <v>Helm</v>
      </c>
    </row>
    <row r="70" spans="1:6" ht="12.75" x14ac:dyDescent="0.2">
      <c r="A70" s="1">
        <v>69</v>
      </c>
      <c r="B70" s="1" t="s">
        <v>732</v>
      </c>
      <c r="C70" s="1" t="s">
        <v>253</v>
      </c>
      <c r="D70" s="1">
        <v>1</v>
      </c>
      <c r="E70" s="1">
        <f>VLOOKUP(C70,Skill!B:C,2,FALSE)</f>
        <v>5</v>
      </c>
      <c r="F70" s="1" t="str">
        <f>VLOOKUP(B70,Equipment!B:N,3,FALSE)</f>
        <v>Mail</v>
      </c>
    </row>
    <row r="71" spans="1:6" ht="12.75" x14ac:dyDescent="0.2">
      <c r="A71" s="1">
        <v>70</v>
      </c>
      <c r="B71" s="1" t="s">
        <v>732</v>
      </c>
      <c r="C71" s="1" t="s">
        <v>635</v>
      </c>
      <c r="D71" s="1">
        <v>1</v>
      </c>
      <c r="E71" s="1">
        <f>VLOOKUP(C71,Skill!B:C,2,FALSE)</f>
        <v>5</v>
      </c>
      <c r="F71" s="1" t="str">
        <f>VLOOKUP(B71,Equipment!B:N,3,FALSE)</f>
        <v>Mail</v>
      </c>
    </row>
    <row r="72" spans="1:6" ht="12.75" x14ac:dyDescent="0.2">
      <c r="A72" s="1">
        <v>71</v>
      </c>
      <c r="B72" s="1" t="s">
        <v>733</v>
      </c>
      <c r="C72" s="1" t="s">
        <v>253</v>
      </c>
      <c r="D72" s="1">
        <v>2</v>
      </c>
      <c r="E72" s="1">
        <f>VLOOKUP(C72,Skill!B:C,2,FALSE)</f>
        <v>5</v>
      </c>
      <c r="F72" s="1" t="str">
        <f>VLOOKUP(B72,Equipment!B:N,3,FALSE)</f>
        <v>Vambraces</v>
      </c>
    </row>
    <row r="73" spans="1:6" ht="12.75" x14ac:dyDescent="0.2">
      <c r="A73" s="1">
        <v>72</v>
      </c>
      <c r="B73" s="1" t="s">
        <v>733</v>
      </c>
      <c r="C73" s="1" t="s">
        <v>38</v>
      </c>
      <c r="D73" s="1">
        <v>1</v>
      </c>
      <c r="E73" s="1">
        <f>VLOOKUP(C73,Skill!B:C,2,FALSE)</f>
        <v>5</v>
      </c>
      <c r="F73" s="1" t="str">
        <f>VLOOKUP(B73,Equipment!B:N,3,FALSE)</f>
        <v>Vambraces</v>
      </c>
    </row>
    <row r="74" spans="1:6" ht="12.75" x14ac:dyDescent="0.2">
      <c r="A74" s="1">
        <v>73</v>
      </c>
      <c r="B74" s="1" t="s">
        <v>737</v>
      </c>
      <c r="C74" s="1" t="s">
        <v>635</v>
      </c>
      <c r="D74" s="1">
        <v>2</v>
      </c>
      <c r="E74" s="1">
        <f>VLOOKUP(C74,Skill!B:C,2,FALSE)</f>
        <v>5</v>
      </c>
      <c r="F74" s="1" t="str">
        <f>VLOOKUP(B74,Equipment!B:N,3,FALSE)</f>
        <v>Coil</v>
      </c>
    </row>
    <row r="75" spans="1:6" ht="12.75" x14ac:dyDescent="0.2">
      <c r="A75" s="1">
        <v>74</v>
      </c>
      <c r="B75" s="1" t="s">
        <v>738</v>
      </c>
      <c r="C75" s="1" t="s">
        <v>38</v>
      </c>
      <c r="D75" s="1">
        <v>1</v>
      </c>
      <c r="E75" s="1">
        <f>VLOOKUP(C75,Skill!B:C,2,FALSE)</f>
        <v>5</v>
      </c>
      <c r="F75" s="1" t="str">
        <f>VLOOKUP(B75,Equipment!B:N,3,FALSE)</f>
        <v>Greaves</v>
      </c>
    </row>
    <row r="76" spans="1:6" ht="12.75" x14ac:dyDescent="0.2">
      <c r="A76" s="1">
        <v>75</v>
      </c>
      <c r="B76" s="1" t="s">
        <v>738</v>
      </c>
      <c r="C76" s="1" t="s">
        <v>314</v>
      </c>
      <c r="D76" s="1">
        <v>1</v>
      </c>
      <c r="E76" s="1">
        <f>VLOOKUP(C76,Skill!B:C,2,FALSE)</f>
        <v>3</v>
      </c>
      <c r="F76" s="1" t="str">
        <f>VLOOKUP(B76,Equipment!B:N,3,FALSE)</f>
        <v>Greaves</v>
      </c>
    </row>
    <row r="77" spans="1:6" ht="12.75" x14ac:dyDescent="0.2">
      <c r="A77" s="1">
        <v>76</v>
      </c>
      <c r="B77" s="1" t="s">
        <v>741</v>
      </c>
      <c r="C77" s="1" t="s">
        <v>158</v>
      </c>
      <c r="D77" s="1">
        <v>1</v>
      </c>
      <c r="E77" s="1">
        <f>VLOOKUP(C77,Skill!B:C,2,FALSE)</f>
        <v>5</v>
      </c>
      <c r="F77" s="1" t="str">
        <f>VLOOKUP(B77,Equipment!B:N,3,FALSE)</f>
        <v>Helm</v>
      </c>
    </row>
    <row r="78" spans="1:6" ht="12.75" x14ac:dyDescent="0.2">
      <c r="A78" s="1">
        <v>77</v>
      </c>
      <c r="B78" s="1" t="s">
        <v>741</v>
      </c>
      <c r="C78" s="1" t="s">
        <v>528</v>
      </c>
      <c r="D78" s="1">
        <v>1</v>
      </c>
      <c r="E78" s="1">
        <f>VLOOKUP(C78,Skill!B:C,2,FALSE)</f>
        <v>5</v>
      </c>
      <c r="F78" s="1" t="str">
        <f>VLOOKUP(B78,Equipment!B:N,3,FALSE)</f>
        <v>Helm</v>
      </c>
    </row>
    <row r="79" spans="1:6" ht="12.75" x14ac:dyDescent="0.2">
      <c r="A79" s="1">
        <v>78</v>
      </c>
      <c r="B79" s="1" t="s">
        <v>743</v>
      </c>
      <c r="C79" s="1" t="s">
        <v>519</v>
      </c>
      <c r="D79" s="1">
        <v>2</v>
      </c>
      <c r="E79" s="1">
        <f>VLOOKUP(C79,Skill!B:C,2,FALSE)</f>
        <v>3</v>
      </c>
      <c r="F79" s="1" t="str">
        <f>VLOOKUP(B79,Equipment!B:N,3,FALSE)</f>
        <v>Mail</v>
      </c>
    </row>
    <row r="80" spans="1:6" ht="12.75" x14ac:dyDescent="0.2">
      <c r="A80" s="1">
        <v>79</v>
      </c>
      <c r="B80" s="1" t="s">
        <v>746</v>
      </c>
      <c r="C80" s="1" t="s">
        <v>158</v>
      </c>
      <c r="D80" s="1">
        <v>2</v>
      </c>
      <c r="E80" s="1">
        <f>VLOOKUP(C80,Skill!B:C,2,FALSE)</f>
        <v>5</v>
      </c>
      <c r="F80" s="1" t="str">
        <f>VLOOKUP(B80,Equipment!B:N,3,FALSE)</f>
        <v>Vambraces</v>
      </c>
    </row>
    <row r="81" spans="1:6" ht="12.75" x14ac:dyDescent="0.2">
      <c r="A81" s="1">
        <v>80</v>
      </c>
      <c r="B81" s="1" t="s">
        <v>746</v>
      </c>
      <c r="C81" s="1" t="s">
        <v>228</v>
      </c>
      <c r="D81" s="1">
        <v>1</v>
      </c>
      <c r="E81" s="1">
        <f>VLOOKUP(C81,Skill!B:C,2,FALSE)</f>
        <v>5</v>
      </c>
      <c r="F81" s="1" t="str">
        <f>VLOOKUP(B81,Equipment!B:N,3,FALSE)</f>
        <v>Vambraces</v>
      </c>
    </row>
    <row r="82" spans="1:6" ht="12.75" x14ac:dyDescent="0.2">
      <c r="A82" s="1">
        <v>81</v>
      </c>
      <c r="B82" s="1" t="s">
        <v>748</v>
      </c>
      <c r="C82" s="1" t="s">
        <v>228</v>
      </c>
      <c r="D82" s="1">
        <v>2</v>
      </c>
      <c r="E82" s="1">
        <f>VLOOKUP(C82,Skill!B:C,2,FALSE)</f>
        <v>5</v>
      </c>
      <c r="F82" s="1" t="str">
        <f>VLOOKUP(B82,Equipment!B:N,3,FALSE)</f>
        <v>Coil</v>
      </c>
    </row>
    <row r="83" spans="1:6" ht="12.75" x14ac:dyDescent="0.2">
      <c r="A83" s="1">
        <v>82</v>
      </c>
      <c r="B83" s="1" t="s">
        <v>751</v>
      </c>
      <c r="C83" s="1" t="s">
        <v>528</v>
      </c>
      <c r="D83" s="1">
        <v>2</v>
      </c>
      <c r="E83" s="1">
        <f>VLOOKUP(C83,Skill!B:C,2,FALSE)</f>
        <v>5</v>
      </c>
      <c r="F83" s="1" t="str">
        <f>VLOOKUP(B83,Equipment!B:N,3,FALSE)</f>
        <v>Greaves</v>
      </c>
    </row>
    <row r="84" spans="1:6" ht="12.75" x14ac:dyDescent="0.2">
      <c r="A84" s="1">
        <v>83</v>
      </c>
      <c r="B84" s="1" t="s">
        <v>753</v>
      </c>
      <c r="C84" s="1" t="s">
        <v>549</v>
      </c>
      <c r="D84" s="1">
        <v>2</v>
      </c>
      <c r="E84" s="1">
        <f>VLOOKUP(C84,Skill!B:C,2,FALSE)</f>
        <v>3</v>
      </c>
      <c r="F84" s="1" t="str">
        <f>VLOOKUP(B84,Equipment!B:N,3,FALSE)</f>
        <v>Helm</v>
      </c>
    </row>
    <row r="85" spans="1:6" ht="12.75" x14ac:dyDescent="0.2">
      <c r="A85" s="1">
        <v>84</v>
      </c>
      <c r="B85" s="1" t="s">
        <v>757</v>
      </c>
      <c r="C85" s="1" t="s">
        <v>311</v>
      </c>
      <c r="D85" s="1">
        <v>2</v>
      </c>
      <c r="E85" s="1">
        <f>VLOOKUP(C85,Skill!B:C,2,FALSE)</f>
        <v>5</v>
      </c>
      <c r="F85" s="1" t="str">
        <f>VLOOKUP(B85,Equipment!B:N,3,FALSE)</f>
        <v>Mail</v>
      </c>
    </row>
    <row r="86" spans="1:6" ht="12.75" x14ac:dyDescent="0.2">
      <c r="A86" s="1">
        <v>85</v>
      </c>
      <c r="B86" s="1" t="s">
        <v>757</v>
      </c>
      <c r="C86" s="1" t="s">
        <v>579</v>
      </c>
      <c r="D86" s="1">
        <v>1</v>
      </c>
      <c r="E86" s="1">
        <f>VLOOKUP(C86,Skill!B:C,2,FALSE)</f>
        <v>3</v>
      </c>
      <c r="F86" s="1" t="str">
        <f>VLOOKUP(B86,Equipment!B:N,3,FALSE)</f>
        <v>Mail</v>
      </c>
    </row>
    <row r="87" spans="1:6" ht="12.75" x14ac:dyDescent="0.2">
      <c r="A87" s="1">
        <v>86</v>
      </c>
      <c r="B87" s="1" t="s">
        <v>758</v>
      </c>
      <c r="C87" s="1" t="s">
        <v>573</v>
      </c>
      <c r="D87" s="1">
        <v>2</v>
      </c>
      <c r="E87" s="1">
        <f>VLOOKUP(C87,Skill!B:C,2,FALSE)</f>
        <v>5</v>
      </c>
      <c r="F87" s="1" t="str">
        <f>VLOOKUP(B87,Equipment!B:N,3,FALSE)</f>
        <v>Vambraces</v>
      </c>
    </row>
    <row r="88" spans="1:6" ht="12.75" x14ac:dyDescent="0.2">
      <c r="A88" s="1">
        <v>87</v>
      </c>
      <c r="B88" s="1" t="s">
        <v>762</v>
      </c>
      <c r="C88" s="1" t="s">
        <v>590</v>
      </c>
      <c r="D88" s="1">
        <v>2</v>
      </c>
      <c r="E88" s="1">
        <f>VLOOKUP(C88,Skill!B:C,2,FALSE)</f>
        <v>5</v>
      </c>
      <c r="F88" s="1" t="str">
        <f>VLOOKUP(B88,Equipment!B:N,3,FALSE)</f>
        <v>Coil</v>
      </c>
    </row>
    <row r="89" spans="1:6" ht="12.75" x14ac:dyDescent="0.2">
      <c r="A89" s="1">
        <v>88</v>
      </c>
      <c r="B89" s="1" t="s">
        <v>762</v>
      </c>
      <c r="C89" s="1" t="s">
        <v>253</v>
      </c>
      <c r="D89" s="1">
        <v>1</v>
      </c>
      <c r="E89" s="1">
        <f>VLOOKUP(C89,Skill!B:C,2,FALSE)</f>
        <v>5</v>
      </c>
      <c r="F89" s="1" t="str">
        <f>VLOOKUP(B89,Equipment!B:N,3,FALSE)</f>
        <v>Coil</v>
      </c>
    </row>
    <row r="90" spans="1:6" ht="12.75" x14ac:dyDescent="0.2">
      <c r="A90" s="1">
        <v>89</v>
      </c>
      <c r="B90" s="1" t="s">
        <v>764</v>
      </c>
      <c r="C90" s="1" t="s">
        <v>549</v>
      </c>
      <c r="D90" s="1">
        <v>1</v>
      </c>
      <c r="E90" s="1">
        <f>VLOOKUP(C90,Skill!B:C,2,FALSE)</f>
        <v>3</v>
      </c>
      <c r="F90" s="1" t="str">
        <f>VLOOKUP(B90,Equipment!B:N,3,FALSE)</f>
        <v>Greaves</v>
      </c>
    </row>
    <row r="91" spans="1:6" ht="12.75" x14ac:dyDescent="0.2">
      <c r="A91" s="1">
        <v>90</v>
      </c>
      <c r="B91" s="1" t="s">
        <v>764</v>
      </c>
      <c r="C91" s="1" t="s">
        <v>624</v>
      </c>
      <c r="D91" s="1">
        <v>1</v>
      </c>
      <c r="E91" s="1">
        <f>VLOOKUP(C91,Skill!B:C,2,FALSE)</f>
        <v>5</v>
      </c>
      <c r="F91" s="1" t="str">
        <f>VLOOKUP(B91,Equipment!B:N,3,FALSE)</f>
        <v>Greaves</v>
      </c>
    </row>
    <row r="92" spans="1:6" ht="12.75" x14ac:dyDescent="0.2">
      <c r="A92" s="1">
        <v>91</v>
      </c>
      <c r="B92" s="1" t="s">
        <v>767</v>
      </c>
      <c r="C92" s="1" t="s">
        <v>386</v>
      </c>
      <c r="D92" s="1">
        <v>1</v>
      </c>
      <c r="E92" s="1">
        <f>VLOOKUP(C92,Skill!B:C,2,FALSE)</f>
        <v>3</v>
      </c>
      <c r="F92" s="1" t="str">
        <f>VLOOKUP(B92,Equipment!B:N,3,FALSE)</f>
        <v>Helm</v>
      </c>
    </row>
    <row r="93" spans="1:6" ht="12.75" x14ac:dyDescent="0.2">
      <c r="A93" s="1">
        <v>92</v>
      </c>
      <c r="B93" s="1" t="s">
        <v>767</v>
      </c>
      <c r="C93" s="1" t="s">
        <v>394</v>
      </c>
      <c r="D93" s="1">
        <v>1</v>
      </c>
      <c r="E93" s="1">
        <f>VLOOKUP(C93,Skill!B:C,2,FALSE)</f>
        <v>5</v>
      </c>
      <c r="F93" s="1" t="str">
        <f>VLOOKUP(B93,Equipment!B:N,3,FALSE)</f>
        <v>Helm</v>
      </c>
    </row>
    <row r="94" spans="1:6" ht="12.75" x14ac:dyDescent="0.2">
      <c r="A94" s="1">
        <v>93</v>
      </c>
      <c r="B94" s="1" t="s">
        <v>769</v>
      </c>
      <c r="C94" s="1" t="s">
        <v>597</v>
      </c>
      <c r="D94" s="1">
        <v>1</v>
      </c>
      <c r="E94" s="1">
        <f>VLOOKUP(C94,Skill!B:C,2,FALSE)</f>
        <v>5</v>
      </c>
      <c r="F94" s="1" t="str">
        <f>VLOOKUP(B94,Equipment!B:N,3,FALSE)</f>
        <v>Mail</v>
      </c>
    </row>
    <row r="95" spans="1:6" ht="12.75" x14ac:dyDescent="0.2">
      <c r="A95" s="1">
        <v>94</v>
      </c>
      <c r="B95" s="1" t="s">
        <v>769</v>
      </c>
      <c r="C95" s="1" t="s">
        <v>394</v>
      </c>
      <c r="D95" s="1">
        <v>1</v>
      </c>
      <c r="E95" s="1">
        <f>VLOOKUP(C95,Skill!B:C,2,FALSE)</f>
        <v>5</v>
      </c>
      <c r="F95" s="1" t="str">
        <f>VLOOKUP(B95,Equipment!B:N,3,FALSE)</f>
        <v>Mail</v>
      </c>
    </row>
    <row r="96" spans="1:6" ht="12.75" x14ac:dyDescent="0.2">
      <c r="A96" s="1">
        <v>95</v>
      </c>
      <c r="B96" s="1" t="s">
        <v>772</v>
      </c>
      <c r="C96" s="1" t="s">
        <v>597</v>
      </c>
      <c r="D96" s="1">
        <v>2</v>
      </c>
      <c r="E96" s="1">
        <f>VLOOKUP(C96,Skill!B:C,2,FALSE)</f>
        <v>5</v>
      </c>
      <c r="F96" s="1" t="str">
        <f>VLOOKUP(B96,Equipment!B:N,3,FALSE)</f>
        <v>Vambraces</v>
      </c>
    </row>
    <row r="97" spans="1:6" ht="12.75" x14ac:dyDescent="0.2">
      <c r="A97" s="1">
        <v>96</v>
      </c>
      <c r="B97" s="1" t="s">
        <v>773</v>
      </c>
      <c r="C97" s="1" t="s">
        <v>386</v>
      </c>
      <c r="D97" s="1">
        <v>2</v>
      </c>
      <c r="E97" s="1">
        <f>VLOOKUP(C97,Skill!B:C,2,FALSE)</f>
        <v>3</v>
      </c>
      <c r="F97" s="1" t="str">
        <f>VLOOKUP(B97,Equipment!B:N,3,FALSE)</f>
        <v>Coil</v>
      </c>
    </row>
    <row r="98" spans="1:6" ht="12.75" x14ac:dyDescent="0.2">
      <c r="A98" s="1">
        <v>97</v>
      </c>
      <c r="B98" s="1" t="s">
        <v>776</v>
      </c>
      <c r="C98" s="1" t="s">
        <v>311</v>
      </c>
      <c r="D98" s="1">
        <v>2</v>
      </c>
      <c r="E98" s="1">
        <f>VLOOKUP(C98,Skill!B:C,2,FALSE)</f>
        <v>5</v>
      </c>
      <c r="F98" s="1" t="str">
        <f>VLOOKUP(B98,Equipment!B:N,3,FALSE)</f>
        <v>Greaves</v>
      </c>
    </row>
    <row r="99" spans="1:6" ht="12.75" x14ac:dyDescent="0.2">
      <c r="A99" s="1">
        <v>98</v>
      </c>
      <c r="B99" s="1" t="s">
        <v>776</v>
      </c>
      <c r="C99" s="1" t="s">
        <v>394</v>
      </c>
      <c r="D99" s="1">
        <v>1</v>
      </c>
      <c r="E99" s="1">
        <f>VLOOKUP(C99,Skill!B:C,2,FALSE)</f>
        <v>5</v>
      </c>
      <c r="F99" s="1" t="str">
        <f>VLOOKUP(B99,Equipment!B:N,3,FALSE)</f>
        <v>Greaves</v>
      </c>
    </row>
    <row r="100" spans="1:6" ht="12.75" x14ac:dyDescent="0.2">
      <c r="A100" s="1">
        <v>99</v>
      </c>
      <c r="B100" s="1" t="s">
        <v>778</v>
      </c>
      <c r="C100" s="1" t="s">
        <v>291</v>
      </c>
      <c r="D100" s="1">
        <v>2</v>
      </c>
      <c r="E100" s="1">
        <f>VLOOKUP(C100,Skill!B:C,2,FALSE)</f>
        <v>5</v>
      </c>
      <c r="F100" s="1" t="str">
        <f>VLOOKUP(B100,Equipment!B:N,3,FALSE)</f>
        <v>Helm</v>
      </c>
    </row>
    <row r="101" spans="1:6" ht="12.75" x14ac:dyDescent="0.2">
      <c r="A101" s="1">
        <v>100</v>
      </c>
      <c r="B101" s="1" t="s">
        <v>778</v>
      </c>
      <c r="C101" s="1" t="s">
        <v>222</v>
      </c>
      <c r="D101" s="1">
        <v>1</v>
      </c>
      <c r="E101" s="1">
        <f>VLOOKUP(C101,Skill!B:C,2,FALSE)</f>
        <v>3</v>
      </c>
      <c r="F101" s="1" t="str">
        <f>VLOOKUP(B101,Equipment!B:N,3,FALSE)</f>
        <v>Helm</v>
      </c>
    </row>
    <row r="102" spans="1:6" ht="12.75" x14ac:dyDescent="0.2">
      <c r="A102" s="1">
        <v>101</v>
      </c>
      <c r="B102" s="1" t="s">
        <v>780</v>
      </c>
      <c r="C102" s="1" t="s">
        <v>602</v>
      </c>
      <c r="D102" s="1">
        <v>2</v>
      </c>
      <c r="E102" s="1">
        <f>VLOOKUP(C102,Skill!B:C,2,FALSE)</f>
        <v>5</v>
      </c>
      <c r="F102" s="1" t="str">
        <f>VLOOKUP(B102,Equipment!B:N,3,FALSE)</f>
        <v>Mail</v>
      </c>
    </row>
    <row r="103" spans="1:6" ht="12.75" x14ac:dyDescent="0.2">
      <c r="A103" s="1">
        <v>102</v>
      </c>
      <c r="B103" s="1" t="s">
        <v>781</v>
      </c>
      <c r="C103" s="1" t="s">
        <v>291</v>
      </c>
      <c r="D103" s="1">
        <v>2</v>
      </c>
      <c r="E103" s="1">
        <f>VLOOKUP(C103,Skill!B:C,2,FALSE)</f>
        <v>5</v>
      </c>
      <c r="F103" s="1" t="str">
        <f>VLOOKUP(B103,Equipment!B:N,3,FALSE)</f>
        <v>Vambraces</v>
      </c>
    </row>
    <row r="104" spans="1:6" ht="12.75" x14ac:dyDescent="0.2">
      <c r="A104" s="1">
        <v>103</v>
      </c>
      <c r="B104" s="1" t="s">
        <v>783</v>
      </c>
      <c r="C104" s="1" t="s">
        <v>222</v>
      </c>
      <c r="D104" s="1">
        <v>1</v>
      </c>
      <c r="E104" s="1">
        <f>VLOOKUP(C104,Skill!B:C,2,FALSE)</f>
        <v>3</v>
      </c>
      <c r="F104" s="1" t="str">
        <f>VLOOKUP(B104,Equipment!B:N,3,FALSE)</f>
        <v>Coil</v>
      </c>
    </row>
    <row r="105" spans="1:6" ht="12.75" x14ac:dyDescent="0.2">
      <c r="A105" s="1">
        <v>104</v>
      </c>
      <c r="B105" s="1" t="s">
        <v>783</v>
      </c>
      <c r="C105" s="1" t="s">
        <v>602</v>
      </c>
      <c r="D105" s="1">
        <v>1</v>
      </c>
      <c r="E105" s="1">
        <f>VLOOKUP(C105,Skill!B:C,2,FALSE)</f>
        <v>5</v>
      </c>
      <c r="F105" s="1" t="str">
        <f>VLOOKUP(B105,Equipment!B:N,3,FALSE)</f>
        <v>Coil</v>
      </c>
    </row>
    <row r="106" spans="1:6" ht="12.75" x14ac:dyDescent="0.2">
      <c r="A106" s="1">
        <v>105</v>
      </c>
      <c r="B106" s="1" t="s">
        <v>784</v>
      </c>
      <c r="C106" s="1" t="s">
        <v>470</v>
      </c>
      <c r="D106" s="1">
        <v>2</v>
      </c>
      <c r="E106" s="1">
        <f>VLOOKUP(C106,Skill!B:C,2,FALSE)</f>
        <v>5</v>
      </c>
      <c r="F106" s="1" t="str">
        <f>VLOOKUP(B106,Equipment!B:N,3,FALSE)</f>
        <v>Greaves</v>
      </c>
    </row>
    <row r="107" spans="1:6" ht="12.75" x14ac:dyDescent="0.2">
      <c r="A107" s="1">
        <v>99</v>
      </c>
      <c r="B107" s="1" t="s">
        <v>787</v>
      </c>
      <c r="C107" s="1" t="s">
        <v>615</v>
      </c>
      <c r="D107" s="1">
        <v>2</v>
      </c>
      <c r="E107" s="1">
        <f>VLOOKUP(C107,Skill!B:C,2,FALSE)</f>
        <v>5</v>
      </c>
      <c r="F107" s="1" t="str">
        <f>VLOOKUP(B107,Equipment!B:N,3,FALSE)</f>
        <v>Helm</v>
      </c>
    </row>
    <row r="108" spans="1:6" ht="12.75" x14ac:dyDescent="0.2">
      <c r="A108" s="1">
        <v>100</v>
      </c>
      <c r="B108" s="1" t="s">
        <v>787</v>
      </c>
      <c r="C108" s="1" t="s">
        <v>602</v>
      </c>
      <c r="D108" s="1">
        <v>1</v>
      </c>
      <c r="E108" s="1">
        <f>VLOOKUP(C108,Skill!B:C,2,FALSE)</f>
        <v>5</v>
      </c>
      <c r="F108" s="1" t="str">
        <f>VLOOKUP(B108,Equipment!B:N,3,FALSE)</f>
        <v>Helm</v>
      </c>
    </row>
    <row r="109" spans="1:6" ht="12.75" x14ac:dyDescent="0.2">
      <c r="A109" s="1">
        <v>101</v>
      </c>
      <c r="B109" s="1" t="s">
        <v>791</v>
      </c>
      <c r="C109" s="1" t="s">
        <v>664</v>
      </c>
      <c r="D109" s="1">
        <v>1</v>
      </c>
      <c r="E109" s="1">
        <f>VLOOKUP(C109,Skill!B:C,2,FALSE)</f>
        <v>3</v>
      </c>
      <c r="F109" s="1" t="str">
        <f>VLOOKUP(B109,Equipment!B:N,3,FALSE)</f>
        <v>Mail</v>
      </c>
    </row>
    <row r="110" spans="1:6" ht="12.75" x14ac:dyDescent="0.2">
      <c r="A110" s="1">
        <v>101</v>
      </c>
      <c r="B110" s="1" t="s">
        <v>791</v>
      </c>
      <c r="C110" s="1" t="s">
        <v>348</v>
      </c>
      <c r="D110" s="1">
        <v>1</v>
      </c>
      <c r="E110" s="1">
        <f>VLOOKUP(C110,Skill!B:C,2,FALSE)</f>
        <v>5</v>
      </c>
      <c r="F110" s="1" t="str">
        <f>VLOOKUP(B110,Equipment!B:N,3,FALSE)</f>
        <v>Mail</v>
      </c>
    </row>
    <row r="111" spans="1:6" ht="12.75" x14ac:dyDescent="0.2">
      <c r="A111" s="1">
        <v>102</v>
      </c>
      <c r="B111" s="1" t="s">
        <v>792</v>
      </c>
      <c r="C111" s="1" t="s">
        <v>664</v>
      </c>
      <c r="D111" s="1">
        <v>2</v>
      </c>
      <c r="E111" s="1">
        <f>VLOOKUP(C111,Skill!B:C,2,FALSE)</f>
        <v>3</v>
      </c>
      <c r="F111" s="1" t="str">
        <f>VLOOKUP(B111,Equipment!B:N,3,FALSE)</f>
        <v>Vambraces</v>
      </c>
    </row>
    <row r="112" spans="1:6" ht="12.75" x14ac:dyDescent="0.2">
      <c r="A112" s="1">
        <v>103</v>
      </c>
      <c r="B112" s="1" t="s">
        <v>795</v>
      </c>
      <c r="C112" s="1" t="s">
        <v>602</v>
      </c>
      <c r="D112" s="1">
        <v>2</v>
      </c>
      <c r="E112" s="1">
        <f>VLOOKUP(C112,Skill!B:C,2,FALSE)</f>
        <v>5</v>
      </c>
      <c r="F112" s="1" t="str">
        <f>VLOOKUP(B112,Equipment!B:N,3,FALSE)</f>
        <v>Coil</v>
      </c>
    </row>
    <row r="113" spans="1:6" ht="12.75" x14ac:dyDescent="0.2">
      <c r="A113" s="1">
        <v>104</v>
      </c>
      <c r="B113" s="1" t="s">
        <v>795</v>
      </c>
      <c r="C113" s="1" t="s">
        <v>412</v>
      </c>
      <c r="D113" s="1">
        <v>1</v>
      </c>
      <c r="E113" s="1">
        <f>VLOOKUP(C113,Skill!B:C,2,FALSE)</f>
        <v>1</v>
      </c>
      <c r="F113" s="1" t="str">
        <f>VLOOKUP(B113,Equipment!B:N,3,FALSE)</f>
        <v>Coil</v>
      </c>
    </row>
    <row r="114" spans="1:6" ht="12.75" x14ac:dyDescent="0.2">
      <c r="A114" s="1">
        <v>105</v>
      </c>
      <c r="B114" s="1" t="s">
        <v>799</v>
      </c>
      <c r="C114" s="1" t="s">
        <v>158</v>
      </c>
      <c r="D114" s="1">
        <v>2</v>
      </c>
      <c r="E114" s="1">
        <f>VLOOKUP(C114,Skill!B:C,2,FALSE)</f>
        <v>5</v>
      </c>
      <c r="F114" s="1" t="str">
        <f>VLOOKUP(B114,Equipment!B:N,3,FALSE)</f>
        <v>Greaves</v>
      </c>
    </row>
    <row r="115" spans="1:6" ht="12.75" x14ac:dyDescent="0.2">
      <c r="A115" s="1">
        <v>105</v>
      </c>
      <c r="B115" s="1" t="s">
        <v>799</v>
      </c>
      <c r="C115" s="1" t="s">
        <v>509</v>
      </c>
      <c r="D115" s="1">
        <v>1</v>
      </c>
      <c r="E115" s="1">
        <f>VLOOKUP(C115,Skill!B:C,2,FALSE)</f>
        <v>5</v>
      </c>
      <c r="F115" s="1" t="str">
        <f>VLOOKUP(B115,Equipment!B:N,3,FALSE)</f>
        <v>Greaves</v>
      </c>
    </row>
    <row r="116" spans="1:6" ht="12.75" x14ac:dyDescent="0.2">
      <c r="A116" s="1">
        <v>106</v>
      </c>
      <c r="B116" s="1" t="s">
        <v>801</v>
      </c>
      <c r="C116" s="1" t="s">
        <v>348</v>
      </c>
      <c r="D116" s="1">
        <v>2</v>
      </c>
      <c r="E116" s="1">
        <f>VLOOKUP(C116,Skill!B:C,2,FALSE)</f>
        <v>5</v>
      </c>
      <c r="F116" s="1" t="str">
        <f>VLOOKUP(B116,Equipment!B:N,3,FALSE)</f>
        <v>Helm</v>
      </c>
    </row>
    <row r="117" spans="1:6" ht="12.75" x14ac:dyDescent="0.2">
      <c r="A117" s="1">
        <v>107</v>
      </c>
      <c r="B117" s="1" t="s">
        <v>801</v>
      </c>
      <c r="C117" s="1" t="s">
        <v>476</v>
      </c>
      <c r="D117" s="1">
        <v>1</v>
      </c>
      <c r="E117" s="1">
        <f>VLOOKUP(C117,Skill!B:C,2,FALSE)</f>
        <v>5</v>
      </c>
      <c r="F117" s="1" t="str">
        <f>VLOOKUP(B117,Equipment!B:N,3,FALSE)</f>
        <v>Helm</v>
      </c>
    </row>
    <row r="118" spans="1:6" ht="12.75" x14ac:dyDescent="0.2">
      <c r="A118" s="1">
        <v>108</v>
      </c>
      <c r="B118" s="1" t="s">
        <v>805</v>
      </c>
      <c r="C118" s="1" t="s">
        <v>476</v>
      </c>
      <c r="D118" s="1">
        <v>2</v>
      </c>
      <c r="E118" s="1">
        <f>VLOOKUP(C118,Skill!B:C,2,FALSE)</f>
        <v>5</v>
      </c>
      <c r="F118" s="1" t="str">
        <f>VLOOKUP(B118,Equipment!B:N,3,FALSE)</f>
        <v>Mail</v>
      </c>
    </row>
    <row r="119" spans="1:6" ht="12.75" x14ac:dyDescent="0.2">
      <c r="A119" s="1">
        <v>109</v>
      </c>
      <c r="B119" s="1" t="s">
        <v>808</v>
      </c>
      <c r="C119" s="1" t="s">
        <v>412</v>
      </c>
      <c r="D119" s="1">
        <v>1</v>
      </c>
      <c r="E119" s="1">
        <f>VLOOKUP(C119,Skill!B:C,2,FALSE)</f>
        <v>1</v>
      </c>
      <c r="F119" s="1" t="str">
        <f>VLOOKUP(B119,Equipment!B:N,3,FALSE)</f>
        <v>Vambraces</v>
      </c>
    </row>
    <row r="120" spans="1:6" ht="12.75" x14ac:dyDescent="0.2">
      <c r="A120" s="1">
        <v>110</v>
      </c>
      <c r="B120" s="1" t="s">
        <v>808</v>
      </c>
      <c r="C120" s="1" t="s">
        <v>144</v>
      </c>
      <c r="D120" s="1">
        <v>2</v>
      </c>
      <c r="E120" s="1">
        <f>VLOOKUP(C120,Skill!B:C,2,FALSE)</f>
        <v>5</v>
      </c>
      <c r="F120" s="1" t="str">
        <f>VLOOKUP(B120,Equipment!B:N,3,FALSE)</f>
        <v>Vambraces</v>
      </c>
    </row>
    <row r="121" spans="1:6" ht="12.75" x14ac:dyDescent="0.2">
      <c r="A121" s="1">
        <v>111</v>
      </c>
      <c r="B121" s="1" t="s">
        <v>811</v>
      </c>
      <c r="C121" s="1" t="s">
        <v>410</v>
      </c>
      <c r="D121" s="1">
        <v>1</v>
      </c>
      <c r="E121" s="1">
        <f>VLOOKUP(C121,Skill!B:C,2,FALSE)</f>
        <v>3</v>
      </c>
      <c r="F121" s="1" t="str">
        <f>VLOOKUP(B121,Equipment!B:N,3,FALSE)</f>
        <v>Coil</v>
      </c>
    </row>
    <row r="122" spans="1:6" ht="12.75" x14ac:dyDescent="0.2">
      <c r="A122" s="1">
        <v>112</v>
      </c>
      <c r="B122" s="1" t="s">
        <v>811</v>
      </c>
      <c r="C122" s="1" t="s">
        <v>144</v>
      </c>
      <c r="D122" s="1">
        <v>1</v>
      </c>
      <c r="E122" s="1">
        <f>VLOOKUP(C122,Skill!B:C,2,FALSE)</f>
        <v>5</v>
      </c>
      <c r="F122" s="1" t="str">
        <f>VLOOKUP(B122,Equipment!B:N,3,FALSE)</f>
        <v>Coil</v>
      </c>
    </row>
    <row r="123" spans="1:6" ht="12.75" x14ac:dyDescent="0.2">
      <c r="A123" s="1">
        <v>113</v>
      </c>
      <c r="B123" s="1" t="s">
        <v>812</v>
      </c>
      <c r="C123" s="1" t="s">
        <v>348</v>
      </c>
      <c r="D123" s="1">
        <v>2</v>
      </c>
      <c r="E123" s="1">
        <f>VLOOKUP(C123,Skill!B:C,2,FALSE)</f>
        <v>5</v>
      </c>
      <c r="F123" s="1" t="str">
        <f>VLOOKUP(B123,Equipment!B:N,3,FALSE)</f>
        <v>Greaves</v>
      </c>
    </row>
    <row r="124" spans="1:6" ht="12.75" x14ac:dyDescent="0.2">
      <c r="A124" s="1">
        <v>114</v>
      </c>
      <c r="B124" s="1" t="s">
        <v>814</v>
      </c>
      <c r="C124" s="1" t="s">
        <v>602</v>
      </c>
      <c r="D124" s="1">
        <v>1</v>
      </c>
      <c r="E124" s="1">
        <f>VLOOKUP(C124,Skill!B:C,2,FALSE)</f>
        <v>5</v>
      </c>
      <c r="F124" s="1" t="str">
        <f>VLOOKUP(B124,Equipment!B:N,3,FALSE)</f>
        <v>Helm</v>
      </c>
    </row>
    <row r="125" spans="1:6" ht="12.75" x14ac:dyDescent="0.2">
      <c r="A125" s="1">
        <v>115</v>
      </c>
      <c r="B125" s="1" t="s">
        <v>814</v>
      </c>
      <c r="C125" s="1" t="s">
        <v>528</v>
      </c>
      <c r="D125" s="1">
        <v>1</v>
      </c>
      <c r="E125" s="1">
        <f>VLOOKUP(C125,Skill!B:C,2,FALSE)</f>
        <v>5</v>
      </c>
      <c r="F125" s="1" t="str">
        <f>VLOOKUP(B125,Equipment!B:N,3,FALSE)</f>
        <v>Helm</v>
      </c>
    </row>
    <row r="126" spans="1:6" ht="12.75" x14ac:dyDescent="0.2">
      <c r="A126" s="1">
        <v>116</v>
      </c>
      <c r="B126" s="1" t="s">
        <v>815</v>
      </c>
      <c r="C126" s="1" t="s">
        <v>237</v>
      </c>
      <c r="D126" s="1">
        <v>1</v>
      </c>
      <c r="E126" s="1">
        <f>VLOOKUP(C126,Skill!B:C,2,FALSE)</f>
        <v>5</v>
      </c>
      <c r="F126" s="1" t="str">
        <f>VLOOKUP(B126,Equipment!B:N,3,FALSE)</f>
        <v>Mail</v>
      </c>
    </row>
    <row r="127" spans="1:6" ht="12.75" x14ac:dyDescent="0.2">
      <c r="A127" s="1">
        <v>117</v>
      </c>
      <c r="B127" s="1" t="s">
        <v>815</v>
      </c>
      <c r="C127" s="1" t="s">
        <v>311</v>
      </c>
      <c r="D127" s="1">
        <v>1</v>
      </c>
      <c r="E127" s="1">
        <f>VLOOKUP(C127,Skill!B:C,2,FALSE)</f>
        <v>5</v>
      </c>
      <c r="F127" s="1" t="str">
        <f>VLOOKUP(B127,Equipment!B:N,3,FALSE)</f>
        <v>Mail</v>
      </c>
    </row>
    <row r="128" spans="1:6" ht="12.75" x14ac:dyDescent="0.2">
      <c r="A128" s="1">
        <v>118</v>
      </c>
      <c r="B128" s="1" t="s">
        <v>817</v>
      </c>
      <c r="C128" s="1" t="s">
        <v>528</v>
      </c>
      <c r="D128" s="1">
        <v>2</v>
      </c>
      <c r="E128" s="1">
        <f>VLOOKUP(C128,Skill!B:C,2,FALSE)</f>
        <v>5</v>
      </c>
      <c r="F128" s="1" t="str">
        <f>VLOOKUP(B128,Equipment!B:N,3,FALSE)</f>
        <v>Vambraces</v>
      </c>
    </row>
    <row r="129" spans="1:6" ht="12.75" x14ac:dyDescent="0.2">
      <c r="A129" s="1">
        <v>119</v>
      </c>
      <c r="B129" s="1" t="s">
        <v>817</v>
      </c>
      <c r="C129" s="1" t="s">
        <v>55</v>
      </c>
      <c r="D129" s="1">
        <v>1</v>
      </c>
      <c r="E129" s="1">
        <f>VLOOKUP(C129,Skill!B:C,2,FALSE)</f>
        <v>5</v>
      </c>
      <c r="F129" s="1" t="str">
        <f>VLOOKUP(B129,Equipment!B:N,3,FALSE)</f>
        <v>Vambraces</v>
      </c>
    </row>
    <row r="130" spans="1:6" ht="12.75" x14ac:dyDescent="0.2">
      <c r="A130" s="1">
        <v>120</v>
      </c>
      <c r="B130" s="1" t="s">
        <v>819</v>
      </c>
      <c r="C130" s="1" t="s">
        <v>55</v>
      </c>
      <c r="D130" s="1">
        <v>2</v>
      </c>
      <c r="E130" s="1">
        <f>VLOOKUP(C130,Skill!B:C,2,FALSE)</f>
        <v>5</v>
      </c>
      <c r="F130" s="1" t="str">
        <f>VLOOKUP(B130,Equipment!B:N,3,FALSE)</f>
        <v>Coil</v>
      </c>
    </row>
    <row r="131" spans="1:6" ht="12.75" x14ac:dyDescent="0.2">
      <c r="A131" s="1">
        <v>121</v>
      </c>
      <c r="B131" s="1" t="s">
        <v>822</v>
      </c>
      <c r="C131" s="1" t="s">
        <v>602</v>
      </c>
      <c r="D131" s="1">
        <v>2</v>
      </c>
      <c r="E131" s="1">
        <f>VLOOKUP(C131,Skill!B:C,2,FALSE)</f>
        <v>5</v>
      </c>
      <c r="F131" s="1" t="str">
        <f>VLOOKUP(B131,Equipment!B:N,3,FALSE)</f>
        <v>Greaves</v>
      </c>
    </row>
    <row r="132" spans="1:6" ht="12.75" x14ac:dyDescent="0.2">
      <c r="A132" s="1">
        <v>122</v>
      </c>
      <c r="B132" s="1" t="s">
        <v>822</v>
      </c>
      <c r="C132" s="1" t="s">
        <v>237</v>
      </c>
      <c r="D132" s="1">
        <v>1</v>
      </c>
      <c r="E132" s="1">
        <f>VLOOKUP(C132,Skill!B:C,2,FALSE)</f>
        <v>5</v>
      </c>
      <c r="F132" s="1" t="str">
        <f>VLOOKUP(B132,Equipment!B:N,3,FALSE)</f>
        <v>Greaves</v>
      </c>
    </row>
    <row r="133" spans="1:6" ht="12.75" x14ac:dyDescent="0.2">
      <c r="A133" s="1">
        <v>123</v>
      </c>
      <c r="B133" s="1" t="s">
        <v>824</v>
      </c>
      <c r="C133" s="1" t="s">
        <v>529</v>
      </c>
      <c r="D133" s="1">
        <v>1</v>
      </c>
      <c r="E133" s="1">
        <f>VLOOKUP(C133,Skill!B:C,2,FALSE)</f>
        <v>5</v>
      </c>
      <c r="F133" s="1" t="str">
        <f>VLOOKUP(B133,Equipment!B:N,3,FALSE)</f>
        <v>Helm</v>
      </c>
    </row>
    <row r="134" spans="1:6" ht="12.75" x14ac:dyDescent="0.2">
      <c r="A134" s="1">
        <v>124</v>
      </c>
      <c r="B134" s="1" t="s">
        <v>824</v>
      </c>
      <c r="C134" s="1" t="s">
        <v>228</v>
      </c>
      <c r="D134" s="1">
        <v>2</v>
      </c>
      <c r="E134" s="1">
        <f>VLOOKUP(C134,Skill!B:C,2,FALSE)</f>
        <v>5</v>
      </c>
      <c r="F134" s="1" t="str">
        <f>VLOOKUP(B134,Equipment!B:N,3,FALSE)</f>
        <v>Helm</v>
      </c>
    </row>
    <row r="135" spans="1:6" ht="12.75" x14ac:dyDescent="0.2">
      <c r="A135" s="1">
        <v>125</v>
      </c>
      <c r="B135" s="1" t="s">
        <v>826</v>
      </c>
      <c r="C135" s="1" t="s">
        <v>463</v>
      </c>
      <c r="D135" s="1">
        <v>2</v>
      </c>
      <c r="E135" s="1">
        <f>VLOOKUP(C135,Skill!B:C,2,FALSE)</f>
        <v>5</v>
      </c>
      <c r="F135" s="1" t="str">
        <f>VLOOKUP(B135,Equipment!B:N,3,FALSE)</f>
        <v>Mail</v>
      </c>
    </row>
    <row r="136" spans="1:6" ht="12.75" x14ac:dyDescent="0.2">
      <c r="A136" s="1">
        <v>126</v>
      </c>
      <c r="B136" s="1" t="s">
        <v>827</v>
      </c>
      <c r="C136" s="1" t="s">
        <v>483</v>
      </c>
      <c r="D136" s="1">
        <v>2</v>
      </c>
      <c r="E136" s="1">
        <f>VLOOKUP(C136,Skill!B:C,2,FALSE)</f>
        <v>5</v>
      </c>
      <c r="F136" s="1" t="str">
        <f>VLOOKUP(B136,Equipment!B:N,3,FALSE)</f>
        <v>Vambraces</v>
      </c>
    </row>
    <row r="137" spans="1:6" ht="12.75" x14ac:dyDescent="0.2">
      <c r="A137" s="1">
        <v>127</v>
      </c>
      <c r="B137" s="1" t="s">
        <v>830</v>
      </c>
      <c r="C137" s="1" t="s">
        <v>412</v>
      </c>
      <c r="D137" s="1">
        <v>1</v>
      </c>
      <c r="E137" s="1">
        <f>VLOOKUP(C137,Skill!B:C,2,FALSE)</f>
        <v>1</v>
      </c>
      <c r="F137" s="1" t="str">
        <f>VLOOKUP(B137,Equipment!B:N,3,FALSE)</f>
        <v>Coil</v>
      </c>
    </row>
    <row r="138" spans="1:6" ht="12.75" x14ac:dyDescent="0.2">
      <c r="A138" s="1">
        <v>128</v>
      </c>
      <c r="B138" s="1" t="s">
        <v>830</v>
      </c>
      <c r="C138" s="1" t="s">
        <v>535</v>
      </c>
      <c r="D138" s="1">
        <v>1</v>
      </c>
      <c r="E138" s="1">
        <f>VLOOKUP(C138,Skill!B:C,2,FALSE)</f>
        <v>5</v>
      </c>
      <c r="F138" s="1" t="str">
        <f>VLOOKUP(B138,Equipment!B:N,3,FALSE)</f>
        <v>Coil</v>
      </c>
    </row>
    <row r="139" spans="1:6" ht="12.75" x14ac:dyDescent="0.2">
      <c r="A139" s="1">
        <v>129</v>
      </c>
      <c r="B139" s="1" t="s">
        <v>832</v>
      </c>
      <c r="C139" s="1" t="s">
        <v>483</v>
      </c>
      <c r="D139" s="1">
        <v>1</v>
      </c>
      <c r="E139" s="1">
        <f>VLOOKUP(C139,Skill!B:C,2,FALSE)</f>
        <v>5</v>
      </c>
      <c r="F139" s="1" t="str">
        <f>VLOOKUP(B139,Equipment!B:N,3,FALSE)</f>
        <v>Greaves</v>
      </c>
    </row>
    <row r="140" spans="1:6" ht="12.75" x14ac:dyDescent="0.2">
      <c r="A140" s="1">
        <v>130</v>
      </c>
      <c r="B140" s="1" t="s">
        <v>832</v>
      </c>
      <c r="C140" s="1" t="s">
        <v>476</v>
      </c>
      <c r="D140" s="1">
        <v>1</v>
      </c>
      <c r="E140" s="1">
        <f>VLOOKUP(C140,Skill!B:C,2,FALSE)</f>
        <v>5</v>
      </c>
      <c r="F140" s="1" t="str">
        <f>VLOOKUP(B140,Equipment!B:N,3,FALSE)</f>
        <v>Greaves</v>
      </c>
    </row>
    <row r="141" spans="1:6" ht="12.75" x14ac:dyDescent="0.2">
      <c r="A141" s="1">
        <v>131</v>
      </c>
      <c r="B141" s="1" t="s">
        <v>835</v>
      </c>
      <c r="C141" s="1" t="s">
        <v>228</v>
      </c>
      <c r="D141" s="1">
        <v>1</v>
      </c>
      <c r="E141" s="1">
        <f>VLOOKUP(C141,Skill!B:C,2,FALSE)</f>
        <v>5</v>
      </c>
      <c r="F141" s="1" t="str">
        <f>VLOOKUP(B141,Equipment!B:N,3,FALSE)</f>
        <v>Helm</v>
      </c>
    </row>
    <row r="142" spans="1:6" ht="12.75" x14ac:dyDescent="0.2">
      <c r="A142" s="1">
        <v>132</v>
      </c>
      <c r="B142" s="1" t="s">
        <v>835</v>
      </c>
      <c r="C142" s="1" t="s">
        <v>375</v>
      </c>
      <c r="D142" s="1">
        <v>1</v>
      </c>
      <c r="E142" s="1">
        <f>VLOOKUP(C142,Skill!B:C,2,FALSE)</f>
        <v>5</v>
      </c>
      <c r="F142" s="1" t="str">
        <f>VLOOKUP(B142,Equipment!B:N,3,FALSE)</f>
        <v>Helm</v>
      </c>
    </row>
    <row r="143" spans="1:6" ht="12.75" x14ac:dyDescent="0.2">
      <c r="A143" s="1">
        <v>133</v>
      </c>
      <c r="B143" s="1" t="s">
        <v>836</v>
      </c>
      <c r="C143" s="1" t="s">
        <v>228</v>
      </c>
      <c r="D143" s="1">
        <v>2</v>
      </c>
      <c r="E143" s="1">
        <f>VLOOKUP(C143,Skill!B:C,2,FALSE)</f>
        <v>5</v>
      </c>
      <c r="F143" s="1" t="str">
        <f>VLOOKUP(B143,Equipment!B:N,3,FALSE)</f>
        <v>Mail</v>
      </c>
    </row>
    <row r="144" spans="1:6" ht="12.75" x14ac:dyDescent="0.2">
      <c r="A144" s="1">
        <v>134</v>
      </c>
      <c r="B144" s="1" t="s">
        <v>836</v>
      </c>
      <c r="C144" s="1" t="s">
        <v>528</v>
      </c>
      <c r="D144" s="1">
        <v>1</v>
      </c>
      <c r="E144" s="1">
        <f>VLOOKUP(C144,Skill!B:C,2,FALSE)</f>
        <v>5</v>
      </c>
      <c r="F144" s="1" t="str">
        <f>VLOOKUP(B144,Equipment!B:N,3,FALSE)</f>
        <v>Mail</v>
      </c>
    </row>
    <row r="145" spans="1:6" ht="12.75" x14ac:dyDescent="0.2">
      <c r="A145" s="1">
        <v>135</v>
      </c>
      <c r="B145" s="1" t="s">
        <v>837</v>
      </c>
      <c r="C145" s="1" t="s">
        <v>524</v>
      </c>
      <c r="D145" s="1">
        <v>2</v>
      </c>
      <c r="E145" s="1">
        <f>VLOOKUP(C145,Skill!B:C,2,FALSE)</f>
        <v>3</v>
      </c>
      <c r="F145" s="1" t="str">
        <f>VLOOKUP(B145,Equipment!B:N,3,FALSE)</f>
        <v>Vambraces</v>
      </c>
    </row>
    <row r="146" spans="1:6" ht="12.75" x14ac:dyDescent="0.2">
      <c r="A146" s="1">
        <v>136</v>
      </c>
      <c r="B146" s="1" t="s">
        <v>840</v>
      </c>
      <c r="C146" s="1" t="s">
        <v>375</v>
      </c>
      <c r="D146" s="1">
        <v>2</v>
      </c>
      <c r="E146" s="1">
        <f>VLOOKUP(C146,Skill!B:C,2,FALSE)</f>
        <v>5</v>
      </c>
      <c r="F146" s="1" t="str">
        <f>VLOOKUP(B146,Equipment!B:N,3,FALSE)</f>
        <v>Coil</v>
      </c>
    </row>
    <row r="147" spans="1:6" ht="12.75" x14ac:dyDescent="0.2">
      <c r="A147" s="1">
        <v>137</v>
      </c>
      <c r="B147" s="1" t="s">
        <v>840</v>
      </c>
      <c r="C147" s="1" t="s">
        <v>528</v>
      </c>
      <c r="D147" s="1">
        <v>1</v>
      </c>
      <c r="E147" s="1">
        <f>VLOOKUP(C147,Skill!B:C,2,FALSE)</f>
        <v>5</v>
      </c>
      <c r="F147" s="1" t="str">
        <f>VLOOKUP(B147,Equipment!B:N,3,FALSE)</f>
        <v>Coil</v>
      </c>
    </row>
    <row r="148" spans="1:6" ht="12.75" x14ac:dyDescent="0.2">
      <c r="A148" s="1">
        <v>138</v>
      </c>
      <c r="B148" s="1" t="s">
        <v>842</v>
      </c>
      <c r="C148" s="1" t="s">
        <v>524</v>
      </c>
      <c r="D148" s="1">
        <v>1</v>
      </c>
      <c r="E148" s="1">
        <f>VLOOKUP(C148,Skill!B:C,2,FALSE)</f>
        <v>3</v>
      </c>
      <c r="F148" s="1" t="str">
        <f>VLOOKUP(B148,Equipment!B:N,3,FALSE)</f>
        <v>Greaves</v>
      </c>
    </row>
    <row r="149" spans="1:6" ht="12.75" x14ac:dyDescent="0.2">
      <c r="A149" s="1">
        <v>139</v>
      </c>
      <c r="B149" s="1" t="s">
        <v>842</v>
      </c>
      <c r="C149" s="1" t="s">
        <v>115</v>
      </c>
      <c r="D149" s="1">
        <v>1</v>
      </c>
      <c r="E149" s="1">
        <f>VLOOKUP(C149,Skill!B:C,2,FALSE)</f>
        <v>3</v>
      </c>
      <c r="F149" s="1" t="str">
        <f>VLOOKUP(B149,Equipment!B:N,3,FALSE)</f>
        <v>Greaves</v>
      </c>
    </row>
    <row r="150" spans="1:6" ht="12.75" x14ac:dyDescent="0.2">
      <c r="A150" s="1">
        <v>140</v>
      </c>
      <c r="B150" s="1" t="s">
        <v>843</v>
      </c>
      <c r="C150" s="1" t="s">
        <v>364</v>
      </c>
      <c r="D150" s="1">
        <v>2</v>
      </c>
      <c r="E150" s="1">
        <f>VLOOKUP(C150,Skill!B:C,2,FALSE)</f>
        <v>5</v>
      </c>
      <c r="F150" s="1" t="str">
        <f>VLOOKUP(B150,Equipment!B:N,3,FALSE)</f>
        <v>Helm</v>
      </c>
    </row>
    <row r="151" spans="1:6" ht="12.75" x14ac:dyDescent="0.2">
      <c r="A151" s="1">
        <v>141</v>
      </c>
      <c r="B151" s="1" t="s">
        <v>846</v>
      </c>
      <c r="C151" s="1" t="s">
        <v>583</v>
      </c>
      <c r="D151" s="1">
        <v>1</v>
      </c>
      <c r="E151" s="1">
        <f>VLOOKUP(C151,Skill!B:C,2,FALSE)</f>
        <v>5</v>
      </c>
      <c r="F151" s="1" t="str">
        <f>VLOOKUP(B151,Equipment!B:N,3,FALSE)</f>
        <v>Mail</v>
      </c>
    </row>
    <row r="152" spans="1:6" ht="12.75" x14ac:dyDescent="0.2">
      <c r="A152" s="1">
        <v>142</v>
      </c>
      <c r="B152" s="1" t="s">
        <v>846</v>
      </c>
      <c r="C152" s="1" t="s">
        <v>364</v>
      </c>
      <c r="D152" s="1">
        <v>1</v>
      </c>
      <c r="E152" s="1">
        <f>VLOOKUP(C152,Skill!B:C,2,FALSE)</f>
        <v>5</v>
      </c>
      <c r="F152" s="1" t="str">
        <f>VLOOKUP(B152,Equipment!B:N,3,FALSE)</f>
        <v>Mail</v>
      </c>
    </row>
    <row r="153" spans="1:6" ht="12.75" x14ac:dyDescent="0.2">
      <c r="A153" s="1">
        <v>143</v>
      </c>
      <c r="B153" s="1" t="s">
        <v>847</v>
      </c>
      <c r="C153" s="1" t="s">
        <v>364</v>
      </c>
      <c r="D153" s="1">
        <v>2</v>
      </c>
      <c r="E153" s="1">
        <f>VLOOKUP(C153,Skill!B:C,2,FALSE)</f>
        <v>5</v>
      </c>
      <c r="F153" s="1" t="str">
        <f>VLOOKUP(B153,Equipment!B:N,3,FALSE)</f>
        <v>Vambraces</v>
      </c>
    </row>
    <row r="154" spans="1:6" ht="12.75" x14ac:dyDescent="0.2">
      <c r="A154" s="1">
        <v>144</v>
      </c>
      <c r="B154" s="1" t="s">
        <v>847</v>
      </c>
      <c r="C154" s="1" t="s">
        <v>463</v>
      </c>
      <c r="D154" s="1">
        <v>1</v>
      </c>
      <c r="E154" s="1">
        <f>VLOOKUP(C154,Skill!B:C,2,FALSE)</f>
        <v>5</v>
      </c>
      <c r="F154" s="1" t="str">
        <f>VLOOKUP(B154,Equipment!B:N,3,FALSE)</f>
        <v>Vambraces</v>
      </c>
    </row>
    <row r="155" spans="1:6" ht="12.75" x14ac:dyDescent="0.2">
      <c r="A155" s="1">
        <v>145</v>
      </c>
      <c r="B155" s="1" t="s">
        <v>848</v>
      </c>
      <c r="C155" s="1" t="s">
        <v>463</v>
      </c>
      <c r="D155" s="1">
        <v>1</v>
      </c>
      <c r="E155" s="1">
        <f>VLOOKUP(C155,Skill!B:C,2,FALSE)</f>
        <v>5</v>
      </c>
      <c r="F155" s="1" t="str">
        <f>VLOOKUP(B155,Equipment!B:N,3,FALSE)</f>
        <v>Coil</v>
      </c>
    </row>
    <row r="156" spans="1:6" ht="12.75" x14ac:dyDescent="0.2">
      <c r="A156" s="1">
        <v>146</v>
      </c>
      <c r="B156" s="1" t="s">
        <v>848</v>
      </c>
      <c r="C156" s="1" t="s">
        <v>440</v>
      </c>
      <c r="D156" s="1">
        <v>1</v>
      </c>
      <c r="E156" s="1">
        <f>VLOOKUP(C156,Skill!B:C,2,FALSE)</f>
        <v>5</v>
      </c>
      <c r="F156" s="1" t="str">
        <f>VLOOKUP(B156,Equipment!B:N,3,FALSE)</f>
        <v>Coil</v>
      </c>
    </row>
    <row r="157" spans="1:6" ht="12.75" x14ac:dyDescent="0.2">
      <c r="A157" s="1">
        <v>147</v>
      </c>
      <c r="B157" s="1" t="s">
        <v>850</v>
      </c>
      <c r="C157" s="1" t="s">
        <v>583</v>
      </c>
      <c r="D157" s="1">
        <v>2</v>
      </c>
      <c r="E157" s="1">
        <f>VLOOKUP(C157,Skill!B:C,2,FALSE)</f>
        <v>5</v>
      </c>
      <c r="F157" s="1" t="str">
        <f>VLOOKUP(B157,Equipment!B:N,3,FALSE)</f>
        <v>Greaves</v>
      </c>
    </row>
    <row r="158" spans="1:6" ht="12.75" x14ac:dyDescent="0.2">
      <c r="A158" s="1">
        <v>148</v>
      </c>
      <c r="B158" s="1" t="s">
        <v>850</v>
      </c>
      <c r="C158" s="1" t="s">
        <v>463</v>
      </c>
      <c r="D158" s="1">
        <v>1</v>
      </c>
      <c r="E158" s="1">
        <f>VLOOKUP(C158,Skill!B:C,2,FALSE)</f>
        <v>5</v>
      </c>
      <c r="F158" s="1" t="str">
        <f>VLOOKUP(B158,Equipment!B:N,3,FALSE)</f>
        <v>Greaves</v>
      </c>
    </row>
    <row r="159" spans="1:6" ht="12.75" x14ac:dyDescent="0.2">
      <c r="A159" s="1">
        <v>149</v>
      </c>
      <c r="B159" s="1" t="s">
        <v>851</v>
      </c>
      <c r="C159" s="1" t="s">
        <v>463</v>
      </c>
      <c r="D159" s="1">
        <v>2</v>
      </c>
      <c r="E159" s="1">
        <f>VLOOKUP(C159,Skill!B:C,2,FALSE)</f>
        <v>5</v>
      </c>
      <c r="F159" s="1" t="str">
        <f>VLOOKUP(B159,Equipment!B:N,3,FALSE)</f>
        <v>Helm</v>
      </c>
    </row>
    <row r="160" spans="1:6" ht="12.75" x14ac:dyDescent="0.2">
      <c r="A160" s="1">
        <v>150</v>
      </c>
      <c r="B160" s="1" t="s">
        <v>851</v>
      </c>
      <c r="C160" s="1" t="s">
        <v>529</v>
      </c>
      <c r="D160" s="1">
        <v>1</v>
      </c>
      <c r="E160" s="1">
        <f>VLOOKUP(C160,Skill!B:C,2,FALSE)</f>
        <v>5</v>
      </c>
      <c r="F160" s="1" t="str">
        <f>VLOOKUP(B160,Equipment!B:N,3,FALSE)</f>
        <v>Helm</v>
      </c>
    </row>
    <row r="161" spans="1:6" ht="12.75" x14ac:dyDescent="0.2">
      <c r="A161" s="1">
        <v>151</v>
      </c>
      <c r="B161" s="1" t="s">
        <v>855</v>
      </c>
      <c r="C161" s="1" t="s">
        <v>529</v>
      </c>
      <c r="D161" s="1">
        <v>2</v>
      </c>
      <c r="E161" s="1">
        <f>VLOOKUP(C161,Skill!B:C,2,FALSE)</f>
        <v>5</v>
      </c>
      <c r="F161" s="1" t="str">
        <f>VLOOKUP(B161,Equipment!B:N,3,FALSE)</f>
        <v>Mail</v>
      </c>
    </row>
    <row r="162" spans="1:6" ht="12.75" x14ac:dyDescent="0.2">
      <c r="A162" s="1">
        <v>152</v>
      </c>
      <c r="B162" s="1" t="s">
        <v>855</v>
      </c>
      <c r="C162" s="1" t="s">
        <v>306</v>
      </c>
      <c r="D162" s="1">
        <v>1</v>
      </c>
      <c r="E162" s="1">
        <f>VLOOKUP(C162,Skill!B:C,2,FALSE)</f>
        <v>3</v>
      </c>
      <c r="F162" s="1" t="str">
        <f>VLOOKUP(B162,Equipment!B:N,3,FALSE)</f>
        <v>Mail</v>
      </c>
    </row>
    <row r="163" spans="1:6" ht="12.75" x14ac:dyDescent="0.2">
      <c r="A163" s="1">
        <v>153</v>
      </c>
      <c r="B163" s="1" t="s">
        <v>858</v>
      </c>
      <c r="C163" s="1" t="s">
        <v>529</v>
      </c>
      <c r="D163" s="1">
        <v>1</v>
      </c>
      <c r="E163" s="1">
        <f>VLOOKUP(C163,Skill!B:C,2,FALSE)</f>
        <v>5</v>
      </c>
      <c r="F163" s="1" t="str">
        <f>VLOOKUP(B163,Equipment!B:N,3,FALSE)</f>
        <v>Vambraces</v>
      </c>
    </row>
    <row r="164" spans="1:6" ht="12.75" x14ac:dyDescent="0.2">
      <c r="A164" s="1">
        <v>154</v>
      </c>
      <c r="B164" s="1" t="s">
        <v>858</v>
      </c>
      <c r="C164" s="1" t="s">
        <v>311</v>
      </c>
      <c r="D164" s="1">
        <v>1</v>
      </c>
      <c r="E164" s="1">
        <f>VLOOKUP(C164,Skill!B:C,2,FALSE)</f>
        <v>5</v>
      </c>
      <c r="F164" s="1" t="str">
        <f>VLOOKUP(B164,Equipment!B:N,3,FALSE)</f>
        <v>Vambraces</v>
      </c>
    </row>
    <row r="165" spans="1:6" ht="12.75" x14ac:dyDescent="0.2">
      <c r="A165" s="1">
        <v>155</v>
      </c>
      <c r="B165" s="1" t="s">
        <v>860</v>
      </c>
      <c r="C165" s="1" t="s">
        <v>412</v>
      </c>
      <c r="D165" s="1">
        <v>1</v>
      </c>
      <c r="E165" s="1">
        <f>VLOOKUP(C165,Skill!B:C,2,FALSE)</f>
        <v>1</v>
      </c>
      <c r="F165" s="1" t="str">
        <f>VLOOKUP(B165,Equipment!B:N,3,FALSE)</f>
        <v>Coil</v>
      </c>
    </row>
    <row r="166" spans="1:6" ht="12.75" x14ac:dyDescent="0.2">
      <c r="A166" s="1">
        <v>156</v>
      </c>
      <c r="B166" s="1" t="s">
        <v>860</v>
      </c>
      <c r="C166" s="1" t="s">
        <v>364</v>
      </c>
      <c r="D166" s="1">
        <v>1</v>
      </c>
      <c r="E166" s="1">
        <f>VLOOKUP(C166,Skill!B:C,2,FALSE)</f>
        <v>5</v>
      </c>
      <c r="F166" s="1" t="str">
        <f>VLOOKUP(B166,Equipment!B:N,3,FALSE)</f>
        <v>Coil</v>
      </c>
    </row>
    <row r="167" spans="1:6" ht="12.75" x14ac:dyDescent="0.2">
      <c r="A167" s="1">
        <v>157</v>
      </c>
      <c r="B167" s="1" t="s">
        <v>862</v>
      </c>
      <c r="C167" s="1" t="s">
        <v>364</v>
      </c>
      <c r="D167" s="1">
        <v>1</v>
      </c>
      <c r="E167" s="1">
        <f>VLOOKUP(C167,Skill!B:C,2,FALSE)</f>
        <v>5</v>
      </c>
      <c r="F167" s="1" t="str">
        <f>VLOOKUP(B167,Equipment!B:N,3,FALSE)</f>
        <v>Greaves</v>
      </c>
    </row>
    <row r="168" spans="1:6" ht="12.75" x14ac:dyDescent="0.2">
      <c r="A168" s="1">
        <v>158</v>
      </c>
      <c r="B168" s="1" t="s">
        <v>862</v>
      </c>
      <c r="C168" s="1" t="s">
        <v>440</v>
      </c>
      <c r="D168" s="1">
        <v>1</v>
      </c>
      <c r="E168" s="1">
        <f>VLOOKUP(C168,Skill!B:C,2,FALSE)</f>
        <v>5</v>
      </c>
      <c r="F168" s="1" t="str">
        <f>VLOOKUP(B168,Equipment!B:N,3,FALSE)</f>
        <v>Greaves</v>
      </c>
    </row>
    <row r="169" spans="1:6" ht="12.75" x14ac:dyDescent="0.2">
      <c r="A169" s="1">
        <v>159</v>
      </c>
      <c r="B169" s="1" t="s">
        <v>864</v>
      </c>
      <c r="C169" s="1" t="s">
        <v>59</v>
      </c>
      <c r="D169" s="1">
        <v>2</v>
      </c>
      <c r="E169" s="1">
        <f>VLOOKUP(C169,Skill!B:C,2,FALSE)</f>
        <v>5</v>
      </c>
      <c r="F169" s="1" t="str">
        <f>VLOOKUP(B169,Equipment!B:N,3,FALSE)</f>
        <v>Helm</v>
      </c>
    </row>
    <row r="170" spans="1:6" ht="12.75" x14ac:dyDescent="0.2">
      <c r="A170" s="1">
        <v>160</v>
      </c>
      <c r="B170" s="1" t="s">
        <v>864</v>
      </c>
      <c r="C170" s="1" t="s">
        <v>291</v>
      </c>
      <c r="D170" s="1">
        <v>1</v>
      </c>
      <c r="E170" s="1">
        <f>VLOOKUP(C170,Skill!B:C,2,FALSE)</f>
        <v>5</v>
      </c>
      <c r="F170" s="1" t="str">
        <f>VLOOKUP(B170,Equipment!B:N,3,FALSE)</f>
        <v>Helm</v>
      </c>
    </row>
    <row r="171" spans="1:6" ht="12.75" x14ac:dyDescent="0.2">
      <c r="A171" s="1">
        <v>161</v>
      </c>
      <c r="B171" s="1" t="s">
        <v>865</v>
      </c>
      <c r="C171" s="1" t="s">
        <v>677</v>
      </c>
      <c r="D171" s="1">
        <v>2</v>
      </c>
      <c r="E171" s="1">
        <f>VLOOKUP(C171,Skill!B:C,2,FALSE)</f>
        <v>5</v>
      </c>
      <c r="F171" s="1" t="str">
        <f>VLOOKUP(B171,Equipment!B:N,3,FALSE)</f>
        <v>Mail</v>
      </c>
    </row>
    <row r="172" spans="1:6" ht="12.75" x14ac:dyDescent="0.2">
      <c r="A172" s="1">
        <v>162</v>
      </c>
      <c r="B172" s="1" t="s">
        <v>867</v>
      </c>
      <c r="C172" s="1" t="s">
        <v>222</v>
      </c>
      <c r="D172" s="1">
        <v>1</v>
      </c>
      <c r="E172" s="1">
        <f>VLOOKUP(C172,Skill!B:C,2,FALSE)</f>
        <v>3</v>
      </c>
      <c r="F172" s="1" t="str">
        <f>VLOOKUP(B172,Equipment!B:N,3,FALSE)</f>
        <v>Vambraces</v>
      </c>
    </row>
    <row r="173" spans="1:6" ht="12.75" x14ac:dyDescent="0.2">
      <c r="A173" s="1">
        <v>163</v>
      </c>
      <c r="B173" s="1" t="s">
        <v>867</v>
      </c>
      <c r="C173" s="1" t="s">
        <v>59</v>
      </c>
      <c r="D173" s="1">
        <v>1</v>
      </c>
      <c r="E173" s="1">
        <f>VLOOKUP(C173,Skill!B:C,2,FALSE)</f>
        <v>5</v>
      </c>
      <c r="F173" s="1" t="str">
        <f>VLOOKUP(B173,Equipment!B:N,3,FALSE)</f>
        <v>Vambraces</v>
      </c>
    </row>
    <row r="174" spans="1:6" ht="12.75" x14ac:dyDescent="0.2">
      <c r="A174" s="1">
        <v>164</v>
      </c>
      <c r="B174" s="1" t="s">
        <v>868</v>
      </c>
      <c r="C174" s="1" t="s">
        <v>311</v>
      </c>
      <c r="D174" s="1">
        <v>1</v>
      </c>
      <c r="E174" s="1">
        <f>VLOOKUP(C174,Skill!B:C,2,FALSE)</f>
        <v>5</v>
      </c>
      <c r="F174" s="1" t="str">
        <f>VLOOKUP(B174,Equipment!B:N,3,FALSE)</f>
        <v>Coil</v>
      </c>
    </row>
    <row r="175" spans="1:6" ht="12.75" x14ac:dyDescent="0.2">
      <c r="A175" s="1">
        <v>165</v>
      </c>
      <c r="B175" s="1" t="s">
        <v>868</v>
      </c>
      <c r="C175" s="1" t="s">
        <v>291</v>
      </c>
      <c r="D175" s="1">
        <v>1</v>
      </c>
      <c r="E175" s="1">
        <f>VLOOKUP(C175,Skill!B:C,2,FALSE)</f>
        <v>5</v>
      </c>
      <c r="F175" s="1" t="str">
        <f>VLOOKUP(B175,Equipment!B:N,3,FALSE)</f>
        <v>Coil</v>
      </c>
    </row>
    <row r="176" spans="1:6" ht="12.75" x14ac:dyDescent="0.2">
      <c r="A176" s="1">
        <v>166</v>
      </c>
      <c r="B176" s="1" t="s">
        <v>870</v>
      </c>
      <c r="C176" s="1" t="s">
        <v>222</v>
      </c>
      <c r="D176" s="1">
        <v>1</v>
      </c>
      <c r="E176" s="1">
        <f>VLOOKUP(C176,Skill!B:C,2,FALSE)</f>
        <v>3</v>
      </c>
      <c r="F176" s="1" t="str">
        <f>VLOOKUP(B176,Equipment!B:N,3,FALSE)</f>
        <v>Greaves</v>
      </c>
    </row>
    <row r="177" spans="1:6" ht="12.75" x14ac:dyDescent="0.2">
      <c r="A177" s="1">
        <v>167</v>
      </c>
      <c r="B177" s="1" t="s">
        <v>870</v>
      </c>
      <c r="C177" s="1" t="s">
        <v>677</v>
      </c>
      <c r="D177" s="1">
        <v>1</v>
      </c>
      <c r="E177" s="1">
        <f>VLOOKUP(C177,Skill!B:C,2,FALSE)</f>
        <v>5</v>
      </c>
      <c r="F177" s="1" t="str">
        <f>VLOOKUP(B177,Equipment!B:N,3,FALSE)</f>
        <v>Greaves</v>
      </c>
    </row>
    <row r="178" spans="1:6" ht="12.75" x14ac:dyDescent="0.2">
      <c r="A178" s="1">
        <v>168</v>
      </c>
      <c r="B178" s="1" t="s">
        <v>871</v>
      </c>
      <c r="C178" s="1" t="s">
        <v>311</v>
      </c>
      <c r="D178" s="1">
        <v>2</v>
      </c>
      <c r="E178" s="1">
        <f>VLOOKUP(C178,Skill!B:C,2,FALSE)</f>
        <v>5</v>
      </c>
      <c r="F178" s="1" t="str">
        <f>VLOOKUP(B178,Equipment!B:N,3,FALSE)</f>
        <v>Helm</v>
      </c>
    </row>
    <row r="179" spans="1:6" ht="12.75" x14ac:dyDescent="0.2">
      <c r="A179" s="1">
        <v>169</v>
      </c>
      <c r="B179" s="1" t="s">
        <v>873</v>
      </c>
      <c r="C179" s="1" t="s">
        <v>244</v>
      </c>
      <c r="D179" s="1">
        <v>2</v>
      </c>
      <c r="E179" s="1">
        <f>VLOOKUP(C179,Skill!B:C,2,FALSE)</f>
        <v>5</v>
      </c>
      <c r="F179" s="1" t="str">
        <f>VLOOKUP(B179,Equipment!B:N,3,FALSE)</f>
        <v>Mail</v>
      </c>
    </row>
    <row r="180" spans="1:6" ht="12.75" x14ac:dyDescent="0.2">
      <c r="A180" s="1">
        <v>170</v>
      </c>
      <c r="B180" s="1" t="s">
        <v>873</v>
      </c>
      <c r="C180" s="1" t="s">
        <v>291</v>
      </c>
      <c r="D180" s="1">
        <v>1</v>
      </c>
      <c r="E180" s="1">
        <f>VLOOKUP(C180,Skill!B:C,2,FALSE)</f>
        <v>5</v>
      </c>
      <c r="F180" s="1" t="str">
        <f>VLOOKUP(B180,Equipment!B:N,3,FALSE)</f>
        <v>Mail</v>
      </c>
    </row>
    <row r="181" spans="1:6" ht="12.75" x14ac:dyDescent="0.2">
      <c r="A181" s="1">
        <v>171</v>
      </c>
      <c r="B181" s="1" t="s">
        <v>876</v>
      </c>
      <c r="C181" s="1" t="s">
        <v>166</v>
      </c>
      <c r="D181" s="1">
        <v>2</v>
      </c>
      <c r="E181" s="1">
        <f>VLOOKUP(C181,Skill!B:C,2,FALSE)</f>
        <v>5</v>
      </c>
      <c r="F181" s="1" t="str">
        <f>VLOOKUP(B181,Equipment!B:N,3,FALSE)</f>
        <v>Vambraces</v>
      </c>
    </row>
    <row r="182" spans="1:6" ht="12.75" x14ac:dyDescent="0.2">
      <c r="A182" s="1">
        <v>172</v>
      </c>
      <c r="B182" s="1" t="s">
        <v>878</v>
      </c>
      <c r="C182" s="1" t="s">
        <v>602</v>
      </c>
      <c r="D182" s="1">
        <v>1</v>
      </c>
      <c r="E182" s="1">
        <f>VLOOKUP(C182,Skill!B:C,2,FALSE)</f>
        <v>5</v>
      </c>
      <c r="F182" s="1" t="str">
        <f>VLOOKUP(B182,Equipment!B:N,3,FALSE)</f>
        <v>Coil</v>
      </c>
    </row>
    <row r="183" spans="1:6" ht="12.75" x14ac:dyDescent="0.2">
      <c r="A183" s="1">
        <v>173</v>
      </c>
      <c r="B183" s="1" t="s">
        <v>878</v>
      </c>
      <c r="C183" s="1" t="s">
        <v>166</v>
      </c>
      <c r="D183" s="1">
        <v>1</v>
      </c>
      <c r="E183" s="1">
        <f>VLOOKUP(C183,Skill!B:C,2,FALSE)</f>
        <v>5</v>
      </c>
      <c r="F183" s="1" t="str">
        <f>VLOOKUP(B183,Equipment!B:N,3,FALSE)</f>
        <v>Coil</v>
      </c>
    </row>
    <row r="184" spans="1:6" ht="12.75" x14ac:dyDescent="0.2">
      <c r="A184" s="1">
        <v>174</v>
      </c>
      <c r="B184" s="1" t="s">
        <v>881</v>
      </c>
      <c r="C184" s="1" t="s">
        <v>524</v>
      </c>
      <c r="D184" s="1">
        <v>2</v>
      </c>
      <c r="E184" s="1">
        <f>VLOOKUP(C184,Skill!B:C,2,FALSE)</f>
        <v>3</v>
      </c>
      <c r="F184" s="1" t="str">
        <f>VLOOKUP(B184,Equipment!B:N,3,FALSE)</f>
        <v>Greaves</v>
      </c>
    </row>
    <row r="185" spans="1:6" ht="12.75" x14ac:dyDescent="0.2">
      <c r="A185" s="1">
        <v>175</v>
      </c>
      <c r="B185" s="1" t="s">
        <v>881</v>
      </c>
      <c r="C185" s="1" t="s">
        <v>291</v>
      </c>
      <c r="D185" s="1">
        <v>1</v>
      </c>
      <c r="E185" s="1">
        <f>VLOOKUP(C185,Skill!B:C,2,FALSE)</f>
        <v>5</v>
      </c>
      <c r="F185" s="1" t="str">
        <f>VLOOKUP(B185,Equipment!B:N,3,FALSE)</f>
        <v>Greaves</v>
      </c>
    </row>
    <row r="186" spans="1:6" ht="12.75" x14ac:dyDescent="0.2">
      <c r="A186" s="1">
        <v>176</v>
      </c>
      <c r="B186" s="1" t="s">
        <v>883</v>
      </c>
      <c r="C186" s="1" t="s">
        <v>175</v>
      </c>
      <c r="D186" s="1">
        <v>2</v>
      </c>
      <c r="E186" s="1">
        <f>VLOOKUP(C186,Skill!B:C,2,FALSE)</f>
        <v>5</v>
      </c>
      <c r="F186" s="1" t="str">
        <f>VLOOKUP(B186,Equipment!B:N,3,FALSE)</f>
        <v>Helm</v>
      </c>
    </row>
    <row r="187" spans="1:6" ht="12.75" x14ac:dyDescent="0.2">
      <c r="A187" s="1">
        <v>177</v>
      </c>
      <c r="B187" s="1" t="s">
        <v>886</v>
      </c>
      <c r="C187" s="1" t="s">
        <v>291</v>
      </c>
      <c r="D187" s="1">
        <v>1</v>
      </c>
      <c r="E187" s="1">
        <f>VLOOKUP(C187,Skill!B:C,2,FALSE)</f>
        <v>5</v>
      </c>
      <c r="F187" s="1" t="str">
        <f>VLOOKUP(B187,Equipment!B:N,3,FALSE)</f>
        <v>Mail</v>
      </c>
    </row>
    <row r="188" spans="1:6" ht="12.75" x14ac:dyDescent="0.2">
      <c r="A188" s="1">
        <v>178</v>
      </c>
      <c r="B188" s="1" t="s">
        <v>886</v>
      </c>
      <c r="C188" s="1" t="s">
        <v>166</v>
      </c>
      <c r="D188" s="1">
        <v>1</v>
      </c>
      <c r="E188" s="1">
        <f>VLOOKUP(C188,Skill!B:C,2,FALSE)</f>
        <v>5</v>
      </c>
      <c r="F188" s="1" t="str">
        <f>VLOOKUP(B188,Equipment!B:N,3,FALSE)</f>
        <v>Mail</v>
      </c>
    </row>
    <row r="189" spans="1:6" ht="12.75" x14ac:dyDescent="0.2">
      <c r="A189" s="1">
        <v>179</v>
      </c>
      <c r="B189" s="1" t="s">
        <v>887</v>
      </c>
      <c r="C189" s="1" t="s">
        <v>400</v>
      </c>
      <c r="D189" s="1">
        <v>2</v>
      </c>
      <c r="E189" s="1">
        <f>VLOOKUP(C189,Skill!B:C,2,FALSE)</f>
        <v>5</v>
      </c>
      <c r="F189" s="1" t="str">
        <f>VLOOKUP(B189,Equipment!B:N,3,FALSE)</f>
        <v>Vambraces</v>
      </c>
    </row>
    <row r="190" spans="1:6" ht="12.75" x14ac:dyDescent="0.2">
      <c r="A190" s="1">
        <v>180</v>
      </c>
      <c r="B190" s="1" t="s">
        <v>889</v>
      </c>
      <c r="C190" s="1" t="s">
        <v>528</v>
      </c>
      <c r="D190" s="1">
        <v>2</v>
      </c>
      <c r="E190" s="1">
        <f>VLOOKUP(C190,Skill!B:C,2,FALSE)</f>
        <v>5</v>
      </c>
      <c r="F190" s="1" t="str">
        <f>VLOOKUP(B190,Equipment!B:N,3,FALSE)</f>
        <v>Coil</v>
      </c>
    </row>
    <row r="191" spans="1:6" ht="12.75" x14ac:dyDescent="0.2">
      <c r="A191" s="1">
        <v>181</v>
      </c>
      <c r="B191" s="1" t="s">
        <v>890</v>
      </c>
      <c r="C191" s="1" t="s">
        <v>175</v>
      </c>
      <c r="D191" s="1">
        <v>1</v>
      </c>
      <c r="E191" s="1">
        <f>VLOOKUP(C191,Skill!B:C,2,FALSE)</f>
        <v>5</v>
      </c>
      <c r="F191" s="1" t="str">
        <f>VLOOKUP(B191,Equipment!B:N,3,FALSE)</f>
        <v>Greaves</v>
      </c>
    </row>
    <row r="192" spans="1:6" ht="12.75" x14ac:dyDescent="0.2">
      <c r="A192" s="1">
        <v>182</v>
      </c>
      <c r="B192" s="1" t="s">
        <v>890</v>
      </c>
      <c r="C192" s="1" t="s">
        <v>677</v>
      </c>
      <c r="D192" s="1">
        <v>1</v>
      </c>
      <c r="E192" s="1">
        <f>VLOOKUP(C192,Skill!B:C,2,FALSE)</f>
        <v>5</v>
      </c>
      <c r="F192" s="1" t="str">
        <f>VLOOKUP(B192,Equipment!B:N,3,FALSE)</f>
        <v>Greaves</v>
      </c>
    </row>
    <row r="193" spans="1:6" ht="12.75" x14ac:dyDescent="0.2">
      <c r="A193" s="1">
        <v>183</v>
      </c>
      <c r="B193" s="1" t="s">
        <v>893</v>
      </c>
      <c r="C193" s="1" t="s">
        <v>329</v>
      </c>
      <c r="D193" s="1">
        <v>2</v>
      </c>
      <c r="E193" s="1">
        <f>VLOOKUP(C193,Skill!B:C,2,FALSE)</f>
        <v>5</v>
      </c>
      <c r="F193" s="1" t="str">
        <f>VLOOKUP(B193,Equipment!B:N,3,FALSE)</f>
        <v>Helm</v>
      </c>
    </row>
    <row r="194" spans="1:6" ht="12.75" x14ac:dyDescent="0.2">
      <c r="A194" s="1">
        <v>184</v>
      </c>
      <c r="B194" s="1" t="s">
        <v>895</v>
      </c>
      <c r="C194" s="1" t="s">
        <v>573</v>
      </c>
      <c r="D194" s="1">
        <v>1</v>
      </c>
      <c r="E194" s="1">
        <f>VLOOKUP(C194,Skill!B:C,2,FALSE)</f>
        <v>5</v>
      </c>
      <c r="F194" s="1" t="str">
        <f>VLOOKUP(B194,Equipment!B:N,3,FALSE)</f>
        <v>Mail</v>
      </c>
    </row>
    <row r="195" spans="1:6" ht="12.75" x14ac:dyDescent="0.2">
      <c r="A195" s="1">
        <v>185</v>
      </c>
      <c r="B195" s="1" t="s">
        <v>895</v>
      </c>
      <c r="C195" s="1" t="s">
        <v>213</v>
      </c>
      <c r="D195" s="1">
        <v>2</v>
      </c>
      <c r="E195" s="1">
        <f>VLOOKUP(C195,Skill!B:C,2,FALSE)</f>
        <v>5</v>
      </c>
      <c r="F195" s="1" t="str">
        <f>VLOOKUP(B195,Equipment!B:N,3,FALSE)</f>
        <v>Mail</v>
      </c>
    </row>
    <row r="196" spans="1:6" ht="12.75" x14ac:dyDescent="0.2">
      <c r="A196" s="1">
        <v>186</v>
      </c>
      <c r="B196" s="1" t="s">
        <v>897</v>
      </c>
      <c r="C196" s="1" t="s">
        <v>583</v>
      </c>
      <c r="D196" s="1">
        <v>1</v>
      </c>
      <c r="E196" s="1">
        <f>VLOOKUP(C196,Skill!B:C,2,FALSE)</f>
        <v>5</v>
      </c>
      <c r="F196" s="1" t="str">
        <f>VLOOKUP(B196,Equipment!B:N,3,FALSE)</f>
        <v>Vambraces</v>
      </c>
    </row>
    <row r="197" spans="1:6" ht="12.75" x14ac:dyDescent="0.2">
      <c r="A197" s="1">
        <v>187</v>
      </c>
      <c r="B197" s="1" t="s">
        <v>897</v>
      </c>
      <c r="C197" s="1" t="s">
        <v>579</v>
      </c>
      <c r="D197" s="1">
        <v>1</v>
      </c>
      <c r="E197" s="1">
        <f>VLOOKUP(C197,Skill!B:C,2,FALSE)</f>
        <v>3</v>
      </c>
      <c r="F197" s="1" t="str">
        <f>VLOOKUP(B197,Equipment!B:N,3,FALSE)</f>
        <v>Vambraces</v>
      </c>
    </row>
    <row r="198" spans="1:6" ht="12.75" x14ac:dyDescent="0.2">
      <c r="A198" s="1">
        <v>188</v>
      </c>
      <c r="B198" s="1" t="s">
        <v>898</v>
      </c>
      <c r="C198" s="1" t="s">
        <v>573</v>
      </c>
      <c r="D198" s="1">
        <v>2</v>
      </c>
      <c r="E198" s="1">
        <f>VLOOKUP(C198,Skill!B:C,2,FALSE)</f>
        <v>5</v>
      </c>
      <c r="F198" s="1" t="str">
        <f>VLOOKUP(B198,Equipment!B:N,3,FALSE)</f>
        <v>Coil</v>
      </c>
    </row>
    <row r="199" spans="1:6" ht="12.75" x14ac:dyDescent="0.2">
      <c r="A199" s="1">
        <v>189</v>
      </c>
      <c r="B199" s="1" t="s">
        <v>901</v>
      </c>
      <c r="C199" s="1" t="s">
        <v>579</v>
      </c>
      <c r="D199" s="1">
        <v>1</v>
      </c>
      <c r="E199" s="1">
        <f>VLOOKUP(C199,Skill!B:C,2,FALSE)</f>
        <v>3</v>
      </c>
      <c r="F199" s="1" t="str">
        <f>VLOOKUP(B199,Equipment!B:N,3,FALSE)</f>
        <v>Greaves</v>
      </c>
    </row>
    <row r="200" spans="1:6" ht="12.75" x14ac:dyDescent="0.2">
      <c r="A200" s="1">
        <v>190</v>
      </c>
      <c r="B200" s="1" t="s">
        <v>901</v>
      </c>
      <c r="C200" s="1" t="s">
        <v>329</v>
      </c>
      <c r="D200" s="1">
        <v>1</v>
      </c>
      <c r="E200" s="1">
        <f>VLOOKUP(C200,Skill!B:C,2,FALSE)</f>
        <v>5</v>
      </c>
      <c r="F200" s="1" t="str">
        <f>VLOOKUP(B200,Equipment!B:N,3,FALSE)</f>
        <v>Greaves</v>
      </c>
    </row>
    <row r="201" spans="1:6" ht="12.75" x14ac:dyDescent="0.2">
      <c r="A201" s="1">
        <v>191</v>
      </c>
      <c r="B201" s="1" t="s">
        <v>902</v>
      </c>
      <c r="C201" s="1" t="s">
        <v>466</v>
      </c>
      <c r="D201" s="1">
        <v>1</v>
      </c>
      <c r="E201" s="1">
        <f>VLOOKUP(C201,Skill!B:C,2,FALSE)</f>
        <v>3</v>
      </c>
      <c r="F201" s="1" t="str">
        <f>VLOOKUP(B201,Equipment!B:N,3,FALSE)</f>
        <v>Helm</v>
      </c>
    </row>
    <row r="202" spans="1:6" ht="12.75" x14ac:dyDescent="0.2">
      <c r="A202" s="1">
        <v>192</v>
      </c>
      <c r="B202" s="1" t="s">
        <v>902</v>
      </c>
      <c r="C202" s="1" t="s">
        <v>519</v>
      </c>
      <c r="D202" s="1">
        <v>1</v>
      </c>
      <c r="E202" s="1">
        <f>VLOOKUP(C202,Skill!B:C,2,FALSE)</f>
        <v>3</v>
      </c>
      <c r="F202" s="1" t="str">
        <f>VLOOKUP(B202,Equipment!B:N,3,FALSE)</f>
        <v>Helm</v>
      </c>
    </row>
    <row r="203" spans="1:6" ht="12.75" x14ac:dyDescent="0.2">
      <c r="A203" s="1">
        <v>193</v>
      </c>
      <c r="B203" s="1" t="s">
        <v>903</v>
      </c>
      <c r="C203" s="1" t="s">
        <v>158</v>
      </c>
      <c r="D203" s="1">
        <v>1</v>
      </c>
      <c r="E203" s="1">
        <f>VLOOKUP(C203,Skill!B:C,2,FALSE)</f>
        <v>5</v>
      </c>
      <c r="F203" s="1" t="str">
        <f>VLOOKUP(B203,Equipment!B:N,3,FALSE)</f>
        <v>Mail</v>
      </c>
    </row>
    <row r="204" spans="1:6" ht="12.75" x14ac:dyDescent="0.2">
      <c r="A204" s="1">
        <v>194</v>
      </c>
      <c r="B204" s="1" t="s">
        <v>903</v>
      </c>
      <c r="C204" s="1" t="s">
        <v>463</v>
      </c>
      <c r="D204" s="1">
        <v>1</v>
      </c>
      <c r="E204" s="1">
        <f>VLOOKUP(C204,Skill!B:C,2,FALSE)</f>
        <v>5</v>
      </c>
      <c r="F204" s="1" t="str">
        <f>VLOOKUP(B204,Equipment!B:N,3,FALSE)</f>
        <v>Mail</v>
      </c>
    </row>
    <row r="205" spans="1:6" ht="12.75" x14ac:dyDescent="0.2">
      <c r="A205" s="1">
        <v>195</v>
      </c>
      <c r="B205" s="1" t="s">
        <v>905</v>
      </c>
      <c r="C205" s="1" t="s">
        <v>440</v>
      </c>
      <c r="D205" s="1">
        <v>2</v>
      </c>
      <c r="E205" s="1">
        <f>VLOOKUP(C205,Skill!B:C,2,FALSE)</f>
        <v>5</v>
      </c>
      <c r="F205" s="1" t="str">
        <f>VLOOKUP(B205,Equipment!B:N,3,FALSE)</f>
        <v>Vambraces</v>
      </c>
    </row>
    <row r="206" spans="1:6" ht="12.75" x14ac:dyDescent="0.2">
      <c r="A206" s="1">
        <v>196</v>
      </c>
      <c r="B206" s="1" t="s">
        <v>905</v>
      </c>
      <c r="C206" s="1" t="s">
        <v>466</v>
      </c>
      <c r="D206" s="1">
        <v>1</v>
      </c>
      <c r="E206" s="1">
        <f>VLOOKUP(C206,Skill!B:C,2,FALSE)</f>
        <v>3</v>
      </c>
      <c r="F206" s="1" t="str">
        <f>VLOOKUP(B206,Equipment!B:N,3,FALSE)</f>
        <v>Vambraces</v>
      </c>
    </row>
    <row r="207" spans="1:6" ht="12.75" x14ac:dyDescent="0.2">
      <c r="A207" s="1">
        <v>197</v>
      </c>
      <c r="B207" s="1" t="s">
        <v>906</v>
      </c>
      <c r="C207" s="1" t="s">
        <v>59</v>
      </c>
      <c r="D207" s="1">
        <v>2</v>
      </c>
      <c r="E207" s="1">
        <f>VLOOKUP(C207,Skill!B:C,2,FALSE)</f>
        <v>5</v>
      </c>
      <c r="F207" s="1" t="str">
        <f>VLOOKUP(B207,Equipment!B:N,3,FALSE)</f>
        <v>Coil</v>
      </c>
    </row>
    <row r="208" spans="1:6" ht="12.75" x14ac:dyDescent="0.2">
      <c r="A208" s="1">
        <v>198</v>
      </c>
      <c r="B208" s="1" t="s">
        <v>906</v>
      </c>
      <c r="C208" s="1" t="s">
        <v>306</v>
      </c>
      <c r="D208" s="1">
        <v>1</v>
      </c>
      <c r="E208" s="1">
        <f>VLOOKUP(C208,Skill!B:C,2,FALSE)</f>
        <v>3</v>
      </c>
      <c r="F208" s="1" t="str">
        <f>VLOOKUP(B208,Equipment!B:N,3,FALSE)</f>
        <v>Coil</v>
      </c>
    </row>
    <row r="209" spans="1:6" ht="12.75" x14ac:dyDescent="0.2">
      <c r="A209" s="1">
        <v>199</v>
      </c>
      <c r="B209" s="1" t="s">
        <v>909</v>
      </c>
      <c r="C209" s="1" t="s">
        <v>228</v>
      </c>
      <c r="D209" s="1">
        <v>1</v>
      </c>
      <c r="E209" s="1">
        <f>VLOOKUP(C209,Skill!B:C,2,FALSE)</f>
        <v>5</v>
      </c>
      <c r="F209" s="1" t="str">
        <f>VLOOKUP(B209,Equipment!B:N,3,FALSE)</f>
        <v>Greaves</v>
      </c>
    </row>
    <row r="210" spans="1:6" ht="12.75" x14ac:dyDescent="0.2">
      <c r="A210" s="1">
        <v>200</v>
      </c>
      <c r="B210" s="1" t="s">
        <v>909</v>
      </c>
      <c r="C210" s="1" t="s">
        <v>158</v>
      </c>
      <c r="D210" s="1">
        <v>1</v>
      </c>
      <c r="E210" s="1">
        <f>VLOOKUP(C210,Skill!B:C,2,FALSE)</f>
        <v>5</v>
      </c>
      <c r="F210" s="1" t="str">
        <f>VLOOKUP(B210,Equipment!B:N,3,FALSE)</f>
        <v>Greaves</v>
      </c>
    </row>
    <row r="211" spans="1:6" ht="12.75" x14ac:dyDescent="0.2">
      <c r="A211" s="1">
        <v>201</v>
      </c>
      <c r="B211" s="1" t="s">
        <v>911</v>
      </c>
      <c r="C211" s="1" t="s">
        <v>253</v>
      </c>
      <c r="D211" s="1">
        <v>1</v>
      </c>
      <c r="E211" s="1">
        <f>VLOOKUP(C211,Skill!B:C,2,FALSE)</f>
        <v>5</v>
      </c>
      <c r="F211" s="1" t="str">
        <f>VLOOKUP(B211,Equipment!B:N,3,FALSE)</f>
        <v>Helm</v>
      </c>
    </row>
    <row r="212" spans="1:6" ht="12.75" x14ac:dyDescent="0.2">
      <c r="A212" s="1">
        <v>202</v>
      </c>
      <c r="B212" s="1" t="s">
        <v>911</v>
      </c>
      <c r="C212" s="1" t="s">
        <v>566</v>
      </c>
      <c r="D212" s="1">
        <v>2</v>
      </c>
      <c r="E212" s="1">
        <f>VLOOKUP(C212,Skill!B:C,2,FALSE)</f>
        <v>5</v>
      </c>
      <c r="F212" s="1" t="str">
        <f>VLOOKUP(B212,Equipment!B:N,3,FALSE)</f>
        <v>Helm</v>
      </c>
    </row>
    <row r="213" spans="1:6" ht="12.75" x14ac:dyDescent="0.2">
      <c r="A213" s="1">
        <v>203</v>
      </c>
      <c r="B213" s="1" t="s">
        <v>914</v>
      </c>
      <c r="C213" s="1" t="s">
        <v>115</v>
      </c>
      <c r="D213" s="1">
        <v>1</v>
      </c>
      <c r="E213" s="1">
        <f>VLOOKUP(C213,Skill!B:C,2,FALSE)</f>
        <v>3</v>
      </c>
      <c r="F213" s="1" t="str">
        <f>VLOOKUP(B213,Equipment!B:N,3,FALSE)</f>
        <v>Mail</v>
      </c>
    </row>
    <row r="214" spans="1:6" ht="12.75" x14ac:dyDescent="0.2">
      <c r="A214" s="1">
        <v>204</v>
      </c>
      <c r="B214" s="1" t="s">
        <v>914</v>
      </c>
      <c r="C214" s="1" t="s">
        <v>375</v>
      </c>
      <c r="D214" s="1">
        <v>1</v>
      </c>
      <c r="E214" s="1">
        <f>VLOOKUP(C214,Skill!B:C,2,FALSE)</f>
        <v>5</v>
      </c>
      <c r="F214" s="1" t="str">
        <f>VLOOKUP(B214,Equipment!B:N,3,FALSE)</f>
        <v>Mail</v>
      </c>
    </row>
    <row r="215" spans="1:6" ht="12.75" x14ac:dyDescent="0.2">
      <c r="A215" s="1">
        <v>205</v>
      </c>
      <c r="B215" s="1" t="s">
        <v>916</v>
      </c>
      <c r="C215" s="1" t="s">
        <v>375</v>
      </c>
      <c r="D215" s="1">
        <v>2</v>
      </c>
      <c r="E215" s="1">
        <f>VLOOKUP(C215,Skill!B:C,2,FALSE)</f>
        <v>5</v>
      </c>
      <c r="F215" s="1" t="str">
        <f>VLOOKUP(B215,Equipment!B:N,3,FALSE)</f>
        <v>Vambraces</v>
      </c>
    </row>
    <row r="216" spans="1:6" ht="12.75" x14ac:dyDescent="0.2">
      <c r="A216" s="1">
        <v>206</v>
      </c>
      <c r="B216" s="1" t="s">
        <v>918</v>
      </c>
      <c r="C216" s="1" t="s">
        <v>566</v>
      </c>
      <c r="D216" s="1">
        <v>1</v>
      </c>
      <c r="E216" s="1">
        <f>VLOOKUP(C216,Skill!B:C,2,FALSE)</f>
        <v>5</v>
      </c>
      <c r="F216" s="1" t="str">
        <f>VLOOKUP(B216,Equipment!B:N,3,FALSE)</f>
        <v>Coil</v>
      </c>
    </row>
    <row r="217" spans="1:6" ht="12.75" x14ac:dyDescent="0.2">
      <c r="A217" s="1">
        <v>207</v>
      </c>
      <c r="B217" s="1" t="s">
        <v>918</v>
      </c>
      <c r="C217" s="1" t="s">
        <v>115</v>
      </c>
      <c r="D217" s="1">
        <v>1</v>
      </c>
      <c r="E217" s="1">
        <f>VLOOKUP(C217,Skill!B:C,2,FALSE)</f>
        <v>3</v>
      </c>
      <c r="F217" s="1" t="str">
        <f>VLOOKUP(B217,Equipment!B:N,3,FALSE)</f>
        <v>Coil</v>
      </c>
    </row>
    <row r="218" spans="1:6" ht="12.75" x14ac:dyDescent="0.2">
      <c r="A218" s="1">
        <v>208</v>
      </c>
      <c r="B218" s="1" t="s">
        <v>920</v>
      </c>
      <c r="C218" s="1" t="s">
        <v>590</v>
      </c>
      <c r="D218" s="1">
        <v>1</v>
      </c>
      <c r="E218" s="1">
        <f>VLOOKUP(C218,Skill!B:C,2,FALSE)</f>
        <v>5</v>
      </c>
      <c r="F218" s="1" t="str">
        <f>VLOOKUP(B218,Equipment!B:N,3,FALSE)</f>
        <v>Greaves</v>
      </c>
    </row>
    <row r="219" spans="1:6" ht="12.75" x14ac:dyDescent="0.2">
      <c r="A219" s="1">
        <v>209</v>
      </c>
      <c r="B219" s="1" t="s">
        <v>920</v>
      </c>
      <c r="C219" s="1" t="s">
        <v>253</v>
      </c>
      <c r="D219" s="1">
        <v>1</v>
      </c>
      <c r="E219" s="1">
        <f>VLOOKUP(C219,Skill!B:C,2,FALSE)</f>
        <v>5</v>
      </c>
      <c r="F219" s="1" t="str">
        <f>VLOOKUP(B219,Equipment!B:N,3,FALSE)</f>
        <v>Greaves</v>
      </c>
    </row>
    <row r="220" spans="1:6" ht="12.75" x14ac:dyDescent="0.2">
      <c r="A220" s="1">
        <v>210</v>
      </c>
      <c r="B220" s="1" t="s">
        <v>923</v>
      </c>
      <c r="C220" s="1" t="s">
        <v>269</v>
      </c>
      <c r="D220" s="1">
        <v>1</v>
      </c>
      <c r="E220" s="1">
        <f>VLOOKUP(C220,Skill!B:C,2,FALSE)</f>
        <v>5</v>
      </c>
      <c r="F220" s="1" t="str">
        <f>VLOOKUP(B220,Equipment!B:N,3,FALSE)</f>
        <v>Helm</v>
      </c>
    </row>
    <row r="221" spans="1:6" ht="12.75" x14ac:dyDescent="0.2">
      <c r="A221" s="1">
        <v>211</v>
      </c>
      <c r="B221" s="1" t="s">
        <v>923</v>
      </c>
      <c r="C221" s="1" t="s">
        <v>144</v>
      </c>
      <c r="D221" s="1">
        <v>1</v>
      </c>
      <c r="E221" s="1">
        <f>VLOOKUP(C221,Skill!B:C,2,FALSE)</f>
        <v>5</v>
      </c>
      <c r="F221" s="1" t="str">
        <f>VLOOKUP(B221,Equipment!B:N,3,FALSE)</f>
        <v>Helm</v>
      </c>
    </row>
    <row r="222" spans="1:6" ht="12.75" x14ac:dyDescent="0.2">
      <c r="A222" s="1">
        <v>212</v>
      </c>
      <c r="B222" s="1" t="s">
        <v>924</v>
      </c>
      <c r="C222" s="1" t="s">
        <v>269</v>
      </c>
      <c r="D222" s="1">
        <v>2</v>
      </c>
      <c r="E222" s="1">
        <f>VLOOKUP(C222,Skill!B:C,2,FALSE)</f>
        <v>5</v>
      </c>
      <c r="F222" s="1" t="str">
        <f>VLOOKUP(B222,Equipment!B:N,3,FALSE)</f>
        <v>Mail</v>
      </c>
    </row>
    <row r="223" spans="1:6" ht="12.75" x14ac:dyDescent="0.2">
      <c r="A223" s="1">
        <v>213</v>
      </c>
      <c r="B223" s="1" t="s">
        <v>924</v>
      </c>
      <c r="C223" s="1" t="s">
        <v>314</v>
      </c>
      <c r="D223" s="1">
        <v>1</v>
      </c>
      <c r="E223" s="1">
        <f>VLOOKUP(C223,Skill!B:C,2,FALSE)</f>
        <v>3</v>
      </c>
      <c r="F223" s="1" t="str">
        <f>VLOOKUP(B223,Equipment!B:N,3,FALSE)</f>
        <v>Mail</v>
      </c>
    </row>
    <row r="224" spans="1:6" ht="12.75" x14ac:dyDescent="0.2">
      <c r="A224" s="1">
        <v>214</v>
      </c>
      <c r="B224" s="1" t="s">
        <v>927</v>
      </c>
      <c r="C224" s="1" t="s">
        <v>635</v>
      </c>
      <c r="D224" s="1">
        <v>2</v>
      </c>
      <c r="E224" s="1">
        <f>VLOOKUP(C224,Skill!B:C,2,FALSE)</f>
        <v>5</v>
      </c>
      <c r="F224" s="1" t="str">
        <f>VLOOKUP(B224,Equipment!B:N,3,FALSE)</f>
        <v>Vambraces</v>
      </c>
    </row>
    <row r="225" spans="1:6" ht="12.75" x14ac:dyDescent="0.2">
      <c r="A225" s="1">
        <v>215</v>
      </c>
      <c r="B225" s="1" t="s">
        <v>928</v>
      </c>
      <c r="C225" s="1" t="s">
        <v>38</v>
      </c>
      <c r="D225" s="1">
        <v>1</v>
      </c>
      <c r="E225" s="1">
        <f>VLOOKUP(C225,Skill!B:C,2,FALSE)</f>
        <v>5</v>
      </c>
      <c r="F225" s="1" t="str">
        <f>VLOOKUP(B225,Equipment!B:N,3,FALSE)</f>
        <v>Coil</v>
      </c>
    </row>
    <row r="226" spans="1:6" ht="12.75" x14ac:dyDescent="0.2">
      <c r="A226" s="1">
        <v>216</v>
      </c>
      <c r="B226" s="1" t="s">
        <v>928</v>
      </c>
      <c r="C226" s="1" t="s">
        <v>524</v>
      </c>
      <c r="D226" s="1">
        <v>1</v>
      </c>
      <c r="E226" s="1">
        <f>VLOOKUP(C226,Skill!B:C,2,FALSE)</f>
        <v>3</v>
      </c>
      <c r="F226" s="1" t="str">
        <f>VLOOKUP(B226,Equipment!B:N,3,FALSE)</f>
        <v>Coil</v>
      </c>
    </row>
    <row r="227" spans="1:6" ht="12.75" x14ac:dyDescent="0.2">
      <c r="A227" s="1">
        <v>217</v>
      </c>
      <c r="B227" s="1" t="s">
        <v>931</v>
      </c>
      <c r="C227" s="1" t="s">
        <v>144</v>
      </c>
      <c r="D227" s="1">
        <v>1</v>
      </c>
      <c r="E227" s="1">
        <f>VLOOKUP(C227,Skill!B:C,2,FALSE)</f>
        <v>5</v>
      </c>
      <c r="F227" s="1" t="str">
        <f>VLOOKUP(B227,Equipment!B:N,3,FALSE)</f>
        <v>Greaves</v>
      </c>
    </row>
    <row r="228" spans="1:6" ht="12.75" x14ac:dyDescent="0.2">
      <c r="A228" s="1">
        <v>218</v>
      </c>
      <c r="B228" s="1" t="s">
        <v>931</v>
      </c>
      <c r="C228" s="1" t="s">
        <v>635</v>
      </c>
      <c r="D228" s="1">
        <v>1</v>
      </c>
      <c r="E228" s="1">
        <f>VLOOKUP(C228,Skill!B:C,2,FALSE)</f>
        <v>5</v>
      </c>
      <c r="F228" s="1" t="str">
        <f>VLOOKUP(B228,Equipment!B:N,3,FALSE)</f>
        <v>Greaves</v>
      </c>
    </row>
    <row r="229" spans="1:6" ht="12.75" x14ac:dyDescent="0.2">
      <c r="A229" s="1">
        <v>219</v>
      </c>
      <c r="B229" s="1" t="s">
        <v>932</v>
      </c>
      <c r="C229" s="1" t="s">
        <v>635</v>
      </c>
      <c r="D229" s="1">
        <v>2</v>
      </c>
      <c r="E229" s="1">
        <f>VLOOKUP(C229,Skill!B:C,2,FALSE)</f>
        <v>5</v>
      </c>
      <c r="F229" s="1" t="str">
        <f>VLOOKUP(B229,Equipment!B:N,3,FALSE)</f>
        <v>Helm</v>
      </c>
    </row>
    <row r="230" spans="1:6" ht="12.75" x14ac:dyDescent="0.2">
      <c r="A230" s="1">
        <v>220</v>
      </c>
      <c r="B230" s="1" t="s">
        <v>932</v>
      </c>
      <c r="C230" s="1" t="s">
        <v>253</v>
      </c>
      <c r="D230" s="1">
        <v>1</v>
      </c>
      <c r="E230" s="1">
        <f>VLOOKUP(C230,Skill!B:C,2,FALSE)</f>
        <v>5</v>
      </c>
      <c r="F230" s="1" t="str">
        <f>VLOOKUP(B230,Equipment!B:N,3,FALSE)</f>
        <v>Helm</v>
      </c>
    </row>
    <row r="231" spans="1:6" ht="12.75" x14ac:dyDescent="0.2">
      <c r="A231" s="1">
        <v>221</v>
      </c>
      <c r="B231" s="1" t="s">
        <v>935</v>
      </c>
      <c r="C231" s="1" t="s">
        <v>624</v>
      </c>
      <c r="D231" s="1">
        <v>1</v>
      </c>
      <c r="E231" s="1">
        <f>VLOOKUP(C231,Skill!B:C,2,FALSE)</f>
        <v>5</v>
      </c>
      <c r="F231" s="1" t="str">
        <f>VLOOKUP(B231,Equipment!B:N,3,FALSE)</f>
        <v>Mail</v>
      </c>
    </row>
    <row r="232" spans="1:6" ht="12.75" x14ac:dyDescent="0.2">
      <c r="A232" s="1">
        <v>222</v>
      </c>
      <c r="B232" s="1" t="s">
        <v>935</v>
      </c>
      <c r="C232" s="1" t="s">
        <v>38</v>
      </c>
      <c r="D232" s="1">
        <v>1</v>
      </c>
      <c r="E232" s="1">
        <f>VLOOKUP(C232,Skill!B:C,2,FALSE)</f>
        <v>5</v>
      </c>
      <c r="F232" s="1" t="str">
        <f>VLOOKUP(B232,Equipment!B:N,3,FALSE)</f>
        <v>Mail</v>
      </c>
    </row>
    <row r="233" spans="1:6" ht="12.75" x14ac:dyDescent="0.2">
      <c r="A233" s="1">
        <v>223</v>
      </c>
      <c r="B233" s="1" t="s">
        <v>936</v>
      </c>
      <c r="C233" s="1" t="s">
        <v>624</v>
      </c>
      <c r="D233" s="1">
        <v>2</v>
      </c>
      <c r="E233" s="1">
        <f>VLOOKUP(C233,Skill!B:C,2,FALSE)</f>
        <v>5</v>
      </c>
      <c r="F233" s="1" t="str">
        <f>VLOOKUP(B233,Equipment!B:N,3,FALSE)</f>
        <v>Vambraces</v>
      </c>
    </row>
    <row r="234" spans="1:6" ht="12.75" x14ac:dyDescent="0.2">
      <c r="A234" s="1">
        <v>224</v>
      </c>
      <c r="B234" s="1" t="s">
        <v>937</v>
      </c>
      <c r="C234" s="1" t="s">
        <v>253</v>
      </c>
      <c r="D234" s="1">
        <v>1</v>
      </c>
      <c r="E234" s="1">
        <f>VLOOKUP(C234,Skill!B:C,2,FALSE)</f>
        <v>5</v>
      </c>
      <c r="F234" s="1" t="str">
        <f>VLOOKUP(B234,Equipment!B:N,3,FALSE)</f>
        <v>Coil</v>
      </c>
    </row>
    <row r="235" spans="1:6" ht="12.75" x14ac:dyDescent="0.2">
      <c r="A235" s="1">
        <v>225</v>
      </c>
      <c r="B235" s="1" t="s">
        <v>937</v>
      </c>
      <c r="C235" s="1" t="s">
        <v>624</v>
      </c>
      <c r="D235" s="1">
        <v>1</v>
      </c>
      <c r="E235" s="1">
        <f>VLOOKUP(C235,Skill!B:C,2,FALSE)</f>
        <v>5</v>
      </c>
      <c r="F235" s="1" t="str">
        <f>VLOOKUP(B235,Equipment!B:N,3,FALSE)</f>
        <v>Coil</v>
      </c>
    </row>
    <row r="236" spans="1:6" ht="12.75" x14ac:dyDescent="0.2">
      <c r="A236" s="1">
        <v>226</v>
      </c>
      <c r="B236" s="1" t="s">
        <v>940</v>
      </c>
      <c r="C236" s="1" t="s">
        <v>319</v>
      </c>
      <c r="D236" s="1">
        <v>2</v>
      </c>
      <c r="E236" s="1">
        <f>VLOOKUP(C236,Skill!B:C,2,FALSE)</f>
        <v>5</v>
      </c>
      <c r="F236" s="1" t="str">
        <f>VLOOKUP(B236,Equipment!B:N,3,FALSE)</f>
        <v>Greaves</v>
      </c>
    </row>
    <row r="237" spans="1:6" ht="12.75" x14ac:dyDescent="0.2">
      <c r="A237" s="1">
        <v>227</v>
      </c>
      <c r="B237" s="1" t="s">
        <v>941</v>
      </c>
      <c r="C237" s="1" t="s">
        <v>504</v>
      </c>
      <c r="D237" s="1">
        <v>2</v>
      </c>
      <c r="E237" s="1">
        <f>VLOOKUP(C237,Skill!B:C,2,FALSE)</f>
        <v>3</v>
      </c>
      <c r="F237" s="1" t="str">
        <f>VLOOKUP(B237,Equipment!B:N,3,FALSE)</f>
        <v>Helm</v>
      </c>
    </row>
    <row r="238" spans="1:6" ht="12.75" x14ac:dyDescent="0.2">
      <c r="A238" s="1">
        <v>228</v>
      </c>
      <c r="B238" s="1" t="s">
        <v>944</v>
      </c>
      <c r="C238" s="1" t="s">
        <v>55</v>
      </c>
      <c r="D238" s="1">
        <v>2</v>
      </c>
      <c r="E238" s="1">
        <f>VLOOKUP(C238,Skill!B:C,2,FALSE)</f>
        <v>5</v>
      </c>
      <c r="F238" s="1" t="str">
        <f>VLOOKUP(B238,Equipment!B:N,3,FALSE)</f>
        <v>Mail</v>
      </c>
    </row>
    <row r="239" spans="1:6" ht="12.75" x14ac:dyDescent="0.2">
      <c r="A239" s="1">
        <v>229</v>
      </c>
      <c r="B239" s="1" t="s">
        <v>944</v>
      </c>
      <c r="C239" s="1" t="s">
        <v>108</v>
      </c>
      <c r="D239" s="1">
        <v>1</v>
      </c>
      <c r="E239" s="1">
        <f>VLOOKUP(C239,Skill!B:C,2,FALSE)</f>
        <v>3</v>
      </c>
      <c r="F239" s="1" t="str">
        <f>VLOOKUP(B239,Equipment!B:N,3,FALSE)</f>
        <v>Mail</v>
      </c>
    </row>
    <row r="240" spans="1:6" ht="12.75" x14ac:dyDescent="0.2">
      <c r="A240" s="1">
        <v>230</v>
      </c>
      <c r="B240" s="1" t="s">
        <v>945</v>
      </c>
      <c r="C240" s="1" t="s">
        <v>504</v>
      </c>
      <c r="D240" s="1">
        <v>1</v>
      </c>
      <c r="E240" s="1">
        <f>VLOOKUP(C240,Skill!B:C,2,FALSE)</f>
        <v>3</v>
      </c>
      <c r="F240" s="1" t="str">
        <f>VLOOKUP(B240,Equipment!B:N,3,FALSE)</f>
        <v>Vambraces</v>
      </c>
    </row>
    <row r="241" spans="1:6" ht="12.75" x14ac:dyDescent="0.2">
      <c r="A241" s="1">
        <v>231</v>
      </c>
      <c r="B241" s="1" t="s">
        <v>945</v>
      </c>
      <c r="C241" s="1" t="s">
        <v>108</v>
      </c>
      <c r="D241" s="1">
        <v>2</v>
      </c>
      <c r="E241" s="1">
        <f>VLOOKUP(C241,Skill!B:C,2,FALSE)</f>
        <v>3</v>
      </c>
      <c r="F241" s="1" t="str">
        <f>VLOOKUP(B241,Equipment!B:N,3,FALSE)</f>
        <v>Vambraces</v>
      </c>
    </row>
    <row r="242" spans="1:6" ht="12.75" x14ac:dyDescent="0.2">
      <c r="A242" s="1">
        <v>232</v>
      </c>
      <c r="B242" s="1" t="s">
        <v>946</v>
      </c>
      <c r="C242" s="1" t="s">
        <v>55</v>
      </c>
      <c r="D242" s="1">
        <v>1</v>
      </c>
      <c r="E242" s="1">
        <f>VLOOKUP(C242,Skill!B:C,2,FALSE)</f>
        <v>5</v>
      </c>
      <c r="F242" s="1" t="str">
        <f>VLOOKUP(B242,Equipment!B:N,3,FALSE)</f>
        <v>Coil</v>
      </c>
    </row>
    <row r="243" spans="1:6" ht="12.75" x14ac:dyDescent="0.2">
      <c r="A243" s="1">
        <v>233</v>
      </c>
      <c r="B243" s="1" t="s">
        <v>946</v>
      </c>
      <c r="C243" s="1" t="s">
        <v>269</v>
      </c>
      <c r="D243" s="1">
        <v>1</v>
      </c>
      <c r="E243" s="1">
        <f>VLOOKUP(C243,Skill!B:C,2,FALSE)</f>
        <v>5</v>
      </c>
      <c r="F243" s="1" t="str">
        <f>VLOOKUP(B243,Equipment!B:N,3,FALSE)</f>
        <v>Coil</v>
      </c>
    </row>
    <row r="244" spans="1:6" ht="12.75" x14ac:dyDescent="0.2">
      <c r="A244" s="1">
        <v>234</v>
      </c>
      <c r="B244" s="1" t="s">
        <v>948</v>
      </c>
      <c r="C244" s="1" t="s">
        <v>269</v>
      </c>
      <c r="D244" s="1">
        <v>2</v>
      </c>
      <c r="E244" s="1">
        <f>VLOOKUP(C244,Skill!B:C,2,FALSE)</f>
        <v>5</v>
      </c>
      <c r="F244" s="1" t="str">
        <f>VLOOKUP(B244,Equipment!B:N,3,FALSE)</f>
        <v>Greaves</v>
      </c>
    </row>
    <row r="245" spans="1:6" ht="12.75" x14ac:dyDescent="0.2">
      <c r="A245" s="1">
        <v>235</v>
      </c>
      <c r="B245" s="1" t="s">
        <v>951</v>
      </c>
      <c r="C245" s="1" t="s">
        <v>101</v>
      </c>
      <c r="D245" s="1">
        <v>1</v>
      </c>
      <c r="E245" s="1">
        <f>VLOOKUP(C245,Skill!B:C,2,FALSE)</f>
        <v>3</v>
      </c>
      <c r="F245" s="1" t="str">
        <f>VLOOKUP(B245,Equipment!B:N,3,FALSE)</f>
        <v>Helm</v>
      </c>
    </row>
    <row r="246" spans="1:6" ht="12.75" x14ac:dyDescent="0.2">
      <c r="A246" s="1">
        <v>236</v>
      </c>
      <c r="B246" s="1" t="s">
        <v>951</v>
      </c>
      <c r="C246" s="1" t="s">
        <v>535</v>
      </c>
      <c r="D246" s="1">
        <v>1</v>
      </c>
      <c r="E246" s="1">
        <f>VLOOKUP(C246,Skill!B:C,2,FALSE)</f>
        <v>5</v>
      </c>
      <c r="F246" s="1" t="str">
        <f>VLOOKUP(B246,Equipment!B:N,3,FALSE)</f>
        <v>Helm</v>
      </c>
    </row>
    <row r="247" spans="1:6" ht="12.75" x14ac:dyDescent="0.2">
      <c r="A247" s="1">
        <v>237</v>
      </c>
      <c r="B247" s="1" t="s">
        <v>952</v>
      </c>
      <c r="C247" s="1" t="s">
        <v>400</v>
      </c>
      <c r="D247" s="1">
        <v>1</v>
      </c>
      <c r="E247" s="1">
        <f>VLOOKUP(C247,Skill!B:C,2,FALSE)</f>
        <v>5</v>
      </c>
      <c r="F247" s="1" t="str">
        <f>VLOOKUP(B247,Equipment!B:N,3,FALSE)</f>
        <v>Mail</v>
      </c>
    </row>
    <row r="248" spans="1:6" ht="12.75" x14ac:dyDescent="0.2">
      <c r="A248" s="1">
        <v>238</v>
      </c>
      <c r="B248" s="1" t="s">
        <v>952</v>
      </c>
      <c r="C248" s="1" t="s">
        <v>175</v>
      </c>
      <c r="D248" s="1">
        <v>1</v>
      </c>
      <c r="E248" s="1">
        <f>VLOOKUP(C248,Skill!B:C,2,FALSE)</f>
        <v>5</v>
      </c>
      <c r="F248" s="1" t="str">
        <f>VLOOKUP(B248,Equipment!B:N,3,FALSE)</f>
        <v>Mail</v>
      </c>
    </row>
    <row r="249" spans="1:6" ht="12.75" x14ac:dyDescent="0.2">
      <c r="A249" s="1">
        <v>239</v>
      </c>
      <c r="B249" s="1" t="s">
        <v>955</v>
      </c>
      <c r="C249" s="1" t="s">
        <v>101</v>
      </c>
      <c r="D249" s="1">
        <v>2</v>
      </c>
      <c r="E249" s="1">
        <f>VLOOKUP(C249,Skill!B:C,2,FALSE)</f>
        <v>3</v>
      </c>
      <c r="F249" s="1" t="str">
        <f>VLOOKUP(B249,Equipment!B:N,3,FALSE)</f>
        <v>Vambraces</v>
      </c>
    </row>
    <row r="250" spans="1:6" ht="12.75" x14ac:dyDescent="0.2">
      <c r="A250" s="1">
        <v>240</v>
      </c>
      <c r="B250" s="1" t="s">
        <v>956</v>
      </c>
      <c r="C250" s="1" t="s">
        <v>166</v>
      </c>
      <c r="D250" s="1">
        <v>2</v>
      </c>
      <c r="E250" s="1">
        <f>VLOOKUP(C250,Skill!B:C,2,FALSE)</f>
        <v>5</v>
      </c>
      <c r="F250" s="1" t="str">
        <f>VLOOKUP(B250,Equipment!B:N,3,FALSE)</f>
        <v>Coil</v>
      </c>
    </row>
    <row r="251" spans="1:6" ht="12.75" x14ac:dyDescent="0.2">
      <c r="A251" s="1">
        <v>241</v>
      </c>
      <c r="B251" s="1" t="s">
        <v>956</v>
      </c>
      <c r="C251" s="1" t="s">
        <v>269</v>
      </c>
      <c r="D251" s="1">
        <v>1</v>
      </c>
      <c r="E251" s="1">
        <f>VLOOKUP(C251,Skill!B:C,2,FALSE)</f>
        <v>5</v>
      </c>
      <c r="F251" s="1" t="str">
        <f>VLOOKUP(B251,Equipment!B:N,3,FALSE)</f>
        <v>Coil</v>
      </c>
    </row>
    <row r="252" spans="1:6" ht="12.75" x14ac:dyDescent="0.2">
      <c r="A252" s="1">
        <v>242</v>
      </c>
      <c r="B252" s="1" t="s">
        <v>960</v>
      </c>
      <c r="C252" s="1" t="s">
        <v>237</v>
      </c>
      <c r="D252" s="1">
        <v>2</v>
      </c>
      <c r="E252" s="1">
        <f>VLOOKUP(C252,Skill!B:C,2,FALSE)</f>
        <v>5</v>
      </c>
      <c r="F252" s="1" t="str">
        <f>VLOOKUP(B252,Equipment!B:N,3,FALSE)</f>
        <v>Greaves</v>
      </c>
    </row>
    <row r="253" spans="1:6" ht="12.75" x14ac:dyDescent="0.2">
      <c r="A253" s="1">
        <v>243</v>
      </c>
      <c r="B253" s="1" t="s">
        <v>960</v>
      </c>
      <c r="C253" s="1" t="s">
        <v>253</v>
      </c>
      <c r="D253" s="1">
        <v>1</v>
      </c>
      <c r="E253" s="1">
        <f>VLOOKUP(C253,Skill!B:C,2,FALSE)</f>
        <v>5</v>
      </c>
      <c r="F253" s="1" t="str">
        <f>VLOOKUP(B253,Equipment!B:N,3,FALSE)</f>
        <v>Greaves</v>
      </c>
    </row>
    <row r="254" spans="1:6" ht="12.75" x14ac:dyDescent="0.2">
      <c r="A254" s="1">
        <v>244</v>
      </c>
      <c r="B254" s="1" t="s">
        <v>962</v>
      </c>
      <c r="C254" s="1" t="s">
        <v>583</v>
      </c>
      <c r="D254" s="1">
        <v>2</v>
      </c>
      <c r="E254" s="1">
        <f>VLOOKUP(C254,Skill!B:C,2,FALSE)</f>
        <v>5</v>
      </c>
      <c r="F254" s="1" t="str">
        <f>VLOOKUP(B254,Equipment!B:N,3,FALSE)</f>
        <v>Helm</v>
      </c>
    </row>
    <row r="255" spans="1:6" ht="12.75" x14ac:dyDescent="0.2">
      <c r="A255" s="1">
        <v>245</v>
      </c>
      <c r="B255" s="1" t="s">
        <v>962</v>
      </c>
      <c r="C255" s="1" t="s">
        <v>237</v>
      </c>
      <c r="D255" s="1">
        <v>1</v>
      </c>
      <c r="E255" s="1">
        <f>VLOOKUP(C255,Skill!B:C,2,FALSE)</f>
        <v>5</v>
      </c>
      <c r="F255" s="1" t="str">
        <f>VLOOKUP(B255,Equipment!B:N,3,FALSE)</f>
        <v>Helm</v>
      </c>
    </row>
    <row r="256" spans="1:6" ht="12.75" x14ac:dyDescent="0.2">
      <c r="A256" s="1">
        <v>246</v>
      </c>
      <c r="B256" s="1" t="s">
        <v>965</v>
      </c>
      <c r="C256" s="1" t="s">
        <v>400</v>
      </c>
      <c r="D256" s="1">
        <v>2</v>
      </c>
      <c r="E256" s="1">
        <f>VLOOKUP(C256,Skill!B:C,2,FALSE)</f>
        <v>5</v>
      </c>
      <c r="F256" s="1" t="str">
        <f>VLOOKUP(B256,Equipment!B:N,3,FALSE)</f>
        <v>Mail</v>
      </c>
    </row>
    <row r="257" spans="1:6" ht="12.75" x14ac:dyDescent="0.2">
      <c r="A257" s="1">
        <v>247</v>
      </c>
      <c r="B257" s="1" t="s">
        <v>966</v>
      </c>
      <c r="C257" s="1" t="s">
        <v>470</v>
      </c>
      <c r="D257" s="1">
        <v>2</v>
      </c>
      <c r="E257" s="1">
        <f>VLOOKUP(C257,Skill!B:C,2,FALSE)</f>
        <v>5</v>
      </c>
      <c r="F257" s="1" t="str">
        <f>VLOOKUP(B257,Equipment!B:N,3,FALSE)</f>
        <v>Vambraces</v>
      </c>
    </row>
    <row r="258" spans="1:6" ht="12.75" x14ac:dyDescent="0.2">
      <c r="A258" s="1">
        <v>248</v>
      </c>
      <c r="B258" s="1" t="s">
        <v>966</v>
      </c>
      <c r="C258" s="1" t="s">
        <v>237</v>
      </c>
      <c r="D258" s="1">
        <v>1</v>
      </c>
      <c r="E258" s="1">
        <f>VLOOKUP(C258,Skill!B:C,2,FALSE)</f>
        <v>5</v>
      </c>
      <c r="F258" s="1" t="str">
        <f>VLOOKUP(B258,Equipment!B:N,3,FALSE)</f>
        <v>Vambraces</v>
      </c>
    </row>
    <row r="259" spans="1:6" ht="12.75" x14ac:dyDescent="0.2">
      <c r="A259" s="1">
        <v>249</v>
      </c>
      <c r="B259" s="1" t="s">
        <v>967</v>
      </c>
      <c r="C259" s="1" t="s">
        <v>237</v>
      </c>
      <c r="D259" s="1">
        <v>2</v>
      </c>
      <c r="E259" s="1">
        <f>VLOOKUP(C259,Skill!B:C,2,FALSE)</f>
        <v>5</v>
      </c>
      <c r="F259" s="1" t="str">
        <f>VLOOKUP(B259,Equipment!B:N,3,FALSE)</f>
        <v>Coil</v>
      </c>
    </row>
    <row r="260" spans="1:6" ht="12.75" x14ac:dyDescent="0.2">
      <c r="A260" s="1">
        <v>250</v>
      </c>
      <c r="B260" s="1" t="s">
        <v>967</v>
      </c>
      <c r="C260" s="1" t="s">
        <v>466</v>
      </c>
      <c r="D260" s="1">
        <v>1</v>
      </c>
      <c r="E260" s="1">
        <f>VLOOKUP(C260,Skill!B:C,2,FALSE)</f>
        <v>3</v>
      </c>
      <c r="F260" s="1" t="str">
        <f>VLOOKUP(B260,Equipment!B:N,3,FALSE)</f>
        <v>Coil</v>
      </c>
    </row>
    <row r="261" spans="1:6" ht="12.75" x14ac:dyDescent="0.2">
      <c r="A261" s="1">
        <v>251</v>
      </c>
      <c r="B261" s="1" t="s">
        <v>969</v>
      </c>
      <c r="C261" s="1" t="s">
        <v>341</v>
      </c>
      <c r="D261" s="1">
        <v>1</v>
      </c>
      <c r="E261" s="1">
        <f>VLOOKUP(C261,Skill!B:C,2,FALSE)</f>
        <v>5</v>
      </c>
      <c r="F261" s="1" t="str">
        <f>VLOOKUP(B261,Equipment!B:N,3,FALSE)</f>
        <v>Greaves</v>
      </c>
    </row>
    <row r="262" spans="1:6" ht="12.75" x14ac:dyDescent="0.2">
      <c r="A262" s="1">
        <v>252</v>
      </c>
      <c r="B262" s="1" t="s">
        <v>969</v>
      </c>
      <c r="C262" s="1" t="s">
        <v>400</v>
      </c>
      <c r="D262" s="1">
        <v>1</v>
      </c>
      <c r="E262" s="1">
        <f>VLOOKUP(C262,Skill!B:C,2,FALSE)</f>
        <v>5</v>
      </c>
      <c r="F262" s="1" t="str">
        <f>VLOOKUP(B262,Equipment!B:N,3,FALSE)</f>
        <v>Greaves</v>
      </c>
    </row>
    <row r="263" spans="1:6" ht="12.75" x14ac:dyDescent="0.2">
      <c r="A263" s="1">
        <v>253</v>
      </c>
      <c r="B263" s="1" t="s">
        <v>971</v>
      </c>
      <c r="C263" s="1" t="s">
        <v>579</v>
      </c>
      <c r="D263" s="1">
        <v>1</v>
      </c>
      <c r="E263" s="1">
        <f>VLOOKUP(C263,Skill!B:C,2,FALSE)</f>
        <v>3</v>
      </c>
      <c r="F263" s="1" t="str">
        <f>VLOOKUP(B263,Equipment!B:N,3,FALSE)</f>
        <v>Helm</v>
      </c>
    </row>
    <row r="264" spans="1:6" ht="12.75" x14ac:dyDescent="0.2">
      <c r="A264" s="1">
        <v>254</v>
      </c>
      <c r="B264" s="1" t="s">
        <v>972</v>
      </c>
      <c r="C264" s="1" t="s">
        <v>46</v>
      </c>
      <c r="D264" s="1">
        <v>2</v>
      </c>
      <c r="E264" s="1">
        <f>VLOOKUP(C264,Skill!B:C,2,FALSE)</f>
        <v>5</v>
      </c>
      <c r="F264" s="1" t="str">
        <f>VLOOKUP(B264,Equipment!B:N,3,FALSE)</f>
        <v>Mail</v>
      </c>
    </row>
    <row r="265" spans="1:6" ht="12.75" x14ac:dyDescent="0.2">
      <c r="A265" s="1">
        <v>255</v>
      </c>
      <c r="B265" s="1" t="s">
        <v>973</v>
      </c>
      <c r="C265" s="1" t="s">
        <v>519</v>
      </c>
      <c r="D265" s="1">
        <v>2</v>
      </c>
      <c r="E265" s="1">
        <f>VLOOKUP(C265,Skill!B:C,2,FALSE)</f>
        <v>3</v>
      </c>
      <c r="F265" s="1" t="str">
        <f>VLOOKUP(B265,Equipment!B:N,3,FALSE)</f>
        <v>Vambraces</v>
      </c>
    </row>
    <row r="266" spans="1:6" ht="12.75" x14ac:dyDescent="0.2">
      <c r="A266" s="1">
        <v>256</v>
      </c>
      <c r="B266" s="1" t="s">
        <v>974</v>
      </c>
      <c r="C266" s="1" t="s">
        <v>291</v>
      </c>
      <c r="D266" s="1">
        <v>2</v>
      </c>
      <c r="E266" s="1">
        <f>VLOOKUP(C266,Skill!B:C,2,FALSE)</f>
        <v>5</v>
      </c>
      <c r="F266" s="1" t="str">
        <f>VLOOKUP(B266,Equipment!B:N,3,FALSE)</f>
        <v>Coil</v>
      </c>
    </row>
    <row r="267" spans="1:6" ht="12.75" x14ac:dyDescent="0.2">
      <c r="A267" s="1">
        <v>257</v>
      </c>
      <c r="B267" s="1" t="s">
        <v>975</v>
      </c>
      <c r="C267" s="1" t="s">
        <v>46</v>
      </c>
      <c r="D267" s="1">
        <v>1</v>
      </c>
      <c r="E267" s="1">
        <f>VLOOKUP(C267,Skill!B:C,2,FALSE)</f>
        <v>5</v>
      </c>
      <c r="F267" s="1" t="str">
        <f>VLOOKUP(B267,Equipment!B:N,3,FALSE)</f>
        <v>Greaves</v>
      </c>
    </row>
    <row r="268" spans="1:6" ht="12.75" x14ac:dyDescent="0.2">
      <c r="A268" s="1">
        <v>258</v>
      </c>
      <c r="B268" s="1" t="s">
        <v>975</v>
      </c>
      <c r="C268" s="1" t="s">
        <v>329</v>
      </c>
      <c r="D268" s="1">
        <v>1</v>
      </c>
      <c r="E268" s="1">
        <f>VLOOKUP(C268,Skill!B:C,2,FALSE)</f>
        <v>5</v>
      </c>
      <c r="F268" s="1" t="str">
        <f>VLOOKUP(B268,Equipment!B:N,3,FALSE)</f>
        <v>Greaves</v>
      </c>
    </row>
    <row r="269" spans="1:6" ht="12.75" x14ac:dyDescent="0.2">
      <c r="A269" s="1">
        <v>259</v>
      </c>
      <c r="B269" s="1" t="s">
        <v>976</v>
      </c>
      <c r="C269" s="1" t="s">
        <v>447</v>
      </c>
      <c r="D269" s="1">
        <v>1</v>
      </c>
      <c r="E269" s="1">
        <f>VLOOKUP(C269,Skill!B:C,2,FALSE)</f>
        <v>5</v>
      </c>
      <c r="F269" s="1" t="str">
        <f>VLOOKUP(B269,Equipment!B:N,3,FALSE)</f>
        <v>Helm</v>
      </c>
    </row>
    <row r="270" spans="1:6" ht="12.75" x14ac:dyDescent="0.2">
      <c r="A270" s="1">
        <v>260</v>
      </c>
      <c r="B270" s="1" t="s">
        <v>976</v>
      </c>
      <c r="C270" s="1" t="s">
        <v>609</v>
      </c>
      <c r="D270" s="1">
        <v>1</v>
      </c>
      <c r="E270" s="1">
        <f>VLOOKUP(C270,Skill!B:C,2,FALSE)</f>
        <v>5</v>
      </c>
      <c r="F270" s="1" t="str">
        <f>VLOOKUP(B270,Equipment!B:N,3,FALSE)</f>
        <v>Helm</v>
      </c>
    </row>
    <row r="271" spans="1:6" ht="12.75" x14ac:dyDescent="0.2">
      <c r="A271" s="1">
        <v>261</v>
      </c>
      <c r="B271" s="1" t="s">
        <v>977</v>
      </c>
      <c r="C271" s="1" t="s">
        <v>635</v>
      </c>
      <c r="D271" s="1">
        <v>2</v>
      </c>
      <c r="E271" s="1">
        <f>VLOOKUP(C271,Skill!B:C,2,FALSE)</f>
        <v>5</v>
      </c>
      <c r="F271" s="1" t="str">
        <f>VLOOKUP(B271,Equipment!B:N,3,FALSE)</f>
        <v>Mail</v>
      </c>
    </row>
    <row r="272" spans="1:6" ht="12.75" x14ac:dyDescent="0.2">
      <c r="A272" s="1">
        <v>262</v>
      </c>
      <c r="B272" s="1" t="s">
        <v>978</v>
      </c>
      <c r="C272" s="1" t="s">
        <v>609</v>
      </c>
      <c r="D272" s="1">
        <v>2</v>
      </c>
      <c r="E272" s="1">
        <f>VLOOKUP(C272,Skill!B:C,2,FALSE)</f>
        <v>5</v>
      </c>
      <c r="F272" s="1" t="str">
        <f>VLOOKUP(B272,Equipment!B:N,3,FALSE)</f>
        <v>Vambraces</v>
      </c>
    </row>
    <row r="273" spans="1:6" ht="12.75" x14ac:dyDescent="0.2">
      <c r="A273" s="1">
        <v>263</v>
      </c>
      <c r="B273" s="1" t="s">
        <v>978</v>
      </c>
      <c r="C273" s="1" t="s">
        <v>319</v>
      </c>
      <c r="D273" s="1">
        <v>1</v>
      </c>
      <c r="E273" s="1">
        <f>VLOOKUP(C273,Skill!B:C,2,FALSE)</f>
        <v>5</v>
      </c>
      <c r="F273" s="1" t="str">
        <f>VLOOKUP(B273,Equipment!B:N,3,FALSE)</f>
        <v>Vambraces</v>
      </c>
    </row>
    <row r="274" spans="1:6" ht="12.75" x14ac:dyDescent="0.2">
      <c r="A274" s="1">
        <v>264</v>
      </c>
      <c r="B274" s="1" t="s">
        <v>979</v>
      </c>
      <c r="C274" s="1" t="s">
        <v>431</v>
      </c>
      <c r="D274" s="1">
        <v>2</v>
      </c>
      <c r="E274" s="1">
        <f>VLOOKUP(C274,Skill!B:C,2,FALSE)</f>
        <v>3</v>
      </c>
      <c r="F274" s="1" t="str">
        <f>VLOOKUP(B274,Equipment!B:N,3,FALSE)</f>
        <v>Coil</v>
      </c>
    </row>
    <row r="275" spans="1:6" ht="12.75" x14ac:dyDescent="0.2">
      <c r="A275" s="1">
        <v>265</v>
      </c>
      <c r="B275" s="1" t="s">
        <v>980</v>
      </c>
      <c r="C275" s="1" t="s">
        <v>311</v>
      </c>
      <c r="D275" s="1">
        <v>1</v>
      </c>
      <c r="E275" s="1">
        <f>VLOOKUP(C275,Skill!B:C,2,FALSE)</f>
        <v>5</v>
      </c>
      <c r="F275" s="1" t="str">
        <f>VLOOKUP(B275,Equipment!B:N,3,FALSE)</f>
        <v>Greaves</v>
      </c>
    </row>
    <row r="276" spans="1:6" ht="12.75" x14ac:dyDescent="0.2">
      <c r="A276" s="1">
        <v>266</v>
      </c>
      <c r="B276" s="1" t="s">
        <v>980</v>
      </c>
      <c r="C276" s="1" t="s">
        <v>583</v>
      </c>
      <c r="D276" s="1">
        <v>1</v>
      </c>
      <c r="E276" s="1">
        <f>VLOOKUP(C276,Skill!B:C,2,FALSE)</f>
        <v>5</v>
      </c>
      <c r="F276" s="1" t="str">
        <f>VLOOKUP(B276,Equipment!B:N,3,FALSE)</f>
        <v>Greaves</v>
      </c>
    </row>
    <row r="277" spans="1:6" ht="12.75" x14ac:dyDescent="0.2">
      <c r="A277" s="1">
        <v>267</v>
      </c>
      <c r="B277" s="1" t="s">
        <v>983</v>
      </c>
      <c r="C277" s="1" t="s">
        <v>390</v>
      </c>
      <c r="D277" s="1">
        <v>1</v>
      </c>
      <c r="E277" s="1">
        <f>VLOOKUP(C277,Skill!B:C,2,FALSE)</f>
        <v>3</v>
      </c>
      <c r="F277" s="1" t="str">
        <f>VLOOKUP(B277,Equipment!B:N,3,FALSE)</f>
        <v>Helm</v>
      </c>
    </row>
    <row r="278" spans="1:6" ht="12.75" x14ac:dyDescent="0.2">
      <c r="A278" s="1">
        <v>268</v>
      </c>
      <c r="B278" s="1" t="s">
        <v>983</v>
      </c>
      <c r="C278" s="1" t="s">
        <v>524</v>
      </c>
      <c r="D278" s="1">
        <v>1</v>
      </c>
      <c r="E278" s="1">
        <f>VLOOKUP(C278,Skill!B:C,2,FALSE)</f>
        <v>3</v>
      </c>
      <c r="F278" s="1" t="str">
        <f>VLOOKUP(B278,Equipment!B:N,3,FALSE)</f>
        <v>Helm</v>
      </c>
    </row>
    <row r="279" spans="1:6" ht="12.75" x14ac:dyDescent="0.2">
      <c r="A279" s="1">
        <v>269</v>
      </c>
      <c r="B279" s="1" t="s">
        <v>983</v>
      </c>
      <c r="C279" s="1" t="s">
        <v>244</v>
      </c>
      <c r="D279" s="1">
        <v>1</v>
      </c>
      <c r="E279" s="1">
        <f>VLOOKUP(C279,Skill!B:C,2,FALSE)</f>
        <v>5</v>
      </c>
      <c r="F279" s="1" t="str">
        <f>VLOOKUP(B279,Equipment!B:N,3,FALSE)</f>
        <v>Helm</v>
      </c>
    </row>
    <row r="280" spans="1:6" ht="12.75" x14ac:dyDescent="0.2">
      <c r="A280" s="1">
        <v>270</v>
      </c>
      <c r="B280" s="1" t="s">
        <v>985</v>
      </c>
      <c r="C280" s="1" t="s">
        <v>390</v>
      </c>
      <c r="D280" s="1">
        <v>1</v>
      </c>
      <c r="E280" s="1">
        <f>VLOOKUP(C280,Skill!B:C,2,FALSE)</f>
        <v>3</v>
      </c>
      <c r="F280" s="1" t="str">
        <f>VLOOKUP(B280,Equipment!B:N,3,FALSE)</f>
        <v>Mail</v>
      </c>
    </row>
    <row r="281" spans="1:6" ht="12.75" x14ac:dyDescent="0.2">
      <c r="A281" s="1">
        <v>271</v>
      </c>
      <c r="B281" s="1" t="s">
        <v>985</v>
      </c>
      <c r="C281" s="1" t="s">
        <v>463</v>
      </c>
      <c r="D281" s="1">
        <v>1</v>
      </c>
      <c r="E281" s="1">
        <f>VLOOKUP(C281,Skill!B:C,2,FALSE)</f>
        <v>5</v>
      </c>
      <c r="F281" s="1" t="str">
        <f>VLOOKUP(B281,Equipment!B:N,3,FALSE)</f>
        <v>Mail</v>
      </c>
    </row>
    <row r="282" spans="1:6" ht="12.75" x14ac:dyDescent="0.2">
      <c r="A282" s="1">
        <v>272</v>
      </c>
      <c r="B282" s="1" t="s">
        <v>985</v>
      </c>
      <c r="C282" s="1" t="s">
        <v>348</v>
      </c>
      <c r="D282" s="1">
        <v>1</v>
      </c>
      <c r="E282" s="1">
        <f>VLOOKUP(C282,Skill!B:C,2,FALSE)</f>
        <v>5</v>
      </c>
      <c r="F282" s="1" t="str">
        <f>VLOOKUP(B282,Equipment!B:N,3,FALSE)</f>
        <v>Mail</v>
      </c>
    </row>
    <row r="283" spans="1:6" ht="12.75" x14ac:dyDescent="0.2">
      <c r="A283" s="1">
        <v>273</v>
      </c>
      <c r="B283" s="1" t="s">
        <v>987</v>
      </c>
      <c r="C283" s="1" t="s">
        <v>390</v>
      </c>
      <c r="D283" s="1">
        <v>1</v>
      </c>
      <c r="E283" s="1">
        <f>VLOOKUP(C283,Skill!B:C,2,FALSE)</f>
        <v>3</v>
      </c>
      <c r="F283" s="1" t="str">
        <f>VLOOKUP(B283,Equipment!B:N,3,FALSE)</f>
        <v>Vambraces</v>
      </c>
    </row>
    <row r="284" spans="1:6" ht="12.75" x14ac:dyDescent="0.2">
      <c r="A284" s="1">
        <v>274</v>
      </c>
      <c r="B284" s="1" t="s">
        <v>987</v>
      </c>
      <c r="C284" s="1" t="s">
        <v>311</v>
      </c>
      <c r="D284" s="1">
        <v>1</v>
      </c>
      <c r="E284" s="1">
        <f>VLOOKUP(C284,Skill!B:C,2,FALSE)</f>
        <v>5</v>
      </c>
      <c r="F284" s="1" t="str">
        <f>VLOOKUP(B284,Equipment!B:N,3,FALSE)</f>
        <v>Vambraces</v>
      </c>
    </row>
    <row r="285" spans="1:6" ht="12.75" x14ac:dyDescent="0.2">
      <c r="A285" s="1">
        <v>275</v>
      </c>
      <c r="B285" s="1" t="s">
        <v>987</v>
      </c>
      <c r="C285" s="1" t="s">
        <v>253</v>
      </c>
      <c r="D285" s="1">
        <v>1</v>
      </c>
      <c r="E285" s="1">
        <f>VLOOKUP(C285,Skill!B:C,2,FALSE)</f>
        <v>5</v>
      </c>
      <c r="F285" s="1" t="str">
        <f>VLOOKUP(B285,Equipment!B:N,3,FALSE)</f>
        <v>Vambraces</v>
      </c>
    </row>
    <row r="286" spans="1:6" ht="12.75" x14ac:dyDescent="0.2">
      <c r="A286" s="1">
        <v>276</v>
      </c>
      <c r="B286" s="1" t="s">
        <v>989</v>
      </c>
      <c r="C286" s="1" t="s">
        <v>390</v>
      </c>
      <c r="D286" s="1">
        <v>1</v>
      </c>
      <c r="E286" s="1">
        <f>VLOOKUP(C286,Skill!B:C,2,FALSE)</f>
        <v>3</v>
      </c>
      <c r="F286" s="1" t="str">
        <f>VLOOKUP(B286,Equipment!B:N,3,FALSE)</f>
        <v>Coil</v>
      </c>
    </row>
    <row r="287" spans="1:6" ht="12.75" x14ac:dyDescent="0.2">
      <c r="A287" s="1">
        <v>277</v>
      </c>
      <c r="B287" s="1" t="s">
        <v>989</v>
      </c>
      <c r="C287" s="1" t="s">
        <v>677</v>
      </c>
      <c r="D287" s="1">
        <v>1</v>
      </c>
      <c r="E287" s="1">
        <f>VLOOKUP(C287,Skill!B:C,2,FALSE)</f>
        <v>5</v>
      </c>
      <c r="F287" s="1" t="str">
        <f>VLOOKUP(B287,Equipment!B:N,3,FALSE)</f>
        <v>Coil</v>
      </c>
    </row>
    <row r="288" spans="1:6" ht="12.75" x14ac:dyDescent="0.2">
      <c r="A288" s="1">
        <v>278</v>
      </c>
      <c r="B288" s="1" t="s">
        <v>989</v>
      </c>
      <c r="C288" s="1" t="s">
        <v>528</v>
      </c>
      <c r="D288" s="1">
        <v>1</v>
      </c>
      <c r="E288" s="1">
        <f>VLOOKUP(C288,Skill!B:C,2,FALSE)</f>
        <v>5</v>
      </c>
      <c r="F288" s="1" t="str">
        <f>VLOOKUP(B288,Equipment!B:N,3,FALSE)</f>
        <v>Coil</v>
      </c>
    </row>
    <row r="289" spans="1:26" ht="12.75" x14ac:dyDescent="0.2">
      <c r="A289" s="1">
        <v>279</v>
      </c>
      <c r="B289" s="1" t="s">
        <v>991</v>
      </c>
      <c r="C289" s="1" t="s">
        <v>390</v>
      </c>
      <c r="D289" s="1">
        <v>1</v>
      </c>
      <c r="E289" s="1">
        <f>VLOOKUP(C289,Skill!B:C,2,FALSE)</f>
        <v>3</v>
      </c>
      <c r="F289" s="1" t="str">
        <f>VLOOKUP(B289,Equipment!B:N,3,FALSE)</f>
        <v>Greaves</v>
      </c>
    </row>
    <row r="290" spans="1:26" ht="12.75" x14ac:dyDescent="0.2">
      <c r="A290" s="1">
        <v>280</v>
      </c>
      <c r="B290" s="1" t="s">
        <v>991</v>
      </c>
      <c r="C290" s="1" t="s">
        <v>566</v>
      </c>
      <c r="D290" s="1">
        <v>1</v>
      </c>
      <c r="E290" s="1">
        <f>VLOOKUP(C290,Skill!B:C,2,FALSE)</f>
        <v>5</v>
      </c>
      <c r="F290" s="1" t="str">
        <f>VLOOKUP(B290,Equipment!B:N,3,FALSE)</f>
        <v>Greaves</v>
      </c>
    </row>
    <row r="291" spans="1:26" ht="12.75" x14ac:dyDescent="0.2">
      <c r="A291" s="1">
        <v>281</v>
      </c>
      <c r="B291" s="1" t="s">
        <v>991</v>
      </c>
      <c r="C291" s="1" t="s">
        <v>38</v>
      </c>
      <c r="D291" s="1">
        <v>1</v>
      </c>
      <c r="E291" s="1">
        <f>VLOOKUP(C291,Skill!B:C,2,FALSE)</f>
        <v>5</v>
      </c>
      <c r="F291" s="1" t="str">
        <f>VLOOKUP(B291,Equipment!B:N,3,FALSE)</f>
        <v>Greaves</v>
      </c>
    </row>
    <row r="292" spans="1:26" ht="12.75" x14ac:dyDescent="0.2">
      <c r="A292" s="1">
        <v>282</v>
      </c>
      <c r="B292" s="1" t="s">
        <v>994</v>
      </c>
      <c r="C292" s="1" t="s">
        <v>597</v>
      </c>
      <c r="D292" s="1">
        <v>2</v>
      </c>
      <c r="E292" s="1">
        <f>VLOOKUP(C292,Skill!B:C,2,FALSE)</f>
        <v>5</v>
      </c>
      <c r="F292" s="1" t="str">
        <f>VLOOKUP(B292,Equipment!B:N,3,FALSE)</f>
        <v>Helm</v>
      </c>
    </row>
    <row r="293" spans="1:26" ht="12.75" x14ac:dyDescent="0.2">
      <c r="A293" s="1">
        <v>283</v>
      </c>
      <c r="B293" s="1" t="s">
        <v>996</v>
      </c>
      <c r="C293" s="1" t="s">
        <v>127</v>
      </c>
      <c r="D293" s="1">
        <v>2</v>
      </c>
      <c r="E293" s="1">
        <f>VLOOKUP(C293,Skill!B:C,2,FALSE)</f>
        <v>3</v>
      </c>
      <c r="F293" s="1" t="str">
        <f>VLOOKUP(B293,Equipment!B:N,3,FALSE)</f>
        <v>Mail</v>
      </c>
    </row>
    <row r="294" spans="1:26" ht="12.75" x14ac:dyDescent="0.2">
      <c r="A294" s="1">
        <v>284</v>
      </c>
      <c r="B294" s="1" t="s">
        <v>998</v>
      </c>
      <c r="C294" s="1" t="s">
        <v>127</v>
      </c>
      <c r="D294" s="1">
        <v>1</v>
      </c>
      <c r="E294" s="1">
        <f>VLOOKUP(C294,Skill!B:C,2,FALSE)</f>
        <v>3</v>
      </c>
      <c r="F294" s="1" t="str">
        <f>VLOOKUP(B294,Equipment!B:N,3,FALSE)</f>
        <v>Vambraces</v>
      </c>
    </row>
    <row r="295" spans="1:26" ht="12.75" x14ac:dyDescent="0.2">
      <c r="A295" s="1">
        <v>285</v>
      </c>
      <c r="B295" s="1" t="s">
        <v>998</v>
      </c>
      <c r="C295" s="1" t="s">
        <v>535</v>
      </c>
      <c r="D295" s="1">
        <v>1</v>
      </c>
      <c r="E295" s="1">
        <f>VLOOKUP(C295,Skill!B:C,2,FALSE)</f>
        <v>5</v>
      </c>
      <c r="F295" s="1" t="str">
        <f>VLOOKUP(B295,Equipment!B:N,3,FALSE)</f>
        <v>Vambraces</v>
      </c>
    </row>
    <row r="296" spans="1:26" ht="12.75" x14ac:dyDescent="0.2">
      <c r="A296" s="1">
        <v>286</v>
      </c>
      <c r="B296" s="1" t="s">
        <v>1000</v>
      </c>
      <c r="C296" s="1" t="s">
        <v>269</v>
      </c>
      <c r="D296" s="1">
        <v>2</v>
      </c>
      <c r="E296" s="1">
        <f>VLOOKUP(C296,Skill!B:C,2,FALSE)</f>
        <v>5</v>
      </c>
      <c r="F296" s="1" t="str">
        <f>VLOOKUP(B296,Equipment!B:N,3,FALSE)</f>
        <v>Coil</v>
      </c>
    </row>
    <row r="297" spans="1:26" ht="12.75" x14ac:dyDescent="0.2">
      <c r="A297" s="1">
        <v>287</v>
      </c>
      <c r="B297" s="1" t="s">
        <v>1002</v>
      </c>
      <c r="C297" s="1" t="s">
        <v>535</v>
      </c>
      <c r="D297" s="1">
        <v>2</v>
      </c>
      <c r="E297" s="1">
        <f>VLOOKUP(C297,Skill!B:C,2,FALSE)</f>
        <v>5</v>
      </c>
      <c r="F297" s="1" t="str">
        <f>VLOOKUP(B297,Equipment!B:N,3,FALSE)</f>
        <v>Greaves</v>
      </c>
    </row>
    <row r="298" spans="1:26" ht="12.75" x14ac:dyDescent="0.2">
      <c r="A298" s="1">
        <v>288</v>
      </c>
      <c r="B298" s="1" t="s">
        <v>1003</v>
      </c>
      <c r="C298" s="1" t="s">
        <v>630</v>
      </c>
      <c r="D298" s="1">
        <v>1</v>
      </c>
      <c r="E298" s="1">
        <f>VLOOKUP(C298,Skill!B:C,2,FALSE)</f>
        <v>3</v>
      </c>
      <c r="F298" s="1" t="str">
        <f>VLOOKUP(B298,Equipment!B:N,3,FALSE)</f>
        <v>Helm</v>
      </c>
    </row>
    <row r="299" spans="1:26" ht="12.75" x14ac:dyDescent="0.2">
      <c r="A299" s="1">
        <v>289</v>
      </c>
      <c r="B299" s="1" t="s">
        <v>1003</v>
      </c>
      <c r="C299" s="1" t="s">
        <v>400</v>
      </c>
      <c r="D299" s="1">
        <v>1</v>
      </c>
      <c r="E299" s="1">
        <f>VLOOKUP(C299,Skill!B:C,2,FALSE)</f>
        <v>5</v>
      </c>
      <c r="F299" s="1" t="str">
        <f>VLOOKUP(B299,Equipment!B:N,3,FALSE)</f>
        <v>Helm</v>
      </c>
    </row>
    <row r="300" spans="1:26" ht="12.75" x14ac:dyDescent="0.2">
      <c r="A300" s="1">
        <v>290</v>
      </c>
      <c r="B300" s="1" t="s">
        <v>1003</v>
      </c>
      <c r="C300" s="1" t="s">
        <v>341</v>
      </c>
      <c r="D300" s="1">
        <v>1</v>
      </c>
      <c r="E300" s="1">
        <f>VLOOKUP(C300,Skill!B:C,2,FALSE)</f>
        <v>5</v>
      </c>
      <c r="F300" s="1" t="str">
        <f>VLOOKUP(B300,Equipment!B:N,3,FALSE)</f>
        <v>Helm</v>
      </c>
    </row>
    <row r="301" spans="1:26" ht="12.75" x14ac:dyDescent="0.2">
      <c r="A301" s="1">
        <v>291</v>
      </c>
      <c r="B301" s="3" t="s">
        <v>1005</v>
      </c>
      <c r="C301" s="3" t="s">
        <v>630</v>
      </c>
      <c r="D301" s="4">
        <v>1</v>
      </c>
      <c r="E301" s="1">
        <f>VLOOKUP(C301,Skill!B:C,2,FALSE)</f>
        <v>3</v>
      </c>
      <c r="F301" s="1" t="str">
        <f>VLOOKUP(B301,Equipment!B:N,3,FALSE)</f>
        <v>Mail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2.75" x14ac:dyDescent="0.2">
      <c r="A302" s="1">
        <v>292</v>
      </c>
      <c r="B302" s="1" t="s">
        <v>1005</v>
      </c>
      <c r="C302" s="1" t="s">
        <v>55</v>
      </c>
      <c r="D302" s="1">
        <v>1</v>
      </c>
      <c r="E302" s="1">
        <f>VLOOKUP(C302,Skill!B:C,2,FALSE)</f>
        <v>5</v>
      </c>
      <c r="F302" s="1" t="str">
        <f>VLOOKUP(B302,Equipment!B:N,3,FALSE)</f>
        <v>Mail</v>
      </c>
    </row>
    <row r="303" spans="1:26" ht="12.75" x14ac:dyDescent="0.2">
      <c r="A303" s="1">
        <v>293</v>
      </c>
      <c r="B303" s="1" t="s">
        <v>1005</v>
      </c>
      <c r="C303" s="1" t="s">
        <v>38</v>
      </c>
      <c r="D303" s="1">
        <v>1</v>
      </c>
      <c r="E303" s="1">
        <f>VLOOKUP(C303,Skill!B:C,2,FALSE)</f>
        <v>5</v>
      </c>
      <c r="F303" s="1" t="str">
        <f>VLOOKUP(B303,Equipment!B:N,3,FALSE)</f>
        <v>Mail</v>
      </c>
    </row>
    <row r="304" spans="1:26" ht="12.75" x14ac:dyDescent="0.2">
      <c r="A304" s="1">
        <v>294</v>
      </c>
      <c r="B304" s="1" t="s">
        <v>1006</v>
      </c>
      <c r="C304" s="1" t="s">
        <v>630</v>
      </c>
      <c r="D304" s="1">
        <v>1</v>
      </c>
      <c r="E304" s="1">
        <f>VLOOKUP(C304,Skill!B:C,2,FALSE)</f>
        <v>3</v>
      </c>
      <c r="F304" s="1" t="str">
        <f>VLOOKUP(B304,Equipment!B:N,3,FALSE)</f>
        <v>Vambraces</v>
      </c>
    </row>
    <row r="305" spans="1:6" ht="12.75" x14ac:dyDescent="0.2">
      <c r="A305" s="1">
        <v>295</v>
      </c>
      <c r="B305" s="1" t="s">
        <v>1006</v>
      </c>
      <c r="C305" s="1" t="s">
        <v>46</v>
      </c>
      <c r="D305" s="1">
        <v>1</v>
      </c>
      <c r="E305" s="1">
        <f>VLOOKUP(C305,Skill!B:C,2,FALSE)</f>
        <v>5</v>
      </c>
      <c r="F305" s="1" t="str">
        <f>VLOOKUP(B305,Equipment!B:N,3,FALSE)</f>
        <v>Vambraces</v>
      </c>
    </row>
    <row r="306" spans="1:6" ht="12.75" x14ac:dyDescent="0.2">
      <c r="A306" s="1">
        <v>296</v>
      </c>
      <c r="B306" s="1" t="s">
        <v>1006</v>
      </c>
      <c r="C306" s="1" t="s">
        <v>329</v>
      </c>
      <c r="D306" s="1">
        <v>1</v>
      </c>
      <c r="E306" s="1">
        <f>VLOOKUP(C306,Skill!B:C,2,FALSE)</f>
        <v>5</v>
      </c>
      <c r="F306" s="1" t="str">
        <f>VLOOKUP(B306,Equipment!B:N,3,FALSE)</f>
        <v>Vambraces</v>
      </c>
    </row>
    <row r="307" spans="1:6" ht="12.75" x14ac:dyDescent="0.2">
      <c r="A307" s="1">
        <v>297</v>
      </c>
      <c r="B307" s="1" t="s">
        <v>1007</v>
      </c>
      <c r="C307" s="1" t="s">
        <v>630</v>
      </c>
      <c r="D307" s="1">
        <v>1</v>
      </c>
      <c r="E307" s="1">
        <f>VLOOKUP(C307,Skill!B:C,2,FALSE)</f>
        <v>3</v>
      </c>
      <c r="F307" s="1" t="str">
        <f>VLOOKUP(B307,Equipment!B:N,3,FALSE)</f>
        <v>Coil</v>
      </c>
    </row>
    <row r="308" spans="1:6" ht="12.75" x14ac:dyDescent="0.2">
      <c r="A308" s="1">
        <v>298</v>
      </c>
      <c r="B308" s="1" t="s">
        <v>1007</v>
      </c>
      <c r="C308" s="1" t="s">
        <v>492</v>
      </c>
      <c r="D308" s="1">
        <v>1</v>
      </c>
      <c r="E308" s="1">
        <f>VLOOKUP(C308,Skill!B:C,2,FALSE)</f>
        <v>5</v>
      </c>
      <c r="F308" s="1" t="str">
        <f>VLOOKUP(B308,Equipment!B:N,3,FALSE)</f>
        <v>Coil</v>
      </c>
    </row>
    <row r="309" spans="1:6" ht="12.75" x14ac:dyDescent="0.2">
      <c r="A309" s="1">
        <v>299</v>
      </c>
      <c r="B309" s="1" t="s">
        <v>1007</v>
      </c>
      <c r="C309" s="1" t="s">
        <v>144</v>
      </c>
      <c r="D309" s="1">
        <v>1</v>
      </c>
      <c r="E309" s="1">
        <f>VLOOKUP(C309,Skill!B:C,2,FALSE)</f>
        <v>5</v>
      </c>
      <c r="F309" s="1" t="str">
        <f>VLOOKUP(B309,Equipment!B:N,3,FALSE)</f>
        <v>Coil</v>
      </c>
    </row>
    <row r="310" spans="1:6" ht="12.75" x14ac:dyDescent="0.2">
      <c r="A310" s="1">
        <v>300</v>
      </c>
      <c r="B310" s="1" t="s">
        <v>1008</v>
      </c>
      <c r="C310" s="1" t="s">
        <v>630</v>
      </c>
      <c r="D310" s="1">
        <v>1</v>
      </c>
      <c r="E310" s="1">
        <f>VLOOKUP(C310,Skill!B:C,2,FALSE)</f>
        <v>3</v>
      </c>
      <c r="F310" s="1" t="str">
        <f>VLOOKUP(B310,Equipment!B:N,3,FALSE)</f>
        <v>Greaves</v>
      </c>
    </row>
    <row r="311" spans="1:6" ht="12.75" x14ac:dyDescent="0.2">
      <c r="A311" s="1">
        <v>301</v>
      </c>
      <c r="B311" s="1" t="s">
        <v>1008</v>
      </c>
      <c r="C311" s="1" t="s">
        <v>166</v>
      </c>
      <c r="D311" s="1">
        <v>1</v>
      </c>
      <c r="E311" s="1">
        <f>VLOOKUP(C311,Skill!B:C,2,FALSE)</f>
        <v>5</v>
      </c>
      <c r="F311" s="1" t="str">
        <f>VLOOKUP(B311,Equipment!B:N,3,FALSE)</f>
        <v>Greaves</v>
      </c>
    </row>
    <row r="312" spans="1:6" ht="12.75" x14ac:dyDescent="0.2">
      <c r="A312" s="1">
        <v>302</v>
      </c>
      <c r="B312" s="1" t="s">
        <v>1008</v>
      </c>
      <c r="C312" s="1" t="s">
        <v>253</v>
      </c>
      <c r="D312" s="1">
        <v>1</v>
      </c>
      <c r="E312" s="1">
        <f>VLOOKUP(C312,Skill!B:C,2,FALSE)</f>
        <v>5</v>
      </c>
      <c r="F312" s="1" t="str">
        <f>VLOOKUP(B312,Equipment!B:N,3,FALSE)</f>
        <v>Greaves</v>
      </c>
    </row>
    <row r="313" spans="1:6" ht="12.75" x14ac:dyDescent="0.2">
      <c r="A313" s="1">
        <v>303</v>
      </c>
      <c r="B313" s="1" t="s">
        <v>1009</v>
      </c>
      <c r="C313" s="1" t="s">
        <v>221</v>
      </c>
      <c r="D313" s="1">
        <v>2</v>
      </c>
      <c r="E313" s="1">
        <f>VLOOKUP(C313,Skill!B:C,2,FALSE)</f>
        <v>3</v>
      </c>
      <c r="F313" s="1" t="str">
        <f>VLOOKUP(B313,Equipment!B:N,3,FALSE)</f>
        <v>Helm</v>
      </c>
    </row>
    <row r="314" spans="1:6" ht="12.75" x14ac:dyDescent="0.2">
      <c r="A314" s="1">
        <v>304</v>
      </c>
      <c r="B314" s="1" t="s">
        <v>1011</v>
      </c>
      <c r="C314" s="1" t="s">
        <v>221</v>
      </c>
      <c r="D314" s="1">
        <v>1</v>
      </c>
      <c r="E314" s="1">
        <f>VLOOKUP(C314,Skill!B:C,2,FALSE)</f>
        <v>3</v>
      </c>
      <c r="F314" s="1" t="str">
        <f>VLOOKUP(B314,Equipment!B:N,3,FALSE)</f>
        <v>Mail</v>
      </c>
    </row>
    <row r="315" spans="1:6" ht="12.75" x14ac:dyDescent="0.2">
      <c r="A315" s="1">
        <v>305</v>
      </c>
      <c r="B315" s="1" t="s">
        <v>1011</v>
      </c>
      <c r="C315" s="1" t="s">
        <v>329</v>
      </c>
      <c r="D315" s="1">
        <v>1</v>
      </c>
      <c r="E315" s="1">
        <f>VLOOKUP(C315,Skill!B:C,2,FALSE)</f>
        <v>5</v>
      </c>
      <c r="F315" s="1" t="str">
        <f>VLOOKUP(B315,Equipment!B:N,3,FALSE)</f>
        <v>Mail</v>
      </c>
    </row>
    <row r="316" spans="1:6" ht="12.75" x14ac:dyDescent="0.2">
      <c r="A316" s="1">
        <v>306</v>
      </c>
      <c r="B316" s="1" t="s">
        <v>1013</v>
      </c>
      <c r="C316" s="1" t="s">
        <v>504</v>
      </c>
      <c r="D316" s="1">
        <v>1</v>
      </c>
      <c r="E316" s="1">
        <f>VLOOKUP(C316,Skill!B:C,2,FALSE)</f>
        <v>3</v>
      </c>
      <c r="F316" s="1" t="str">
        <f>VLOOKUP(B316,Equipment!B:N,3,FALSE)</f>
        <v>Vambraces</v>
      </c>
    </row>
    <row r="317" spans="1:6" ht="12.75" x14ac:dyDescent="0.2">
      <c r="A317" s="1">
        <v>307</v>
      </c>
      <c r="B317" s="1" t="s">
        <v>1013</v>
      </c>
      <c r="C317" s="1" t="s">
        <v>492</v>
      </c>
      <c r="D317" s="1">
        <v>1</v>
      </c>
      <c r="E317" s="1">
        <f>VLOOKUP(C317,Skill!B:C,2,FALSE)</f>
        <v>5</v>
      </c>
      <c r="F317" s="1" t="str">
        <f>VLOOKUP(B317,Equipment!B:N,3,FALSE)</f>
        <v>Vambraces</v>
      </c>
    </row>
    <row r="318" spans="1:6" ht="12.75" x14ac:dyDescent="0.2">
      <c r="A318" s="1">
        <v>308</v>
      </c>
      <c r="B318" s="1" t="s">
        <v>1015</v>
      </c>
      <c r="C318" s="1" t="s">
        <v>55</v>
      </c>
      <c r="D318" s="1">
        <v>1</v>
      </c>
      <c r="E318" s="1">
        <f>VLOOKUP(C318,Skill!B:C,2,FALSE)</f>
        <v>5</v>
      </c>
      <c r="F318" s="1" t="str">
        <f>VLOOKUP(B318,Equipment!B:N,3,FALSE)</f>
        <v>Coil</v>
      </c>
    </row>
    <row r="319" spans="1:6" ht="12.75" x14ac:dyDescent="0.2">
      <c r="A319" s="1">
        <v>309</v>
      </c>
      <c r="B319" s="1" t="s">
        <v>1015</v>
      </c>
      <c r="C319" s="1" t="s">
        <v>470</v>
      </c>
      <c r="D319" s="1">
        <v>1</v>
      </c>
      <c r="E319" s="1">
        <f>VLOOKUP(C319,Skill!B:C,2,FALSE)</f>
        <v>5</v>
      </c>
      <c r="F319" s="1" t="str">
        <f>VLOOKUP(B319,Equipment!B:N,3,FALSE)</f>
        <v>Coil</v>
      </c>
    </row>
    <row r="320" spans="1:6" ht="12.75" x14ac:dyDescent="0.2">
      <c r="A320" s="1">
        <v>310</v>
      </c>
      <c r="B320" s="1" t="s">
        <v>1017</v>
      </c>
      <c r="C320" s="1" t="s">
        <v>291</v>
      </c>
      <c r="D320" s="1">
        <v>2</v>
      </c>
      <c r="E320" s="1">
        <f>VLOOKUP(C320,Skill!B:C,2,FALSE)</f>
        <v>5</v>
      </c>
      <c r="F320" s="1" t="str">
        <f>VLOOKUP(B320,Equipment!B:N,3,FALSE)</f>
        <v>Greaves</v>
      </c>
    </row>
    <row r="321" spans="1:6" ht="12.75" x14ac:dyDescent="0.2">
      <c r="A321" s="1">
        <v>311</v>
      </c>
      <c r="B321" s="1" t="s">
        <v>1019</v>
      </c>
      <c r="C321" s="1" t="s">
        <v>358</v>
      </c>
      <c r="D321" s="1">
        <v>2</v>
      </c>
      <c r="E321" s="1">
        <f>VLOOKUP(C321,Skill!B:C,2,FALSE)</f>
        <v>3</v>
      </c>
      <c r="F321" s="1" t="str">
        <f>VLOOKUP(B321,Equipment!B:N,3,FALSE)</f>
        <v>Helm</v>
      </c>
    </row>
    <row r="322" spans="1:6" ht="12.75" x14ac:dyDescent="0.2">
      <c r="A322" s="1">
        <v>312</v>
      </c>
      <c r="B322" s="1" t="s">
        <v>1020</v>
      </c>
      <c r="C322" s="1" t="s">
        <v>524</v>
      </c>
      <c r="D322" s="1">
        <v>2</v>
      </c>
      <c r="E322" s="1">
        <f>VLOOKUP(C322,Skill!B:C,2,FALSE)</f>
        <v>3</v>
      </c>
      <c r="F322" s="1" t="str">
        <f>VLOOKUP(B322,Equipment!B:N,3,FALSE)</f>
        <v>Mail</v>
      </c>
    </row>
    <row r="323" spans="1:6" ht="12.75" x14ac:dyDescent="0.2">
      <c r="A323" s="1">
        <v>313</v>
      </c>
      <c r="B323" s="1" t="s">
        <v>1020</v>
      </c>
      <c r="C323" s="1" t="s">
        <v>90</v>
      </c>
      <c r="D323" s="1">
        <v>1</v>
      </c>
      <c r="E323" s="1">
        <f>VLOOKUP(C323,Skill!B:C,2,FALSE)</f>
        <v>3</v>
      </c>
      <c r="F323" s="1" t="str">
        <f>VLOOKUP(B323,Equipment!B:N,3,FALSE)</f>
        <v>Mail</v>
      </c>
    </row>
    <row r="324" spans="1:6" ht="12.75" x14ac:dyDescent="0.2">
      <c r="A324" s="1">
        <v>314</v>
      </c>
      <c r="B324" s="1" t="s">
        <v>1022</v>
      </c>
      <c r="C324" s="1" t="s">
        <v>80</v>
      </c>
      <c r="D324" s="1">
        <v>2</v>
      </c>
      <c r="E324" s="1">
        <f>VLOOKUP(C324,Skill!B:C,2,FALSE)</f>
        <v>5</v>
      </c>
      <c r="F324" s="1" t="str">
        <f>VLOOKUP(B324,Equipment!B:N,3,FALSE)</f>
        <v>Vambraces</v>
      </c>
    </row>
    <row r="325" spans="1:6" ht="12.75" x14ac:dyDescent="0.2">
      <c r="A325" s="1">
        <v>315</v>
      </c>
      <c r="B325" s="1" t="s">
        <v>1024</v>
      </c>
      <c r="C325" s="1" t="s">
        <v>90</v>
      </c>
      <c r="D325" s="1">
        <v>1</v>
      </c>
      <c r="E325" s="1">
        <f>VLOOKUP(C325,Skill!B:C,2,FALSE)</f>
        <v>3</v>
      </c>
      <c r="F325" s="1" t="str">
        <f>VLOOKUP(B325,Equipment!B:N,3,FALSE)</f>
        <v>Coil</v>
      </c>
    </row>
    <row r="326" spans="1:6" ht="12.75" x14ac:dyDescent="0.2">
      <c r="A326" s="1">
        <v>316</v>
      </c>
      <c r="B326" s="1" t="s">
        <v>1024</v>
      </c>
      <c r="C326" s="1" t="s">
        <v>358</v>
      </c>
      <c r="D326" s="1">
        <v>1</v>
      </c>
      <c r="E326" s="1">
        <f>VLOOKUP(C326,Skill!B:C,2,FALSE)</f>
        <v>3</v>
      </c>
      <c r="F326" s="1" t="str">
        <f>VLOOKUP(B326,Equipment!B:N,3,FALSE)</f>
        <v>Coil</v>
      </c>
    </row>
    <row r="327" spans="1:6" ht="12.75" x14ac:dyDescent="0.2">
      <c r="A327" s="1">
        <v>317</v>
      </c>
      <c r="B327" s="1" t="s">
        <v>1026</v>
      </c>
      <c r="C327" s="1" t="s">
        <v>80</v>
      </c>
      <c r="D327" s="1">
        <v>1</v>
      </c>
      <c r="E327" s="1">
        <f>VLOOKUP(C327,Skill!B:C,2,FALSE)</f>
        <v>5</v>
      </c>
      <c r="F327" s="1" t="str">
        <f>VLOOKUP(B327,Equipment!B:N,3,FALSE)</f>
        <v>Greaves</v>
      </c>
    </row>
    <row r="328" spans="1:6" ht="12.75" x14ac:dyDescent="0.2">
      <c r="A328" s="1">
        <v>318</v>
      </c>
      <c r="B328" s="1" t="s">
        <v>1026</v>
      </c>
      <c r="C328" s="1" t="s">
        <v>590</v>
      </c>
      <c r="D328" s="1">
        <v>1</v>
      </c>
      <c r="E328" s="1">
        <f>VLOOKUP(C328,Skill!B:C,2,FALSE)</f>
        <v>5</v>
      </c>
      <c r="F328" s="1" t="str">
        <f>VLOOKUP(B328,Equipment!B:N,3,FALSE)</f>
        <v>Greaves</v>
      </c>
    </row>
    <row r="329" spans="1:6" ht="12.75" x14ac:dyDescent="0.2">
      <c r="A329" s="1">
        <v>319</v>
      </c>
      <c r="B329" s="1" t="s">
        <v>1027</v>
      </c>
      <c r="C329" s="1" t="s">
        <v>314</v>
      </c>
      <c r="D329" s="1">
        <v>3</v>
      </c>
      <c r="E329" s="1">
        <f>VLOOKUP(C329,Skill!B:C,2,FALSE)</f>
        <v>3</v>
      </c>
      <c r="F329" s="1" t="str">
        <f>VLOOKUP(B329,Equipment!B:N,3,FALSE)</f>
        <v>Helm</v>
      </c>
    </row>
    <row r="330" spans="1:6" ht="12.75" x14ac:dyDescent="0.2">
      <c r="A330" s="1">
        <v>320</v>
      </c>
      <c r="B330" s="1" t="s">
        <v>1030</v>
      </c>
      <c r="C330" s="1" t="s">
        <v>276</v>
      </c>
      <c r="D330" s="1">
        <v>1</v>
      </c>
      <c r="E330" s="1">
        <f>VLOOKUP(C330,Skill!B:C,2,FALSE)</f>
        <v>5</v>
      </c>
      <c r="F330" s="1" t="str">
        <f>VLOOKUP(B330,Equipment!B:N,3,FALSE)</f>
        <v>Mail</v>
      </c>
    </row>
    <row r="331" spans="1:6" ht="12.75" x14ac:dyDescent="0.2">
      <c r="A331" s="1">
        <v>321</v>
      </c>
      <c r="B331" s="1" t="s">
        <v>1030</v>
      </c>
      <c r="C331" s="1" t="s">
        <v>158</v>
      </c>
      <c r="D331" s="1">
        <v>1</v>
      </c>
      <c r="E331" s="1">
        <f>VLOOKUP(C331,Skill!B:C,2,FALSE)</f>
        <v>5</v>
      </c>
      <c r="F331" s="1" t="str">
        <f>VLOOKUP(B331,Equipment!B:N,3,FALSE)</f>
        <v>Mail</v>
      </c>
    </row>
    <row r="332" spans="1:6" ht="12.75" x14ac:dyDescent="0.2">
      <c r="A332" s="1">
        <v>322</v>
      </c>
      <c r="B332" s="1" t="s">
        <v>1032</v>
      </c>
      <c r="C332" s="1" t="s">
        <v>276</v>
      </c>
      <c r="D332" s="1">
        <v>2</v>
      </c>
      <c r="E332" s="1">
        <f>VLOOKUP(C332,Skill!B:C,2,FALSE)</f>
        <v>5</v>
      </c>
      <c r="F332" s="1" t="str">
        <f>VLOOKUP(B332,Equipment!B:N,3,FALSE)</f>
        <v>Vambraces</v>
      </c>
    </row>
    <row r="333" spans="1:6" ht="12.75" x14ac:dyDescent="0.2">
      <c r="A333" s="1">
        <v>323</v>
      </c>
      <c r="B333" s="1" t="s">
        <v>1034</v>
      </c>
      <c r="C333" s="1" t="s">
        <v>311</v>
      </c>
      <c r="D333" s="1">
        <v>3</v>
      </c>
      <c r="E333" s="1">
        <f>VLOOKUP(C333,Skill!B:C,2,FALSE)</f>
        <v>5</v>
      </c>
      <c r="F333" s="1" t="str">
        <f>VLOOKUP(B333,Equipment!B:N,3,FALSE)</f>
        <v>Coil</v>
      </c>
    </row>
    <row r="334" spans="1:6" ht="12.75" x14ac:dyDescent="0.2">
      <c r="A334" s="1">
        <v>324</v>
      </c>
      <c r="B334" s="1" t="s">
        <v>1036</v>
      </c>
      <c r="C334" s="1" t="s">
        <v>529</v>
      </c>
      <c r="D334" s="1">
        <v>2</v>
      </c>
      <c r="E334" s="1">
        <f>VLOOKUP(C334,Skill!B:C,2,FALSE)</f>
        <v>5</v>
      </c>
      <c r="F334" s="1" t="str">
        <f>VLOOKUP(B334,Equipment!B:N,3,FALSE)</f>
        <v>Greaves</v>
      </c>
    </row>
    <row r="335" spans="1:6" ht="12.75" x14ac:dyDescent="0.2">
      <c r="A335" s="1">
        <v>325</v>
      </c>
      <c r="B335" s="1" t="s">
        <v>1036</v>
      </c>
      <c r="C335" s="1" t="s">
        <v>466</v>
      </c>
      <c r="D335" s="1">
        <v>1</v>
      </c>
      <c r="E335" s="1">
        <f>VLOOKUP(C335,Skill!B:C,2,FALSE)</f>
        <v>3</v>
      </c>
      <c r="F335" s="1" t="str">
        <f>VLOOKUP(B335,Equipment!B:N,3,FALSE)</f>
        <v>Greaves</v>
      </c>
    </row>
    <row r="336" spans="1:6" ht="12.75" x14ac:dyDescent="0.2">
      <c r="A336" s="1">
        <v>326</v>
      </c>
      <c r="B336" s="1" t="s">
        <v>1039</v>
      </c>
      <c r="C336" s="1" t="s">
        <v>427</v>
      </c>
      <c r="D336" s="1">
        <v>1</v>
      </c>
      <c r="E336" s="1">
        <f>VLOOKUP(C336,Skill!B:C,2,FALSE)</f>
        <v>3</v>
      </c>
      <c r="F336" s="1" t="str">
        <f>VLOOKUP(B336,Equipment!B:N,3,FALSE)</f>
        <v>Helm</v>
      </c>
    </row>
    <row r="337" spans="1:6" ht="12.75" x14ac:dyDescent="0.2">
      <c r="A337" s="1">
        <v>327</v>
      </c>
      <c r="B337" s="1" t="s">
        <v>1039</v>
      </c>
      <c r="C337" s="1" t="s">
        <v>55</v>
      </c>
      <c r="D337" s="1">
        <v>1</v>
      </c>
      <c r="E337" s="1">
        <f>VLOOKUP(C337,Skill!B:C,2,FALSE)</f>
        <v>5</v>
      </c>
      <c r="F337" s="1" t="str">
        <f>VLOOKUP(B337,Equipment!B:N,3,FALSE)</f>
        <v>Helm</v>
      </c>
    </row>
    <row r="338" spans="1:6" ht="12.75" x14ac:dyDescent="0.2">
      <c r="A338" s="1">
        <v>328</v>
      </c>
      <c r="B338" s="1" t="s">
        <v>1039</v>
      </c>
      <c r="C338" s="1" t="s">
        <v>38</v>
      </c>
      <c r="D338" s="1">
        <v>1</v>
      </c>
      <c r="E338" s="1">
        <f>VLOOKUP(C338,Skill!B:C,2,FALSE)</f>
        <v>5</v>
      </c>
      <c r="F338" s="1" t="str">
        <f>VLOOKUP(B338,Equipment!B:N,3,FALSE)</f>
        <v>Helm</v>
      </c>
    </row>
    <row r="339" spans="1:6" ht="12.75" x14ac:dyDescent="0.2">
      <c r="A339" s="1">
        <v>329</v>
      </c>
      <c r="B339" s="1" t="s">
        <v>1040</v>
      </c>
      <c r="C339" s="1" t="s">
        <v>427</v>
      </c>
      <c r="D339" s="1">
        <v>1</v>
      </c>
      <c r="E339" s="1">
        <f>VLOOKUP(C339,Skill!B:C,2,FALSE)</f>
        <v>3</v>
      </c>
      <c r="F339" s="1" t="str">
        <f>VLOOKUP(B339,Equipment!B:N,3,FALSE)</f>
        <v>Mail</v>
      </c>
    </row>
    <row r="340" spans="1:6" ht="12.75" x14ac:dyDescent="0.2">
      <c r="A340" s="1">
        <v>330</v>
      </c>
      <c r="B340" s="1" t="s">
        <v>1040</v>
      </c>
      <c r="C340" s="1" t="s">
        <v>590</v>
      </c>
      <c r="D340" s="1">
        <v>1</v>
      </c>
      <c r="E340" s="1">
        <f>VLOOKUP(C340,Skill!B:C,2,FALSE)</f>
        <v>5</v>
      </c>
      <c r="F340" s="1" t="str">
        <f>VLOOKUP(B340,Equipment!B:N,3,FALSE)</f>
        <v>Mail</v>
      </c>
    </row>
    <row r="341" spans="1:6" ht="12.75" x14ac:dyDescent="0.2">
      <c r="A341" s="1">
        <v>331</v>
      </c>
      <c r="B341" s="1" t="s">
        <v>1040</v>
      </c>
      <c r="C341" s="1" t="s">
        <v>253</v>
      </c>
      <c r="D341" s="1">
        <v>1</v>
      </c>
      <c r="E341" s="1">
        <f>VLOOKUP(C341,Skill!B:C,2,FALSE)</f>
        <v>5</v>
      </c>
      <c r="F341" s="1" t="str">
        <f>VLOOKUP(B341,Equipment!B:N,3,FALSE)</f>
        <v>Mail</v>
      </c>
    </row>
    <row r="342" spans="1:6" ht="12.75" x14ac:dyDescent="0.2">
      <c r="A342" s="1">
        <v>332</v>
      </c>
      <c r="B342" s="1" t="s">
        <v>1043</v>
      </c>
      <c r="C342" s="1" t="s">
        <v>427</v>
      </c>
      <c r="D342" s="1">
        <v>1</v>
      </c>
      <c r="E342" s="1">
        <f>VLOOKUP(C342,Skill!B:C,2,FALSE)</f>
        <v>3</v>
      </c>
      <c r="F342" s="1" t="str">
        <f>VLOOKUP(B342,Equipment!B:N,3,FALSE)</f>
        <v>Vambraces</v>
      </c>
    </row>
    <row r="343" spans="1:6" ht="12.75" x14ac:dyDescent="0.2">
      <c r="A343" s="1">
        <v>333</v>
      </c>
      <c r="B343" s="1" t="s">
        <v>1043</v>
      </c>
      <c r="C343" s="1" t="s">
        <v>440</v>
      </c>
      <c r="D343" s="1">
        <v>1</v>
      </c>
      <c r="E343" s="1">
        <f>VLOOKUP(C343,Skill!B:C,2,FALSE)</f>
        <v>5</v>
      </c>
      <c r="F343" s="1" t="str">
        <f>VLOOKUP(B343,Equipment!B:N,3,FALSE)</f>
        <v>Vambraces</v>
      </c>
    </row>
    <row r="344" spans="1:6" ht="12.75" x14ac:dyDescent="0.2">
      <c r="A344" s="1">
        <v>334</v>
      </c>
      <c r="B344" s="1" t="s">
        <v>1043</v>
      </c>
      <c r="C344" s="1" t="s">
        <v>329</v>
      </c>
      <c r="D344" s="1">
        <v>1</v>
      </c>
      <c r="E344" s="1">
        <f>VLOOKUP(C344,Skill!B:C,2,FALSE)</f>
        <v>5</v>
      </c>
      <c r="F344" s="1" t="str">
        <f>VLOOKUP(B344,Equipment!B:N,3,FALSE)</f>
        <v>Vambraces</v>
      </c>
    </row>
    <row r="345" spans="1:6" ht="12.75" x14ac:dyDescent="0.2">
      <c r="A345" s="1">
        <v>335</v>
      </c>
      <c r="B345" s="1" t="s">
        <v>1044</v>
      </c>
      <c r="C345" s="1" t="s">
        <v>427</v>
      </c>
      <c r="D345" s="1">
        <v>1</v>
      </c>
      <c r="E345" s="1">
        <f>VLOOKUP(C345,Skill!B:C,2,FALSE)</f>
        <v>3</v>
      </c>
      <c r="F345" s="1" t="str">
        <f>VLOOKUP(B345,Equipment!B:N,3,FALSE)</f>
        <v>Coil</v>
      </c>
    </row>
    <row r="346" spans="1:6" ht="12.75" x14ac:dyDescent="0.2">
      <c r="A346" s="1">
        <v>336</v>
      </c>
      <c r="B346" s="1" t="s">
        <v>1044</v>
      </c>
      <c r="C346" s="1" t="s">
        <v>59</v>
      </c>
      <c r="D346" s="1">
        <v>1</v>
      </c>
      <c r="E346" s="1">
        <f>VLOOKUP(C346,Skill!B:C,2,FALSE)</f>
        <v>5</v>
      </c>
      <c r="F346" s="1" t="str">
        <f>VLOOKUP(B346,Equipment!B:N,3,FALSE)</f>
        <v>Coil</v>
      </c>
    </row>
    <row r="347" spans="1:6" ht="12.75" x14ac:dyDescent="0.2">
      <c r="A347" s="1">
        <v>337</v>
      </c>
      <c r="B347" s="1" t="s">
        <v>1044</v>
      </c>
      <c r="C347" s="1" t="s">
        <v>463</v>
      </c>
      <c r="D347" s="1">
        <v>1</v>
      </c>
      <c r="E347" s="1">
        <f>VLOOKUP(C347,Skill!B:C,2,FALSE)</f>
        <v>5</v>
      </c>
      <c r="F347" s="1" t="str">
        <f>VLOOKUP(B347,Equipment!B:N,3,FALSE)</f>
        <v>Coil</v>
      </c>
    </row>
    <row r="348" spans="1:6" ht="12.75" x14ac:dyDescent="0.2">
      <c r="A348" s="1">
        <v>338</v>
      </c>
      <c r="B348" s="1" t="s">
        <v>1047</v>
      </c>
      <c r="C348" s="1" t="s">
        <v>427</v>
      </c>
      <c r="D348" s="1">
        <v>1</v>
      </c>
      <c r="E348" s="1">
        <f>VLOOKUP(C348,Skill!B:C,2,FALSE)</f>
        <v>3</v>
      </c>
      <c r="F348" s="1" t="str">
        <f>VLOOKUP(B348,Equipment!B:N,3,FALSE)</f>
        <v>Greaves</v>
      </c>
    </row>
    <row r="349" spans="1:6" ht="12.75" x14ac:dyDescent="0.2">
      <c r="A349" s="1">
        <v>339</v>
      </c>
      <c r="B349" s="1" t="s">
        <v>1047</v>
      </c>
      <c r="C349" s="1" t="s">
        <v>524</v>
      </c>
      <c r="D349" s="1">
        <v>1</v>
      </c>
      <c r="E349" s="1">
        <f>VLOOKUP(C349,Skill!B:C,2,FALSE)</f>
        <v>3</v>
      </c>
      <c r="F349" s="1" t="str">
        <f>VLOOKUP(B349,Equipment!B:N,3,FALSE)</f>
        <v>Greaves</v>
      </c>
    </row>
    <row r="350" spans="1:6" ht="12.75" x14ac:dyDescent="0.2">
      <c r="A350" s="1">
        <v>340</v>
      </c>
      <c r="B350" s="1" t="s">
        <v>1047</v>
      </c>
      <c r="C350" s="1" t="s">
        <v>519</v>
      </c>
      <c r="D350" s="1">
        <v>1</v>
      </c>
      <c r="E350" s="1">
        <f>VLOOKUP(C350,Skill!B:C,2,FALSE)</f>
        <v>3</v>
      </c>
      <c r="F350" s="1" t="str">
        <f>VLOOKUP(B350,Equipment!B:N,3,FALSE)</f>
        <v>Greaves</v>
      </c>
    </row>
    <row r="351" spans="1:6" ht="12.75" x14ac:dyDescent="0.2">
      <c r="A351" s="1">
        <v>341</v>
      </c>
      <c r="B351" s="1" t="s">
        <v>1049</v>
      </c>
      <c r="C351" s="1" t="s">
        <v>602</v>
      </c>
      <c r="D351" s="1">
        <v>2</v>
      </c>
      <c r="E351" s="1">
        <f>VLOOKUP(C351,Skill!B:C,2,FALSE)</f>
        <v>5</v>
      </c>
      <c r="F351" s="1" t="str">
        <f>VLOOKUP(B351,Equipment!B:N,3,FALSE)</f>
        <v>Helm</v>
      </c>
    </row>
    <row r="352" spans="1:6" ht="12.75" x14ac:dyDescent="0.2">
      <c r="A352" s="1">
        <v>342</v>
      </c>
      <c r="B352" s="1" t="s">
        <v>1049</v>
      </c>
      <c r="C352" s="1" t="s">
        <v>253</v>
      </c>
      <c r="D352" s="1">
        <v>1</v>
      </c>
      <c r="E352" s="1">
        <f>VLOOKUP(C352,Skill!B:C,2,FALSE)</f>
        <v>5</v>
      </c>
      <c r="F352" s="1" t="str">
        <f>VLOOKUP(B352,Equipment!B:N,3,FALSE)</f>
        <v>Helm</v>
      </c>
    </row>
    <row r="353" spans="1:6" ht="12.75" x14ac:dyDescent="0.2">
      <c r="A353" s="1">
        <v>343</v>
      </c>
      <c r="B353" s="1" t="s">
        <v>1051</v>
      </c>
      <c r="C353" s="1" t="s">
        <v>59</v>
      </c>
      <c r="D353" s="1">
        <v>3</v>
      </c>
      <c r="E353" s="1">
        <f>VLOOKUP(C353,Skill!B:C,2,FALSE)</f>
        <v>5</v>
      </c>
      <c r="F353" s="1" t="str">
        <f>VLOOKUP(B353,Equipment!B:N,3,FALSE)</f>
        <v>Mail</v>
      </c>
    </row>
    <row r="354" spans="1:6" ht="12.75" x14ac:dyDescent="0.2">
      <c r="A354" s="1">
        <v>344</v>
      </c>
      <c r="B354" s="1" t="s">
        <v>1053</v>
      </c>
      <c r="C354" s="1" t="s">
        <v>553</v>
      </c>
      <c r="D354" s="1">
        <v>1</v>
      </c>
      <c r="E354" s="1">
        <f>VLOOKUP(C354,Skill!B:C,2,FALSE)</f>
        <v>5</v>
      </c>
      <c r="F354" s="1" t="str">
        <f>VLOOKUP(B354,Equipment!B:N,3,FALSE)</f>
        <v>Vambraces</v>
      </c>
    </row>
    <row r="355" spans="1:6" ht="12.75" x14ac:dyDescent="0.2">
      <c r="A355" s="1">
        <v>345</v>
      </c>
      <c r="B355" s="1" t="s">
        <v>1053</v>
      </c>
      <c r="C355" s="1" t="s">
        <v>529</v>
      </c>
      <c r="D355" s="1">
        <v>1</v>
      </c>
      <c r="E355" s="1">
        <f>VLOOKUP(C355,Skill!B:C,2,FALSE)</f>
        <v>5</v>
      </c>
      <c r="F355" s="1" t="str">
        <f>VLOOKUP(B355,Equipment!B:N,3,FALSE)</f>
        <v>Vambraces</v>
      </c>
    </row>
    <row r="356" spans="1:6" ht="12.75" x14ac:dyDescent="0.2">
      <c r="A356" s="1">
        <v>346</v>
      </c>
      <c r="B356" s="1" t="s">
        <v>1054</v>
      </c>
      <c r="C356" s="1" t="s">
        <v>553</v>
      </c>
      <c r="D356" s="1">
        <v>2</v>
      </c>
      <c r="E356" s="1">
        <f>VLOOKUP(C356,Skill!B:C,2,FALSE)</f>
        <v>5</v>
      </c>
      <c r="F356" s="1" t="str">
        <f>VLOOKUP(B356,Equipment!B:N,3,FALSE)</f>
        <v>Coil</v>
      </c>
    </row>
    <row r="357" spans="1:6" ht="12.75" x14ac:dyDescent="0.2">
      <c r="A357" s="1">
        <v>347</v>
      </c>
      <c r="B357" s="1" t="s">
        <v>1056</v>
      </c>
      <c r="C357" s="1" t="s">
        <v>375</v>
      </c>
      <c r="D357" s="1">
        <v>2</v>
      </c>
      <c r="E357" s="1">
        <f>VLOOKUP(C357,Skill!B:C,2,FALSE)</f>
        <v>5</v>
      </c>
      <c r="F357" s="1" t="str">
        <f>VLOOKUP(B357,Equipment!B:N,3,FALSE)</f>
        <v>Greaves</v>
      </c>
    </row>
    <row r="358" spans="1:6" ht="12.75" x14ac:dyDescent="0.2">
      <c r="A358" s="1">
        <v>348</v>
      </c>
      <c r="B358" s="1" t="s">
        <v>1058</v>
      </c>
      <c r="C358" s="1" t="s">
        <v>414</v>
      </c>
      <c r="D358" s="1">
        <v>1</v>
      </c>
      <c r="E358" s="1">
        <f>VLOOKUP(C358,Skill!B:C,2,FALSE)</f>
        <v>5</v>
      </c>
      <c r="F358" s="1" t="str">
        <f>VLOOKUP(B358,Equipment!B:N,3,FALSE)</f>
        <v>Helm</v>
      </c>
    </row>
    <row r="359" spans="1:6" ht="12.75" x14ac:dyDescent="0.2">
      <c r="A359" s="1">
        <v>349</v>
      </c>
      <c r="B359" s="1" t="s">
        <v>1058</v>
      </c>
      <c r="C359" s="1" t="s">
        <v>492</v>
      </c>
      <c r="D359" s="1">
        <v>1</v>
      </c>
      <c r="E359" s="1">
        <f>VLOOKUP(C359,Skill!B:C,2,FALSE)</f>
        <v>5</v>
      </c>
      <c r="F359" s="1" t="str">
        <f>VLOOKUP(B359,Equipment!B:N,3,FALSE)</f>
        <v>Helm</v>
      </c>
    </row>
    <row r="360" spans="1:6" ht="12.75" x14ac:dyDescent="0.2">
      <c r="A360" s="1">
        <v>350</v>
      </c>
      <c r="B360" s="1" t="s">
        <v>1060</v>
      </c>
      <c r="C360" s="1" t="s">
        <v>447</v>
      </c>
      <c r="D360" s="1">
        <v>2</v>
      </c>
      <c r="E360" s="1">
        <f>VLOOKUP(C360,Skill!B:C,2,FALSE)</f>
        <v>5</v>
      </c>
      <c r="F360" s="1" t="str">
        <f>VLOOKUP(B360,Equipment!B:N,3,FALSE)</f>
        <v>Mail</v>
      </c>
    </row>
    <row r="361" spans="1:6" ht="12.75" x14ac:dyDescent="0.2">
      <c r="A361" s="1">
        <v>351</v>
      </c>
      <c r="B361" s="1" t="s">
        <v>1062</v>
      </c>
      <c r="C361" s="1" t="s">
        <v>414</v>
      </c>
      <c r="D361" s="1">
        <v>2</v>
      </c>
      <c r="E361" s="1">
        <f>VLOOKUP(C361,Skill!B:C,2,FALSE)</f>
        <v>5</v>
      </c>
      <c r="F361" s="1" t="str">
        <f>VLOOKUP(B361,Equipment!B:N,3,FALSE)</f>
        <v>Vambraces</v>
      </c>
    </row>
    <row r="362" spans="1:6" ht="12.75" x14ac:dyDescent="0.2">
      <c r="A362" s="1">
        <v>352</v>
      </c>
      <c r="B362" s="1" t="s">
        <v>1064</v>
      </c>
      <c r="C362" s="1" t="s">
        <v>609</v>
      </c>
      <c r="D362" s="1">
        <v>2</v>
      </c>
      <c r="E362" s="1">
        <f>VLOOKUP(C362,Skill!B:C,2,FALSE)</f>
        <v>5</v>
      </c>
      <c r="F362" s="1" t="str">
        <f>VLOOKUP(B362,Equipment!B:N,3,FALSE)</f>
        <v>Coil</v>
      </c>
    </row>
    <row r="363" spans="1:6" ht="12.75" x14ac:dyDescent="0.2">
      <c r="A363" s="1">
        <v>353</v>
      </c>
      <c r="B363" s="1" t="s">
        <v>1064</v>
      </c>
      <c r="C363" s="1" t="s">
        <v>276</v>
      </c>
      <c r="D363" s="1">
        <v>1</v>
      </c>
      <c r="E363" s="1">
        <f>VLOOKUP(C363,Skill!B:C,2,FALSE)</f>
        <v>5</v>
      </c>
      <c r="F363" s="1" t="str">
        <f>VLOOKUP(B363,Equipment!B:N,3,FALSE)</f>
        <v>Coil</v>
      </c>
    </row>
    <row r="364" spans="1:6" ht="12.75" x14ac:dyDescent="0.2">
      <c r="A364" s="1">
        <v>354</v>
      </c>
      <c r="B364" s="1" t="s">
        <v>1065</v>
      </c>
      <c r="C364" s="1" t="s">
        <v>431</v>
      </c>
      <c r="D364" s="1">
        <v>3</v>
      </c>
      <c r="E364" s="1">
        <f>VLOOKUP(C364,Skill!B:C,2,FALSE)</f>
        <v>3</v>
      </c>
      <c r="F364" s="1" t="str">
        <f>VLOOKUP(B364,Equipment!B:N,3,FALSE)</f>
        <v>Greaves</v>
      </c>
    </row>
    <row r="365" spans="1:6" ht="12.75" x14ac:dyDescent="0.2">
      <c r="A365" s="1">
        <v>355</v>
      </c>
      <c r="B365" s="1" t="s">
        <v>1066</v>
      </c>
      <c r="C365" s="1" t="s">
        <v>262</v>
      </c>
      <c r="D365" s="1">
        <v>1</v>
      </c>
      <c r="E365" s="1">
        <f>VLOOKUP(C365,Skill!B:C,2,FALSE)</f>
        <v>3</v>
      </c>
      <c r="F365" s="1" t="str">
        <f>VLOOKUP(B365,Equipment!B:N,3,FALSE)</f>
        <v>Helm</v>
      </c>
    </row>
    <row r="366" spans="1:6" ht="12.75" x14ac:dyDescent="0.2">
      <c r="A366" s="1">
        <v>356</v>
      </c>
      <c r="B366" s="1" t="s">
        <v>1066</v>
      </c>
      <c r="C366" s="1" t="s">
        <v>253</v>
      </c>
      <c r="D366" s="1">
        <v>1</v>
      </c>
      <c r="E366" s="1">
        <f>VLOOKUP(C366,Skill!B:C,2,FALSE)</f>
        <v>5</v>
      </c>
      <c r="F366" s="1" t="str">
        <f>VLOOKUP(B366,Equipment!B:N,3,FALSE)</f>
        <v>Helm</v>
      </c>
    </row>
    <row r="367" spans="1:6" ht="12.75" x14ac:dyDescent="0.2">
      <c r="A367" s="1">
        <v>357</v>
      </c>
      <c r="B367" s="1" t="s">
        <v>1067</v>
      </c>
      <c r="C367" s="1" t="s">
        <v>566</v>
      </c>
      <c r="D367" s="1">
        <v>2</v>
      </c>
      <c r="E367" s="1">
        <f>VLOOKUP(C367,Skill!B:C,2,FALSE)</f>
        <v>5</v>
      </c>
      <c r="F367" s="1" t="str">
        <f>VLOOKUP(B367,Equipment!B:N,3,FALSE)</f>
        <v>Mail</v>
      </c>
    </row>
    <row r="368" spans="1:6" ht="12.75" x14ac:dyDescent="0.2">
      <c r="A368" s="1">
        <v>358</v>
      </c>
      <c r="B368" s="1" t="s">
        <v>1069</v>
      </c>
      <c r="C368" s="1" t="s">
        <v>262</v>
      </c>
      <c r="D368" s="1">
        <v>2</v>
      </c>
      <c r="E368" s="1">
        <f>VLOOKUP(C368,Skill!B:C,2,FALSE)</f>
        <v>3</v>
      </c>
      <c r="F368" s="1" t="str">
        <f>VLOOKUP(B368,Equipment!B:N,3,FALSE)</f>
        <v>Vambraces</v>
      </c>
    </row>
    <row r="369" spans="1:26" ht="12.75" x14ac:dyDescent="0.2">
      <c r="A369" s="1">
        <v>359</v>
      </c>
      <c r="B369" s="1" t="s">
        <v>1070</v>
      </c>
      <c r="C369" s="1" t="s">
        <v>573</v>
      </c>
      <c r="D369" s="1">
        <v>1</v>
      </c>
      <c r="E369" s="1">
        <f>VLOOKUP(C369,Skill!B:C,2,FALSE)</f>
        <v>5</v>
      </c>
      <c r="F369" s="1" t="str">
        <f>VLOOKUP(B369,Equipment!B:N,3,FALSE)</f>
        <v>Coil</v>
      </c>
    </row>
    <row r="370" spans="1:26" ht="12.75" x14ac:dyDescent="0.2">
      <c r="A370" s="1">
        <v>360</v>
      </c>
      <c r="B370" s="1" t="s">
        <v>1070</v>
      </c>
      <c r="C370" s="1" t="s">
        <v>549</v>
      </c>
      <c r="D370" s="1">
        <v>1</v>
      </c>
      <c r="E370" s="1">
        <f>VLOOKUP(C370,Skill!B:C,2,FALSE)</f>
        <v>3</v>
      </c>
      <c r="F370" s="1" t="str">
        <f>VLOOKUP(B370,Equipment!B:N,3,FALSE)</f>
        <v>Coil</v>
      </c>
    </row>
    <row r="371" spans="1:26" ht="12.75" x14ac:dyDescent="0.2">
      <c r="A371" s="1">
        <v>361</v>
      </c>
      <c r="B371" s="1" t="s">
        <v>1071</v>
      </c>
      <c r="C371" s="1" t="s">
        <v>624</v>
      </c>
      <c r="D371" s="1">
        <v>2</v>
      </c>
      <c r="E371" s="1">
        <f>VLOOKUP(C371,Skill!B:C,2,FALSE)</f>
        <v>5</v>
      </c>
      <c r="F371" s="1" t="str">
        <f>VLOOKUP(B371,Equipment!B:N,3,FALSE)</f>
        <v>Greaves</v>
      </c>
    </row>
    <row r="372" spans="1:26" ht="12.75" x14ac:dyDescent="0.2">
      <c r="A372" s="1">
        <v>362</v>
      </c>
      <c r="B372" s="1" t="s">
        <v>1073</v>
      </c>
      <c r="C372" s="1" t="s">
        <v>194</v>
      </c>
      <c r="D372" s="1">
        <v>1</v>
      </c>
      <c r="E372" s="1">
        <f>VLOOKUP(C372,Skill!B:C,2,FALSE)</f>
        <v>5</v>
      </c>
      <c r="F372" s="1" t="str">
        <f>VLOOKUP(B372,Equipment!B:N,3,FALSE)</f>
        <v>Helm</v>
      </c>
    </row>
    <row r="373" spans="1:26" ht="12.75" x14ac:dyDescent="0.2">
      <c r="A373" s="1">
        <v>363</v>
      </c>
      <c r="B373" s="1" t="s">
        <v>1073</v>
      </c>
      <c r="C373" s="1" t="s">
        <v>158</v>
      </c>
      <c r="D373" s="1">
        <v>1</v>
      </c>
      <c r="E373" s="1">
        <f>VLOOKUP(C373,Skill!B:C,2,FALSE)</f>
        <v>5</v>
      </c>
      <c r="F373" s="1" t="str">
        <f>VLOOKUP(B373,Equipment!B:N,3,FALSE)</f>
        <v>Helm</v>
      </c>
    </row>
    <row r="374" spans="1:26" ht="12.75" x14ac:dyDescent="0.2">
      <c r="A374" s="1">
        <v>364</v>
      </c>
      <c r="B374" s="1" t="s">
        <v>1075</v>
      </c>
      <c r="C374" s="1" t="s">
        <v>364</v>
      </c>
      <c r="D374" s="1">
        <v>2</v>
      </c>
      <c r="E374" s="1">
        <f>VLOOKUP(C374,Skill!B:C,2,FALSE)</f>
        <v>5</v>
      </c>
      <c r="F374" s="1" t="str">
        <f>VLOOKUP(B374,Equipment!B:N,3,FALSE)</f>
        <v>Mail</v>
      </c>
    </row>
    <row r="375" spans="1:26" ht="12.75" x14ac:dyDescent="0.2">
      <c r="A375" s="1">
        <v>365</v>
      </c>
      <c r="B375" s="1" t="s">
        <v>1075</v>
      </c>
      <c r="C375" s="1" t="s">
        <v>341</v>
      </c>
      <c r="D375" s="1">
        <v>1</v>
      </c>
      <c r="E375" s="1">
        <f>VLOOKUP(C375,Skill!B:C,2,FALSE)</f>
        <v>5</v>
      </c>
      <c r="F375" s="1" t="str">
        <f>VLOOKUP(B375,Equipment!B:N,3,FALSE)</f>
        <v>Mail</v>
      </c>
    </row>
    <row r="376" spans="1:26" ht="12.75" x14ac:dyDescent="0.2">
      <c r="A376" s="1">
        <v>366</v>
      </c>
      <c r="B376" s="1" t="s">
        <v>1076</v>
      </c>
      <c r="C376" s="1" t="s">
        <v>244</v>
      </c>
      <c r="D376" s="1">
        <v>2</v>
      </c>
      <c r="E376" s="1">
        <f>VLOOKUP(C376,Skill!B:C,2,FALSE)</f>
        <v>5</v>
      </c>
      <c r="F376" s="1" t="str">
        <f>VLOOKUP(B376,Equipment!B:N,3,FALSE)</f>
        <v>Vambraces</v>
      </c>
    </row>
    <row r="377" spans="1:26" ht="12.75" x14ac:dyDescent="0.2">
      <c r="A377" s="1">
        <v>367</v>
      </c>
      <c r="B377" s="1" t="s">
        <v>1077</v>
      </c>
      <c r="C377" s="1" t="s">
        <v>194</v>
      </c>
      <c r="D377" s="1">
        <v>2</v>
      </c>
      <c r="E377" s="1">
        <f>VLOOKUP(C377,Skill!B:C,2,FALSE)</f>
        <v>5</v>
      </c>
      <c r="F377" s="1" t="str">
        <f>VLOOKUP(B377,Equipment!B:N,3,FALSE)</f>
        <v>Coil</v>
      </c>
    </row>
    <row r="378" spans="1:26" ht="12.75" x14ac:dyDescent="0.2">
      <c r="A378" s="1">
        <v>368</v>
      </c>
      <c r="B378" s="1" t="s">
        <v>1079</v>
      </c>
      <c r="C378" s="1" t="s">
        <v>412</v>
      </c>
      <c r="D378" s="1">
        <v>1</v>
      </c>
      <c r="E378" s="1">
        <f>VLOOKUP(C378,Skill!B:C,2,FALSE)</f>
        <v>1</v>
      </c>
      <c r="F378" s="1" t="str">
        <f>VLOOKUP(B378,Equipment!B:N,3,FALSE)</f>
        <v>Greaves</v>
      </c>
    </row>
    <row r="379" spans="1:26" ht="12.75" x14ac:dyDescent="0.2">
      <c r="A379" s="1">
        <v>369</v>
      </c>
      <c r="B379" s="1" t="s">
        <v>1079</v>
      </c>
      <c r="C379" s="1" t="s">
        <v>463</v>
      </c>
      <c r="D379" s="1">
        <v>2</v>
      </c>
      <c r="E379" s="1">
        <f>VLOOKUP(C379,Skill!B:C,2,FALSE)</f>
        <v>5</v>
      </c>
      <c r="F379" s="1" t="str">
        <f>VLOOKUP(B379,Equipment!B:N,3,FALSE)</f>
        <v>Greaves</v>
      </c>
    </row>
    <row r="380" spans="1:26" ht="12.75" x14ac:dyDescent="0.2">
      <c r="A380" s="1">
        <v>362</v>
      </c>
      <c r="B380" s="1" t="s">
        <v>1081</v>
      </c>
      <c r="C380" s="1" t="s">
        <v>23</v>
      </c>
      <c r="D380" s="1">
        <v>1</v>
      </c>
      <c r="E380" s="1">
        <f>VLOOKUP(C380,Skill!B:C,2,FALSE)</f>
        <v>2</v>
      </c>
      <c r="F380" s="1" t="str">
        <f>VLOOKUP(B380,Equipment!B:N,3,FALSE)</f>
        <v>Helm</v>
      </c>
    </row>
    <row r="381" spans="1:26" ht="12.75" x14ac:dyDescent="0.2">
      <c r="A381" s="1">
        <v>363</v>
      </c>
      <c r="B381" s="1" t="s">
        <v>1081</v>
      </c>
      <c r="C381" s="1" t="s">
        <v>515</v>
      </c>
      <c r="D381" s="1">
        <v>2</v>
      </c>
      <c r="E381" s="1">
        <f>VLOOKUP(C381,Skill!B:C,2,FALSE)</f>
        <v>3</v>
      </c>
      <c r="F381" s="1" t="str">
        <f>VLOOKUP(B381,Equipment!B:N,3,FALSE)</f>
        <v>Helm</v>
      </c>
    </row>
    <row r="382" spans="1:26" ht="12.75" x14ac:dyDescent="0.2">
      <c r="A382" s="4">
        <v>364</v>
      </c>
      <c r="B382" s="3" t="s">
        <v>1085</v>
      </c>
      <c r="C382" s="3" t="s">
        <v>23</v>
      </c>
      <c r="D382" s="4">
        <v>1</v>
      </c>
      <c r="E382" s="4">
        <f>VLOOKUP(C382,Skill!B:C,2,FALSE)</f>
        <v>2</v>
      </c>
      <c r="F382" s="3" t="str">
        <f>VLOOKUP(B382,Equipment!B:N,3,FALSE)</f>
        <v>Mail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2.75" x14ac:dyDescent="0.2">
      <c r="A383" s="1">
        <v>364</v>
      </c>
      <c r="B383" s="3" t="s">
        <v>1085</v>
      </c>
      <c r="C383" s="1" t="s">
        <v>412</v>
      </c>
      <c r="D383" s="1">
        <v>1</v>
      </c>
      <c r="E383" s="1">
        <f>VLOOKUP(C383,Skill!B:C,2,FALSE)</f>
        <v>1</v>
      </c>
      <c r="F383" s="1" t="str">
        <f>VLOOKUP(B383,Equipment!B:N,3,FALSE)</f>
        <v>Mail</v>
      </c>
    </row>
    <row r="384" spans="1:26" ht="12.75" x14ac:dyDescent="0.2">
      <c r="A384" s="1">
        <v>365</v>
      </c>
      <c r="B384" s="3" t="s">
        <v>1085</v>
      </c>
      <c r="C384" s="1" t="s">
        <v>59</v>
      </c>
      <c r="D384" s="1">
        <v>1</v>
      </c>
      <c r="E384" s="1">
        <f>VLOOKUP(C384,Skill!B:C,2,FALSE)</f>
        <v>5</v>
      </c>
      <c r="F384" s="1" t="str">
        <f>VLOOKUP(B384,Equipment!B:N,3,FALSE)</f>
        <v>Mail</v>
      </c>
    </row>
    <row r="385" spans="1:6" ht="12.75" x14ac:dyDescent="0.2">
      <c r="A385" s="1">
        <v>366</v>
      </c>
      <c r="B385" s="1" t="s">
        <v>1088</v>
      </c>
      <c r="C385" s="1" t="s">
        <v>23</v>
      </c>
      <c r="D385" s="1">
        <v>1</v>
      </c>
      <c r="E385" s="1">
        <f>VLOOKUP(C385,Skill!B:C,2,FALSE)</f>
        <v>2</v>
      </c>
      <c r="F385" s="1" t="str">
        <f>VLOOKUP(B385,Equipment!B:N,3,FALSE)</f>
        <v>Vambraces</v>
      </c>
    </row>
    <row r="386" spans="1:6" ht="12.75" x14ac:dyDescent="0.2">
      <c r="A386" s="1">
        <v>366</v>
      </c>
      <c r="B386" s="1" t="s">
        <v>1088</v>
      </c>
      <c r="C386" s="1" t="s">
        <v>524</v>
      </c>
      <c r="D386" s="1">
        <v>1</v>
      </c>
      <c r="E386" s="1">
        <f>VLOOKUP(C386,Skill!B:C,2,FALSE)</f>
        <v>3</v>
      </c>
      <c r="F386" s="1" t="str">
        <f>VLOOKUP(B386,Equipment!B:N,3,FALSE)</f>
        <v>Vambraces</v>
      </c>
    </row>
    <row r="387" spans="1:6" ht="12.75" x14ac:dyDescent="0.2">
      <c r="A387" s="1">
        <v>366</v>
      </c>
      <c r="B387" s="1" t="s">
        <v>1088</v>
      </c>
      <c r="C387" s="1" t="s">
        <v>519</v>
      </c>
      <c r="D387" s="1">
        <v>1</v>
      </c>
      <c r="E387" s="1">
        <f>VLOOKUP(C387,Skill!B:C,2,FALSE)</f>
        <v>3</v>
      </c>
      <c r="F387" s="1" t="str">
        <f>VLOOKUP(B387,Equipment!B:N,3,FALSE)</f>
        <v>Vambraces</v>
      </c>
    </row>
    <row r="388" spans="1:6" ht="12.75" x14ac:dyDescent="0.2">
      <c r="A388" s="1">
        <v>366</v>
      </c>
      <c r="B388" s="1" t="s">
        <v>1090</v>
      </c>
      <c r="C388" s="1" t="s">
        <v>23</v>
      </c>
      <c r="D388" s="1">
        <v>1</v>
      </c>
      <c r="E388" s="1">
        <f>VLOOKUP(C388,Skill!B:C,2,FALSE)</f>
        <v>2</v>
      </c>
      <c r="F388" s="1" t="str">
        <f>VLOOKUP(B388,Equipment!B:N,3,FALSE)</f>
        <v>Coil</v>
      </c>
    </row>
    <row r="389" spans="1:6" ht="12.75" x14ac:dyDescent="0.2">
      <c r="A389" s="1">
        <v>365</v>
      </c>
      <c r="B389" s="3" t="s">
        <v>1085</v>
      </c>
      <c r="C389" s="1" t="s">
        <v>59</v>
      </c>
      <c r="D389" s="1">
        <v>2</v>
      </c>
      <c r="E389" s="1">
        <f>VLOOKUP(C389,Skill!B:C,2,FALSE)</f>
        <v>5</v>
      </c>
      <c r="F389" s="1" t="str">
        <f>VLOOKUP(B389,Equipment!B:N,3,FALSE)</f>
        <v>Mail</v>
      </c>
    </row>
    <row r="390" spans="1:6" ht="12.75" x14ac:dyDescent="0.2">
      <c r="A390" s="1">
        <v>368</v>
      </c>
      <c r="B390" s="1" t="s">
        <v>1092</v>
      </c>
      <c r="C390" s="1" t="s">
        <v>23</v>
      </c>
      <c r="D390" s="1">
        <v>1</v>
      </c>
      <c r="E390" s="1">
        <f>VLOOKUP(C390,Skill!B:C,2,FALSE)</f>
        <v>2</v>
      </c>
      <c r="F390" s="1" t="str">
        <f>VLOOKUP(B390,Equipment!B:N,3,FALSE)</f>
        <v>Greaves</v>
      </c>
    </row>
    <row r="391" spans="1:6" ht="12.75" x14ac:dyDescent="0.2">
      <c r="A391" s="1">
        <v>369</v>
      </c>
      <c r="B391" s="1" t="s">
        <v>1092</v>
      </c>
      <c r="C391" s="1" t="s">
        <v>432</v>
      </c>
      <c r="D391" s="1">
        <v>2</v>
      </c>
      <c r="E391" s="1">
        <f>VLOOKUP(C391,Skill!B:C,2,FALSE)</f>
        <v>5</v>
      </c>
      <c r="F391" s="1" t="str">
        <f>VLOOKUP(B391,Equipment!B:N,3,FALSE)</f>
        <v>Greaves</v>
      </c>
    </row>
    <row r="392" spans="1:6" ht="12.75" x14ac:dyDescent="0.2">
      <c r="A392" s="1">
        <v>370</v>
      </c>
      <c r="B392" s="1" t="s">
        <v>1096</v>
      </c>
      <c r="C392" s="1" t="s">
        <v>385</v>
      </c>
      <c r="D392" s="1">
        <v>1</v>
      </c>
      <c r="E392" s="1">
        <f>VLOOKUP(C392,Skill!B:C,2,FALSE)</f>
        <v>3</v>
      </c>
      <c r="F392" s="1" t="str">
        <f>VLOOKUP(B392,Equipment!B:N,3,FALSE)</f>
        <v>Helm</v>
      </c>
    </row>
    <row r="393" spans="1:6" ht="12.75" x14ac:dyDescent="0.2">
      <c r="A393" s="1">
        <v>371</v>
      </c>
      <c r="B393" s="1" t="s">
        <v>1096</v>
      </c>
      <c r="C393" s="1" t="s">
        <v>412</v>
      </c>
      <c r="D393" s="1">
        <v>1</v>
      </c>
      <c r="E393" s="1">
        <f>VLOOKUP(C393,Skill!B:C,2,FALSE)</f>
        <v>1</v>
      </c>
      <c r="F393" s="1" t="str">
        <f>VLOOKUP(B393,Equipment!B:N,3,FALSE)</f>
        <v>Helm</v>
      </c>
    </row>
    <row r="394" spans="1:6" ht="12.75" x14ac:dyDescent="0.2">
      <c r="A394" s="1">
        <v>372</v>
      </c>
      <c r="B394" s="1" t="s">
        <v>1096</v>
      </c>
      <c r="C394" s="1" t="s">
        <v>276</v>
      </c>
      <c r="D394" s="1">
        <v>1</v>
      </c>
      <c r="E394" s="1">
        <f>VLOOKUP(C394,Skill!B:C,2,FALSE)</f>
        <v>5</v>
      </c>
      <c r="F394" s="1" t="str">
        <f>VLOOKUP(B394,Equipment!B:N,3,FALSE)</f>
        <v>Helm</v>
      </c>
    </row>
    <row r="395" spans="1:6" ht="12.75" x14ac:dyDescent="0.2">
      <c r="A395" s="1">
        <v>373</v>
      </c>
      <c r="B395" s="1" t="s">
        <v>1098</v>
      </c>
      <c r="C395" s="1" t="s">
        <v>385</v>
      </c>
      <c r="D395" s="1">
        <v>1</v>
      </c>
      <c r="E395" s="1">
        <f>VLOOKUP(C395,Skill!B:C,2,FALSE)</f>
        <v>3</v>
      </c>
      <c r="F395" s="1" t="str">
        <f>VLOOKUP(B395,Equipment!B:N,3,FALSE)</f>
        <v>Mail</v>
      </c>
    </row>
    <row r="396" spans="1:6" ht="12.75" x14ac:dyDescent="0.2">
      <c r="A396" s="1">
        <v>374</v>
      </c>
      <c r="B396" s="1" t="s">
        <v>1098</v>
      </c>
      <c r="C396" s="1" t="s">
        <v>166</v>
      </c>
      <c r="D396" s="1">
        <v>1</v>
      </c>
      <c r="E396" s="1">
        <f>VLOOKUP(C396,Skill!B:C,2,FALSE)</f>
        <v>5</v>
      </c>
      <c r="F396" s="1" t="str">
        <f>VLOOKUP(B396,Equipment!B:N,3,FALSE)</f>
        <v>Mail</v>
      </c>
    </row>
    <row r="397" spans="1:6" ht="12.75" x14ac:dyDescent="0.2">
      <c r="A397" s="1">
        <v>375</v>
      </c>
      <c r="B397" s="1" t="s">
        <v>1098</v>
      </c>
      <c r="C397" s="1" t="s">
        <v>55</v>
      </c>
      <c r="D397" s="1">
        <v>1</v>
      </c>
      <c r="E397" s="1">
        <f>VLOOKUP(C397,Skill!B:C,2,FALSE)</f>
        <v>5</v>
      </c>
      <c r="F397" s="1" t="str">
        <f>VLOOKUP(B397,Equipment!B:N,3,FALSE)</f>
        <v>Mail</v>
      </c>
    </row>
    <row r="398" spans="1:6" ht="12.75" x14ac:dyDescent="0.2">
      <c r="A398" s="1">
        <v>376</v>
      </c>
      <c r="B398" s="1" t="s">
        <v>1101</v>
      </c>
      <c r="C398" s="1" t="s">
        <v>385</v>
      </c>
      <c r="D398" s="1">
        <v>1</v>
      </c>
      <c r="E398" s="1">
        <f>VLOOKUP(C398,Skill!B:C,2,FALSE)</f>
        <v>3</v>
      </c>
      <c r="F398" s="1" t="str">
        <f>VLOOKUP(B398,Equipment!B:N,3,FALSE)</f>
        <v>Vambraces</v>
      </c>
    </row>
    <row r="399" spans="1:6" ht="12.75" x14ac:dyDescent="0.2">
      <c r="A399" s="1">
        <v>377</v>
      </c>
      <c r="B399" s="1" t="s">
        <v>1101</v>
      </c>
      <c r="C399" s="1" t="s">
        <v>166</v>
      </c>
      <c r="D399" s="1">
        <v>1</v>
      </c>
      <c r="E399" s="1">
        <f>VLOOKUP(C399,Skill!B:C,2,FALSE)</f>
        <v>5</v>
      </c>
      <c r="F399" s="1" t="str">
        <f>VLOOKUP(B399,Equipment!B:N,3,FALSE)</f>
        <v>Vambraces</v>
      </c>
    </row>
    <row r="400" spans="1:6" ht="12.75" x14ac:dyDescent="0.2">
      <c r="A400" s="1">
        <v>378</v>
      </c>
      <c r="B400" s="1" t="s">
        <v>1101</v>
      </c>
      <c r="C400" s="1" t="s">
        <v>677</v>
      </c>
      <c r="D400" s="1">
        <v>1</v>
      </c>
      <c r="E400" s="1">
        <f>VLOOKUP(C400,Skill!B:C,2,FALSE)</f>
        <v>5</v>
      </c>
      <c r="F400" s="1" t="str">
        <f>VLOOKUP(B400,Equipment!B:N,3,FALSE)</f>
        <v>Vambraces</v>
      </c>
    </row>
    <row r="401" spans="1:6" ht="12.75" x14ac:dyDescent="0.2">
      <c r="A401" s="1">
        <v>379</v>
      </c>
      <c r="B401" s="1" t="s">
        <v>1104</v>
      </c>
      <c r="C401" s="1" t="s">
        <v>385</v>
      </c>
      <c r="D401" s="1">
        <v>1</v>
      </c>
      <c r="E401" s="1">
        <f>VLOOKUP(C401,Skill!B:C,2,FALSE)</f>
        <v>3</v>
      </c>
      <c r="F401" s="1" t="str">
        <f>VLOOKUP(B401,Equipment!B:N,3,FALSE)</f>
        <v>Coil</v>
      </c>
    </row>
    <row r="402" spans="1:6" ht="12.75" x14ac:dyDescent="0.2">
      <c r="A402" s="1">
        <v>380</v>
      </c>
      <c r="B402" s="1" t="s">
        <v>1104</v>
      </c>
      <c r="C402" s="1" t="s">
        <v>166</v>
      </c>
      <c r="D402" s="1">
        <v>1</v>
      </c>
      <c r="E402" s="1">
        <f>VLOOKUP(C402,Skill!B:C,2,FALSE)</f>
        <v>5</v>
      </c>
      <c r="F402" s="1" t="str">
        <f>VLOOKUP(B402,Equipment!B:N,3,FALSE)</f>
        <v>Coil</v>
      </c>
    </row>
    <row r="403" spans="1:6" ht="12.75" x14ac:dyDescent="0.2">
      <c r="A403" s="1">
        <v>381</v>
      </c>
      <c r="B403" s="1" t="s">
        <v>1104</v>
      </c>
      <c r="C403" s="1" t="s">
        <v>400</v>
      </c>
      <c r="D403" s="1">
        <v>1</v>
      </c>
      <c r="E403" s="1">
        <f>VLOOKUP(C403,Skill!B:C,2,FALSE)</f>
        <v>5</v>
      </c>
      <c r="F403" s="1" t="str">
        <f>VLOOKUP(B403,Equipment!B:N,3,FALSE)</f>
        <v>Coil</v>
      </c>
    </row>
    <row r="404" spans="1:6" ht="12.75" x14ac:dyDescent="0.2">
      <c r="A404" s="1">
        <v>382</v>
      </c>
      <c r="B404" s="1" t="s">
        <v>1106</v>
      </c>
      <c r="C404" s="1" t="s">
        <v>385</v>
      </c>
      <c r="D404" s="1">
        <v>1</v>
      </c>
      <c r="E404" s="1">
        <f>VLOOKUP(C404,Skill!B:C,2,FALSE)</f>
        <v>3</v>
      </c>
      <c r="F404" s="1" t="str">
        <f>VLOOKUP(B404,Equipment!B:N,3,FALSE)</f>
        <v>Greaves</v>
      </c>
    </row>
    <row r="405" spans="1:6" ht="12.75" x14ac:dyDescent="0.2">
      <c r="A405" s="1">
        <v>383</v>
      </c>
      <c r="B405" s="1" t="s">
        <v>1106</v>
      </c>
      <c r="C405" s="1" t="s">
        <v>519</v>
      </c>
      <c r="D405" s="1">
        <v>2</v>
      </c>
      <c r="E405" s="1">
        <f>VLOOKUP(C405,Skill!B:C,2,FALSE)</f>
        <v>3</v>
      </c>
      <c r="F405" s="1" t="str">
        <f>VLOOKUP(B405,Equipment!B:N,3,FALSE)</f>
        <v>Greaves</v>
      </c>
    </row>
    <row r="406" spans="1:6" ht="12.75" x14ac:dyDescent="0.2">
      <c r="A406" s="1">
        <v>384</v>
      </c>
      <c r="B406" s="1" t="s">
        <v>1110</v>
      </c>
      <c r="C406" s="1" t="s">
        <v>524</v>
      </c>
      <c r="D406" s="1">
        <v>2</v>
      </c>
      <c r="E406" s="1">
        <f>VLOOKUP(C406,Skill!B:C,2,FALSE)</f>
        <v>3</v>
      </c>
      <c r="F406" s="1" t="str">
        <f>VLOOKUP(B406,Equipment!B:N,3,FALSE)</f>
        <v>Helm</v>
      </c>
    </row>
    <row r="407" spans="1:6" ht="12.75" x14ac:dyDescent="0.2">
      <c r="A407" s="1">
        <v>385</v>
      </c>
      <c r="B407" s="1" t="s">
        <v>1110</v>
      </c>
      <c r="C407" s="1" t="s">
        <v>46</v>
      </c>
      <c r="D407" s="1">
        <v>1</v>
      </c>
      <c r="E407" s="1">
        <f>VLOOKUP(C407,Skill!B:C,2,FALSE)</f>
        <v>5</v>
      </c>
      <c r="F407" s="1" t="str">
        <f>VLOOKUP(B407,Equipment!B:N,3,FALSE)</f>
        <v>Helm</v>
      </c>
    </row>
    <row r="408" spans="1:6" ht="12.75" x14ac:dyDescent="0.2">
      <c r="A408" s="1">
        <v>386</v>
      </c>
      <c r="B408" s="1" t="s">
        <v>1111</v>
      </c>
      <c r="C408" s="1" t="s">
        <v>648</v>
      </c>
      <c r="D408" s="1">
        <v>3</v>
      </c>
      <c r="E408" s="1">
        <f>VLOOKUP(C408,Skill!B:C,2,FALSE)</f>
        <v>5</v>
      </c>
      <c r="F408" s="1" t="str">
        <f>VLOOKUP(B408,Equipment!B:N,3,FALSE)</f>
        <v>Mail</v>
      </c>
    </row>
    <row r="409" spans="1:6" ht="12.75" x14ac:dyDescent="0.2">
      <c r="A409" s="1">
        <v>387</v>
      </c>
      <c r="B409" s="1" t="s">
        <v>1112</v>
      </c>
      <c r="C409" s="1" t="s">
        <v>194</v>
      </c>
      <c r="D409" s="1">
        <v>2</v>
      </c>
      <c r="E409" s="1">
        <f>VLOOKUP(C409,Skill!B:C,2,FALSE)</f>
        <v>5</v>
      </c>
      <c r="F409" s="1" t="str">
        <f>VLOOKUP(B409,Equipment!B:N,3,FALSE)</f>
        <v>Vambraces</v>
      </c>
    </row>
    <row r="410" spans="1:6" ht="12.75" x14ac:dyDescent="0.2">
      <c r="A410" s="1">
        <v>388</v>
      </c>
      <c r="B410" s="1" t="s">
        <v>1115</v>
      </c>
      <c r="C410" s="1" t="s">
        <v>46</v>
      </c>
      <c r="D410" s="1">
        <v>2</v>
      </c>
      <c r="E410" s="1">
        <f>VLOOKUP(C410,Skill!B:C,2,FALSE)</f>
        <v>5</v>
      </c>
      <c r="F410" s="1" t="str">
        <f>VLOOKUP(B410,Equipment!B:N,3,FALSE)</f>
        <v>Coil</v>
      </c>
    </row>
    <row r="411" spans="1:6" ht="12.75" x14ac:dyDescent="0.2">
      <c r="A411" s="1">
        <v>389</v>
      </c>
      <c r="B411" s="1" t="s">
        <v>1117</v>
      </c>
      <c r="C411" s="1" t="s">
        <v>648</v>
      </c>
      <c r="D411" s="1">
        <v>2</v>
      </c>
      <c r="E411" s="1">
        <f>VLOOKUP(C411,Skill!B:C,2,FALSE)</f>
        <v>5</v>
      </c>
      <c r="F411" s="1" t="str">
        <f>VLOOKUP(B411,Equipment!B:N,3,FALSE)</f>
        <v>Greaves</v>
      </c>
    </row>
    <row r="412" spans="1:6" ht="12.75" x14ac:dyDescent="0.2">
      <c r="A412" s="1">
        <v>390</v>
      </c>
      <c r="B412" s="1" t="s">
        <v>1117</v>
      </c>
      <c r="C412" s="1" t="s">
        <v>80</v>
      </c>
      <c r="D412" s="1">
        <v>1</v>
      </c>
      <c r="E412" s="1">
        <f>VLOOKUP(C412,Skill!B:C,2,FALSE)</f>
        <v>5</v>
      </c>
      <c r="F412" s="1" t="str">
        <f>VLOOKUP(B412,Equipment!B:N,3,FALSE)</f>
        <v>Greaves</v>
      </c>
    </row>
    <row r="413" spans="1:6" ht="12.75" x14ac:dyDescent="0.2">
      <c r="A413" s="1">
        <v>391</v>
      </c>
      <c r="B413" s="1" t="s">
        <v>1120</v>
      </c>
      <c r="C413" s="1" t="s">
        <v>407</v>
      </c>
      <c r="D413" s="1">
        <v>1</v>
      </c>
      <c r="E413" s="1">
        <f>VLOOKUP(C413,Skill!B:C,2,FALSE)</f>
        <v>3</v>
      </c>
      <c r="F413" s="1" t="str">
        <f>VLOOKUP(B413,Equipment!B:N,3,FALSE)</f>
        <v>Helm</v>
      </c>
    </row>
    <row r="414" spans="1:6" ht="12.75" x14ac:dyDescent="0.2">
      <c r="A414" s="1">
        <v>392</v>
      </c>
      <c r="B414" s="1" t="s">
        <v>1120</v>
      </c>
      <c r="C414" s="1" t="s">
        <v>590</v>
      </c>
      <c r="D414" s="1">
        <v>2</v>
      </c>
      <c r="E414" s="1">
        <f>VLOOKUP(C414,Skill!B:C,2,FALSE)</f>
        <v>5</v>
      </c>
      <c r="F414" s="1" t="str">
        <f>VLOOKUP(B414,Equipment!B:N,3,FALSE)</f>
        <v>Helm</v>
      </c>
    </row>
    <row r="415" spans="1:6" ht="12.75" x14ac:dyDescent="0.2">
      <c r="A415" s="1">
        <v>393</v>
      </c>
      <c r="B415" s="1" t="s">
        <v>1121</v>
      </c>
      <c r="C415" s="1" t="s">
        <v>407</v>
      </c>
      <c r="D415" s="1">
        <v>1</v>
      </c>
      <c r="E415" s="1">
        <f>VLOOKUP(C415,Skill!B:C,2,FALSE)</f>
        <v>3</v>
      </c>
      <c r="F415" s="1" t="str">
        <f>VLOOKUP(B415,Equipment!B:N,3,FALSE)</f>
        <v>Mail</v>
      </c>
    </row>
    <row r="416" spans="1:6" ht="12.75" x14ac:dyDescent="0.2">
      <c r="A416" s="1">
        <v>394</v>
      </c>
      <c r="B416" s="1" t="s">
        <v>1121</v>
      </c>
      <c r="C416" s="1" t="s">
        <v>306</v>
      </c>
      <c r="D416" s="1">
        <v>2</v>
      </c>
      <c r="E416" s="1">
        <f>VLOOKUP(C416,Skill!B:C,2,FALSE)</f>
        <v>3</v>
      </c>
      <c r="F416" s="1" t="str">
        <f>VLOOKUP(B416,Equipment!B:N,3,FALSE)</f>
        <v>Mail</v>
      </c>
    </row>
    <row r="417" spans="1:6" ht="12.75" x14ac:dyDescent="0.2">
      <c r="A417" s="1">
        <v>395</v>
      </c>
      <c r="B417" s="1" t="s">
        <v>1123</v>
      </c>
      <c r="C417" s="1" t="s">
        <v>407</v>
      </c>
      <c r="D417" s="1">
        <v>2</v>
      </c>
      <c r="E417" s="1">
        <f>VLOOKUP(C417,Skill!B:C,2,FALSE)</f>
        <v>3</v>
      </c>
      <c r="F417" s="1" t="str">
        <f>VLOOKUP(B417,Equipment!B:N,3,FALSE)</f>
        <v>Vambraces</v>
      </c>
    </row>
    <row r="418" spans="1:6" ht="12.75" x14ac:dyDescent="0.2">
      <c r="A418" s="1">
        <v>396</v>
      </c>
      <c r="B418" s="1" t="s">
        <v>1125</v>
      </c>
      <c r="C418" s="1" t="s">
        <v>407</v>
      </c>
      <c r="D418" s="1">
        <v>1</v>
      </c>
      <c r="E418" s="1">
        <f>VLOOKUP(C418,Skill!B:C,2,FALSE)</f>
        <v>3</v>
      </c>
      <c r="F418" s="1" t="str">
        <f>VLOOKUP(B418,Equipment!B:N,3,FALSE)</f>
        <v>Coil</v>
      </c>
    </row>
    <row r="419" spans="1:6" ht="12.75" x14ac:dyDescent="0.2">
      <c r="A419" s="1">
        <v>397</v>
      </c>
      <c r="B419" s="1" t="s">
        <v>1125</v>
      </c>
      <c r="C419" s="1" t="s">
        <v>529</v>
      </c>
      <c r="D419" s="1">
        <v>2</v>
      </c>
      <c r="E419" s="1">
        <f>VLOOKUP(C419,Skill!B:C,2,FALSE)</f>
        <v>5</v>
      </c>
      <c r="F419" s="1" t="str">
        <f>VLOOKUP(B419,Equipment!B:N,3,FALSE)</f>
        <v>Coil</v>
      </c>
    </row>
    <row r="420" spans="1:6" ht="12.75" x14ac:dyDescent="0.2">
      <c r="A420" s="1">
        <v>398</v>
      </c>
      <c r="B420" s="1" t="s">
        <v>1127</v>
      </c>
      <c r="C420" s="1" t="s">
        <v>407</v>
      </c>
      <c r="D420" s="1">
        <v>1</v>
      </c>
      <c r="E420" s="1">
        <f>VLOOKUP(C420,Skill!B:C,2,FALSE)</f>
        <v>3</v>
      </c>
      <c r="F420" s="1" t="str">
        <f>VLOOKUP(B420,Equipment!B:N,3,FALSE)</f>
        <v>Greaves</v>
      </c>
    </row>
    <row r="421" spans="1:6" ht="12.75" x14ac:dyDescent="0.2">
      <c r="A421" s="1">
        <v>399</v>
      </c>
      <c r="B421" s="1" t="s">
        <v>1127</v>
      </c>
      <c r="C421" s="1" t="s">
        <v>262</v>
      </c>
      <c r="D421" s="1">
        <v>2</v>
      </c>
      <c r="E421" s="1">
        <f>VLOOKUP(C421,Skill!B:C,2,FALSE)</f>
        <v>3</v>
      </c>
      <c r="F421" s="1" t="str">
        <f>VLOOKUP(B421,Equipment!B:N,3,FALSE)</f>
        <v>Greaves</v>
      </c>
    </row>
    <row r="422" spans="1:6" ht="12.75" x14ac:dyDescent="0.2">
      <c r="A422" s="1">
        <v>400</v>
      </c>
      <c r="B422" s="1" t="s">
        <v>1128</v>
      </c>
      <c r="C422" s="1" t="s">
        <v>560</v>
      </c>
      <c r="D422" s="1">
        <v>1</v>
      </c>
      <c r="E422" s="1">
        <f>VLOOKUP(C422,Skill!B:C,2,FALSE)</f>
        <v>5</v>
      </c>
      <c r="F422" s="1" t="str">
        <f>VLOOKUP(B422,Equipment!B:N,3,FALSE)</f>
        <v>Helm</v>
      </c>
    </row>
    <row r="423" spans="1:6" ht="12.75" x14ac:dyDescent="0.2">
      <c r="A423" s="1">
        <v>401</v>
      </c>
      <c r="B423" s="1" t="s">
        <v>1128</v>
      </c>
      <c r="C423" s="1" t="s">
        <v>553</v>
      </c>
      <c r="D423" s="1">
        <v>1</v>
      </c>
      <c r="E423" s="1">
        <f>VLOOKUP(C423,Skill!B:C,2,FALSE)</f>
        <v>5</v>
      </c>
      <c r="F423" s="1" t="str">
        <f>VLOOKUP(B423,Equipment!B:N,3,FALSE)</f>
        <v>Helm</v>
      </c>
    </row>
    <row r="424" spans="1:6" ht="12.75" x14ac:dyDescent="0.2">
      <c r="A424" s="1">
        <v>402</v>
      </c>
      <c r="B424" s="1" t="s">
        <v>1130</v>
      </c>
      <c r="C424" s="1" t="s">
        <v>560</v>
      </c>
      <c r="D424" s="1">
        <v>3</v>
      </c>
      <c r="E424" s="1">
        <f>VLOOKUP(C424,Skill!B:C,2,FALSE)</f>
        <v>5</v>
      </c>
      <c r="F424" s="1" t="str">
        <f>VLOOKUP(B424,Equipment!B:N,3,FALSE)</f>
        <v>Mail</v>
      </c>
    </row>
    <row r="425" spans="1:6" ht="12.75" x14ac:dyDescent="0.2">
      <c r="A425" s="1">
        <v>403</v>
      </c>
      <c r="B425" s="1" t="s">
        <v>1131</v>
      </c>
      <c r="C425" s="1" t="s">
        <v>311</v>
      </c>
      <c r="D425" s="1">
        <v>2</v>
      </c>
      <c r="E425" s="1">
        <f>VLOOKUP(C425,Skill!B:C,2,FALSE)</f>
        <v>5</v>
      </c>
      <c r="F425" s="1" t="str">
        <f>VLOOKUP(B425,Equipment!B:N,3,FALSE)</f>
        <v>Vambraces</v>
      </c>
    </row>
    <row r="426" spans="1:6" ht="12.75" x14ac:dyDescent="0.2">
      <c r="A426" s="1">
        <v>404</v>
      </c>
      <c r="B426" s="1" t="s">
        <v>1131</v>
      </c>
      <c r="C426" s="1" t="s">
        <v>158</v>
      </c>
      <c r="D426" s="1">
        <v>1</v>
      </c>
      <c r="E426" s="1">
        <f>VLOOKUP(C426,Skill!B:C,2,FALSE)</f>
        <v>5</v>
      </c>
      <c r="F426" s="1" t="str">
        <f>VLOOKUP(B426,Equipment!B:N,3,FALSE)</f>
        <v>Vambraces</v>
      </c>
    </row>
    <row r="427" spans="1:6" ht="12.75" x14ac:dyDescent="0.2">
      <c r="A427" s="1">
        <v>405</v>
      </c>
      <c r="B427" s="1" t="s">
        <v>1132</v>
      </c>
      <c r="C427" s="1" t="s">
        <v>414</v>
      </c>
      <c r="D427" s="1">
        <v>2</v>
      </c>
      <c r="E427" s="1">
        <f>VLOOKUP(C427,Skill!B:C,2,FALSE)</f>
        <v>5</v>
      </c>
      <c r="F427" s="1" t="str">
        <f>VLOOKUP(B427,Equipment!B:N,3,FALSE)</f>
        <v>Coil</v>
      </c>
    </row>
    <row r="428" spans="1:6" ht="12.75" x14ac:dyDescent="0.2">
      <c r="A428" s="1">
        <v>406</v>
      </c>
      <c r="B428" s="1" t="s">
        <v>1134</v>
      </c>
      <c r="C428" s="1" t="s">
        <v>194</v>
      </c>
      <c r="D428" s="1">
        <v>1</v>
      </c>
      <c r="E428" s="1">
        <f>VLOOKUP(C428,Skill!B:C,2,FALSE)</f>
        <v>5</v>
      </c>
      <c r="F428" s="1" t="str">
        <f>VLOOKUP(B428,Equipment!B:N,3,FALSE)</f>
        <v>Greaves</v>
      </c>
    </row>
    <row r="429" spans="1:6" ht="12.75" x14ac:dyDescent="0.2">
      <c r="A429" s="1">
        <v>407</v>
      </c>
      <c r="B429" s="1" t="s">
        <v>1134</v>
      </c>
      <c r="C429" s="1" t="s">
        <v>602</v>
      </c>
      <c r="D429" s="1">
        <v>1</v>
      </c>
      <c r="E429" s="1">
        <f>VLOOKUP(C429,Skill!B:C,2,FALSE)</f>
        <v>5</v>
      </c>
      <c r="F429" s="1" t="str">
        <f>VLOOKUP(B429,Equipment!B:N,3,FALSE)</f>
        <v>Greaves</v>
      </c>
    </row>
    <row r="430" spans="1:6" ht="12.75" x14ac:dyDescent="0.2">
      <c r="A430" s="1">
        <v>408</v>
      </c>
      <c r="B430" s="1" t="s">
        <v>1136</v>
      </c>
      <c r="C430" s="1" t="s">
        <v>509</v>
      </c>
      <c r="D430" s="1">
        <v>2</v>
      </c>
      <c r="E430" s="1">
        <f>VLOOKUP(C430,Skill!B:C,2,FALSE)</f>
        <v>5</v>
      </c>
      <c r="F430" s="1" t="str">
        <f>VLOOKUP(B430,Equipment!B:N,3,FALSE)</f>
        <v>Helm</v>
      </c>
    </row>
    <row r="431" spans="1:6" ht="12.75" x14ac:dyDescent="0.2">
      <c r="A431" s="1">
        <v>409</v>
      </c>
      <c r="B431" s="1" t="s">
        <v>1138</v>
      </c>
      <c r="C431" s="1" t="s">
        <v>412</v>
      </c>
      <c r="D431" s="1">
        <v>1</v>
      </c>
      <c r="E431" s="1">
        <f>VLOOKUP(C431,Skill!B:C,2,FALSE)</f>
        <v>1</v>
      </c>
      <c r="F431" s="1" t="str">
        <f>VLOOKUP(B431,Equipment!B:N,3,FALSE)</f>
        <v>Mail</v>
      </c>
    </row>
    <row r="432" spans="1:6" ht="12.75" x14ac:dyDescent="0.2">
      <c r="A432" s="1">
        <v>410</v>
      </c>
      <c r="B432" s="1" t="s">
        <v>1138</v>
      </c>
      <c r="C432" s="1" t="s">
        <v>509</v>
      </c>
      <c r="D432" s="1">
        <v>2</v>
      </c>
      <c r="E432" s="1">
        <f>VLOOKUP(C432,Skill!B:C,2,FALSE)</f>
        <v>5</v>
      </c>
      <c r="F432" s="1" t="str">
        <f>VLOOKUP(B432,Equipment!B:N,3,FALSE)</f>
        <v>Mail</v>
      </c>
    </row>
    <row r="433" spans="1:6" ht="12.75" x14ac:dyDescent="0.2">
      <c r="A433" s="1">
        <v>411</v>
      </c>
      <c r="B433" s="1" t="s">
        <v>1140</v>
      </c>
      <c r="C433" s="1" t="s">
        <v>677</v>
      </c>
      <c r="D433" s="1">
        <v>2</v>
      </c>
      <c r="E433" s="1">
        <f>VLOOKUP(C433,Skill!B:C,2,FALSE)</f>
        <v>5</v>
      </c>
      <c r="F433" s="1" t="str">
        <f>VLOOKUP(B433,Equipment!B:N,3,FALSE)</f>
        <v>Vambraces</v>
      </c>
    </row>
    <row r="434" spans="1:6" ht="12.75" x14ac:dyDescent="0.2">
      <c r="A434" s="1">
        <v>412</v>
      </c>
      <c r="B434" s="1" t="s">
        <v>1142</v>
      </c>
      <c r="C434" s="1" t="s">
        <v>504</v>
      </c>
      <c r="D434" s="1">
        <v>2</v>
      </c>
      <c r="E434" s="1">
        <f>VLOOKUP(C434,Skill!B:C,2,FALSE)</f>
        <v>3</v>
      </c>
      <c r="F434" s="1" t="str">
        <f>VLOOKUP(B434,Equipment!B:N,3,FALSE)</f>
        <v>Coil</v>
      </c>
    </row>
    <row r="435" spans="1:6" ht="12.75" x14ac:dyDescent="0.2">
      <c r="A435" s="1">
        <v>413</v>
      </c>
      <c r="B435" s="1" t="s">
        <v>1142</v>
      </c>
      <c r="C435" s="1" t="s">
        <v>590</v>
      </c>
      <c r="D435" s="1">
        <v>1</v>
      </c>
      <c r="E435" s="1">
        <f>VLOOKUP(C435,Skill!B:C,2,FALSE)</f>
        <v>5</v>
      </c>
      <c r="F435" s="1" t="str">
        <f>VLOOKUP(B435,Equipment!B:N,3,FALSE)</f>
        <v>Coil</v>
      </c>
    </row>
    <row r="436" spans="1:6" ht="12.75" x14ac:dyDescent="0.2">
      <c r="A436" s="1">
        <v>414</v>
      </c>
      <c r="B436" s="1" t="s">
        <v>1144</v>
      </c>
      <c r="C436" s="1" t="s">
        <v>144</v>
      </c>
      <c r="D436" s="1">
        <v>2</v>
      </c>
      <c r="E436" s="1">
        <f>VLOOKUP(C436,Skill!B:C,2,FALSE)</f>
        <v>5</v>
      </c>
      <c r="F436" s="1" t="str">
        <f>VLOOKUP(B436,Equipment!B:N,3,FALSE)</f>
        <v>Greaves</v>
      </c>
    </row>
    <row r="437" spans="1:6" ht="12.75" x14ac:dyDescent="0.2">
      <c r="A437" s="1">
        <v>415</v>
      </c>
      <c r="B437" s="1" t="s">
        <v>1144</v>
      </c>
      <c r="C437" s="1" t="s">
        <v>38</v>
      </c>
      <c r="D437" s="1">
        <v>1</v>
      </c>
      <c r="E437" s="1">
        <f>VLOOKUP(C437,Skill!B:C,2,FALSE)</f>
        <v>5</v>
      </c>
      <c r="F437" s="1" t="str">
        <f>VLOOKUP(B437,Equipment!B:N,3,FALSE)</f>
        <v>Greaves</v>
      </c>
    </row>
    <row r="438" spans="1:6" ht="12.75" x14ac:dyDescent="0.2">
      <c r="A438" s="1">
        <v>416</v>
      </c>
      <c r="B438" s="1" t="s">
        <v>1145</v>
      </c>
      <c r="C438" s="1" t="s">
        <v>152</v>
      </c>
      <c r="D438" s="1">
        <v>1</v>
      </c>
      <c r="E438" s="1">
        <f>VLOOKUP(C438,Skill!B:C,2,FALSE)</f>
        <v>3</v>
      </c>
      <c r="F438" s="1" t="str">
        <f>VLOOKUP(B438,Equipment!B:N,3,FALSE)</f>
        <v>Helm</v>
      </c>
    </row>
    <row r="439" spans="1:6" ht="12.75" x14ac:dyDescent="0.2">
      <c r="A439" s="1">
        <v>417</v>
      </c>
      <c r="B439" s="1" t="s">
        <v>1145</v>
      </c>
      <c r="C439" s="1" t="s">
        <v>483</v>
      </c>
      <c r="D439" s="1">
        <v>1</v>
      </c>
      <c r="E439" s="1">
        <f>VLOOKUP(C439,Skill!B:C,2,FALSE)</f>
        <v>5</v>
      </c>
      <c r="F439" s="1" t="str">
        <f>VLOOKUP(B439,Equipment!B:N,3,FALSE)</f>
        <v>Helm</v>
      </c>
    </row>
    <row r="440" spans="1:6" ht="12.75" x14ac:dyDescent="0.2">
      <c r="A440" s="1">
        <v>418</v>
      </c>
      <c r="B440" s="1" t="s">
        <v>1145</v>
      </c>
      <c r="C440" s="1" t="s">
        <v>624</v>
      </c>
      <c r="D440" s="1">
        <v>1</v>
      </c>
      <c r="E440" s="1">
        <f>VLOOKUP(C440,Skill!B:C,2,FALSE)</f>
        <v>5</v>
      </c>
      <c r="F440" s="1" t="str">
        <f>VLOOKUP(B440,Equipment!B:N,3,FALSE)</f>
        <v>Helm</v>
      </c>
    </row>
    <row r="441" spans="1:6" ht="12.75" x14ac:dyDescent="0.2">
      <c r="A441" s="1">
        <v>419</v>
      </c>
      <c r="B441" s="1" t="s">
        <v>1149</v>
      </c>
      <c r="C441" s="1" t="s">
        <v>152</v>
      </c>
      <c r="D441" s="1">
        <v>1</v>
      </c>
      <c r="E441" s="1">
        <f>VLOOKUP(C441,Skill!B:C,2,FALSE)</f>
        <v>3</v>
      </c>
      <c r="F441" s="1" t="str">
        <f>VLOOKUP(B441,Equipment!B:N,3,FALSE)</f>
        <v>Mail</v>
      </c>
    </row>
    <row r="442" spans="1:6" ht="12.75" x14ac:dyDescent="0.2">
      <c r="A442" s="1">
        <v>420</v>
      </c>
      <c r="B442" s="1" t="s">
        <v>1149</v>
      </c>
      <c r="C442" s="1" t="s">
        <v>311</v>
      </c>
      <c r="D442" s="1">
        <v>2</v>
      </c>
      <c r="E442" s="1">
        <f>VLOOKUP(C442,Skill!B:C,2,FALSE)</f>
        <v>5</v>
      </c>
      <c r="F442" s="1" t="str">
        <f>VLOOKUP(B442,Equipment!B:N,3,FALSE)</f>
        <v>Mail</v>
      </c>
    </row>
    <row r="443" spans="1:6" ht="12.75" x14ac:dyDescent="0.2">
      <c r="A443" s="1">
        <v>421</v>
      </c>
      <c r="B443" s="1" t="s">
        <v>1153</v>
      </c>
      <c r="C443" s="1" t="s">
        <v>152</v>
      </c>
      <c r="D443" s="1">
        <v>1</v>
      </c>
      <c r="E443" s="1">
        <f>VLOOKUP(C443,Skill!B:C,2,FALSE)</f>
        <v>3</v>
      </c>
      <c r="F443" s="1" t="str">
        <f>VLOOKUP(B443,Equipment!B:N,3,FALSE)</f>
        <v>Vambraces</v>
      </c>
    </row>
    <row r="444" spans="1:6" ht="12.75" x14ac:dyDescent="0.2">
      <c r="A444" s="1">
        <v>422</v>
      </c>
      <c r="B444" s="1" t="s">
        <v>1153</v>
      </c>
      <c r="C444" s="1" t="s">
        <v>648</v>
      </c>
      <c r="D444" s="1">
        <v>2</v>
      </c>
      <c r="E444" s="1">
        <f>VLOOKUP(C444,Skill!B:C,2,FALSE)</f>
        <v>5</v>
      </c>
      <c r="F444" s="1" t="str">
        <f>VLOOKUP(B444,Equipment!B:N,3,FALSE)</f>
        <v>Vambraces</v>
      </c>
    </row>
    <row r="445" spans="1:6" ht="12.75" x14ac:dyDescent="0.2">
      <c r="A445" s="1">
        <v>423</v>
      </c>
      <c r="B445" s="1" t="s">
        <v>1156</v>
      </c>
      <c r="C445" s="1" t="s">
        <v>152</v>
      </c>
      <c r="D445" s="1">
        <v>1</v>
      </c>
      <c r="E445" s="1">
        <f>VLOOKUP(C445,Skill!B:C,2,FALSE)</f>
        <v>3</v>
      </c>
      <c r="F445" s="1" t="str">
        <f>VLOOKUP(B445,Equipment!B:N,3,FALSE)</f>
        <v>Coil</v>
      </c>
    </row>
    <row r="446" spans="1:6" ht="12.75" x14ac:dyDescent="0.2">
      <c r="A446" s="1">
        <v>424</v>
      </c>
      <c r="B446" s="1" t="s">
        <v>1156</v>
      </c>
      <c r="C446" s="1" t="s">
        <v>483</v>
      </c>
      <c r="D446" s="1">
        <v>2</v>
      </c>
      <c r="E446" s="1">
        <f>VLOOKUP(C446,Skill!B:C,2,FALSE)</f>
        <v>5</v>
      </c>
      <c r="F446" s="1" t="str">
        <f>VLOOKUP(B446,Equipment!B:N,3,FALSE)</f>
        <v>Coil</v>
      </c>
    </row>
    <row r="447" spans="1:6" ht="12.75" x14ac:dyDescent="0.2">
      <c r="A447" s="1">
        <v>425</v>
      </c>
      <c r="B447" s="1" t="s">
        <v>1161</v>
      </c>
      <c r="C447" s="1" t="s">
        <v>152</v>
      </c>
      <c r="D447" s="1">
        <v>1</v>
      </c>
      <c r="E447" s="1">
        <f>VLOOKUP(C447,Skill!B:C,2,FALSE)</f>
        <v>3</v>
      </c>
      <c r="F447" s="1" t="str">
        <f>VLOOKUP(B447,Equipment!B:N,3,FALSE)</f>
        <v>Greaves</v>
      </c>
    </row>
    <row r="448" spans="1:6" ht="12.75" x14ac:dyDescent="0.2">
      <c r="A448" s="1">
        <v>426</v>
      </c>
      <c r="B448" s="1" t="s">
        <v>1161</v>
      </c>
      <c r="C448" s="1" t="s">
        <v>440</v>
      </c>
      <c r="D448" s="1">
        <v>1</v>
      </c>
      <c r="E448" s="1">
        <f>VLOOKUP(C448,Skill!B:C,2,FALSE)</f>
        <v>5</v>
      </c>
      <c r="F448" s="1" t="str">
        <f>VLOOKUP(B448,Equipment!B:N,3,FALSE)</f>
        <v>Greaves</v>
      </c>
    </row>
    <row r="449" spans="1:6" ht="12.75" x14ac:dyDescent="0.2">
      <c r="A449" s="1">
        <v>427</v>
      </c>
      <c r="B449" s="1" t="s">
        <v>1161</v>
      </c>
      <c r="C449" s="1" t="s">
        <v>329</v>
      </c>
      <c r="D449" s="1">
        <v>1</v>
      </c>
      <c r="E449" s="1">
        <f>VLOOKUP(C449,Skill!B:C,2,FALSE)</f>
        <v>5</v>
      </c>
      <c r="F449" s="1" t="str">
        <f>VLOOKUP(B449,Equipment!B:N,3,FALSE)</f>
        <v>Greaves</v>
      </c>
    </row>
    <row r="450" spans="1:6" ht="12.75" x14ac:dyDescent="0.2">
      <c r="A450" s="1">
        <v>428</v>
      </c>
      <c r="B450" s="1" t="s">
        <v>1164</v>
      </c>
      <c r="C450" s="1" t="s">
        <v>492</v>
      </c>
      <c r="D450" s="1">
        <v>2</v>
      </c>
      <c r="E450" s="1">
        <f>VLOOKUP(C450,Skill!B:C,2,FALSE)</f>
        <v>5</v>
      </c>
      <c r="F450" s="1" t="str">
        <f>VLOOKUP(B450,Equipment!B:N,3,FALSE)</f>
        <v>Helm</v>
      </c>
    </row>
    <row r="451" spans="1:6" ht="12.75" x14ac:dyDescent="0.2">
      <c r="A451" s="1">
        <v>429</v>
      </c>
      <c r="B451" s="1" t="s">
        <v>1167</v>
      </c>
      <c r="C451" s="1" t="s">
        <v>284</v>
      </c>
      <c r="D451" s="1">
        <v>1</v>
      </c>
      <c r="E451" s="1">
        <f>VLOOKUP(C451,Skill!B:C,2,FALSE)</f>
        <v>5</v>
      </c>
      <c r="F451" s="1" t="str">
        <f>VLOOKUP(B451,Equipment!B:N,3,FALSE)</f>
        <v>Mail</v>
      </c>
    </row>
    <row r="452" spans="1:6" ht="12.75" x14ac:dyDescent="0.2">
      <c r="A452" s="1">
        <v>430</v>
      </c>
      <c r="B452" s="1" t="s">
        <v>1167</v>
      </c>
      <c r="C452" s="1" t="s">
        <v>519</v>
      </c>
      <c r="D452" s="1">
        <v>1</v>
      </c>
      <c r="E452" s="1">
        <f>VLOOKUP(C452,Skill!B:C,2,FALSE)</f>
        <v>3</v>
      </c>
      <c r="F452" s="1" t="str">
        <f>VLOOKUP(B452,Equipment!B:N,3,FALSE)</f>
        <v>Mail</v>
      </c>
    </row>
    <row r="453" spans="1:6" ht="12.75" x14ac:dyDescent="0.2">
      <c r="A453" s="1">
        <v>431</v>
      </c>
      <c r="B453" s="1" t="s">
        <v>1168</v>
      </c>
      <c r="C453" s="1" t="s">
        <v>55</v>
      </c>
      <c r="D453" s="1">
        <v>2</v>
      </c>
      <c r="E453" s="1">
        <f>VLOOKUP(C453,Skill!B:C,2,FALSE)</f>
        <v>5</v>
      </c>
      <c r="F453" s="1" t="str">
        <f>VLOOKUP(B453,Equipment!B:N,3,FALSE)</f>
        <v>Vambraces</v>
      </c>
    </row>
    <row r="454" spans="1:6" ht="12.75" x14ac:dyDescent="0.2">
      <c r="A454" s="1">
        <v>432</v>
      </c>
      <c r="B454" s="1" t="s">
        <v>1171</v>
      </c>
      <c r="C454" s="1" t="s">
        <v>329</v>
      </c>
      <c r="D454" s="1">
        <v>2</v>
      </c>
      <c r="E454" s="1">
        <f>VLOOKUP(C454,Skill!B:C,2,FALSE)</f>
        <v>5</v>
      </c>
      <c r="F454" s="1" t="str">
        <f>VLOOKUP(B454,Equipment!B:N,3,FALSE)</f>
        <v>Coil</v>
      </c>
    </row>
    <row r="455" spans="1:6" ht="12.75" x14ac:dyDescent="0.2">
      <c r="A455" s="1">
        <v>433</v>
      </c>
      <c r="B455" s="1" t="s">
        <v>1173</v>
      </c>
      <c r="C455" s="1" t="s">
        <v>284</v>
      </c>
      <c r="D455" s="1">
        <v>2</v>
      </c>
      <c r="E455" s="1">
        <f>VLOOKUP(C455,Skill!B:C,2,FALSE)</f>
        <v>5</v>
      </c>
      <c r="F455" s="1" t="str">
        <f>VLOOKUP(B455,Equipment!B:N,3,FALSE)</f>
        <v>Greaves</v>
      </c>
    </row>
    <row r="456" spans="1:6" ht="12.75" x14ac:dyDescent="0.2">
      <c r="A456" s="1">
        <v>434</v>
      </c>
      <c r="B456" s="1" t="s">
        <v>1175</v>
      </c>
      <c r="C456" s="1" t="s">
        <v>453</v>
      </c>
      <c r="D456" s="1">
        <v>2</v>
      </c>
      <c r="E456" s="1">
        <f>VLOOKUP(C456,Skill!B:C,2,FALSE)</f>
        <v>5</v>
      </c>
      <c r="F456" s="1" t="str">
        <f>VLOOKUP(B456,Equipment!B:N,3,FALSE)</f>
        <v>Helm</v>
      </c>
    </row>
    <row r="457" spans="1:6" ht="12.75" x14ac:dyDescent="0.2">
      <c r="A457" s="1">
        <v>435</v>
      </c>
      <c r="B457" s="1" t="s">
        <v>1179</v>
      </c>
      <c r="C457" s="1" t="s">
        <v>524</v>
      </c>
      <c r="D457" s="1">
        <v>1</v>
      </c>
      <c r="E457" s="1">
        <f>VLOOKUP(C457,Skill!B:C,2,FALSE)</f>
        <v>3</v>
      </c>
      <c r="F457" s="1" t="str">
        <f>VLOOKUP(B457,Equipment!B:N,3,FALSE)</f>
        <v>Mail</v>
      </c>
    </row>
    <row r="458" spans="1:6" ht="12.75" x14ac:dyDescent="0.2">
      <c r="A458" s="1">
        <v>436</v>
      </c>
      <c r="B458" s="1" t="s">
        <v>1179</v>
      </c>
      <c r="C458" s="1" t="s">
        <v>144</v>
      </c>
      <c r="D458" s="1">
        <v>2</v>
      </c>
      <c r="E458" s="1">
        <f>VLOOKUP(C458,Skill!B:C,2,FALSE)</f>
        <v>5</v>
      </c>
      <c r="F458" s="1" t="str">
        <f>VLOOKUP(B458,Equipment!B:N,3,FALSE)</f>
        <v>Mail</v>
      </c>
    </row>
    <row r="459" spans="1:6" ht="12.75" x14ac:dyDescent="0.2">
      <c r="A459" s="1">
        <v>437</v>
      </c>
      <c r="B459" s="1" t="s">
        <v>1182</v>
      </c>
      <c r="C459" s="1" t="s">
        <v>583</v>
      </c>
      <c r="D459" s="1">
        <v>2</v>
      </c>
      <c r="E459" s="1">
        <f>VLOOKUP(C459,Skill!B:C,2,FALSE)</f>
        <v>5</v>
      </c>
      <c r="F459" s="1" t="str">
        <f>VLOOKUP(B459,Equipment!B:N,3,FALSE)</f>
        <v>Vambraces</v>
      </c>
    </row>
    <row r="460" spans="1:6" ht="12.75" x14ac:dyDescent="0.2">
      <c r="A460" s="1">
        <v>438</v>
      </c>
      <c r="B460" s="1" t="s">
        <v>1182</v>
      </c>
      <c r="C460" s="1" t="s">
        <v>566</v>
      </c>
      <c r="D460" s="1">
        <v>1</v>
      </c>
      <c r="E460" s="1">
        <f>VLOOKUP(C460,Skill!B:C,2,FALSE)</f>
        <v>5</v>
      </c>
      <c r="F460" s="1" t="str">
        <f>VLOOKUP(B460,Equipment!B:N,3,FALSE)</f>
        <v>Vambraces</v>
      </c>
    </row>
    <row r="461" spans="1:6" ht="12.75" x14ac:dyDescent="0.2">
      <c r="A461" s="1">
        <v>439</v>
      </c>
      <c r="B461" s="1" t="s">
        <v>1183</v>
      </c>
      <c r="C461" s="1" t="s">
        <v>453</v>
      </c>
      <c r="D461" s="1">
        <v>1</v>
      </c>
      <c r="E461" s="1">
        <f>VLOOKUP(C461,Skill!B:C,2,FALSE)</f>
        <v>5</v>
      </c>
      <c r="F461" s="1" t="str">
        <f>VLOOKUP(B461,Equipment!B:N,3,FALSE)</f>
        <v>Coil</v>
      </c>
    </row>
    <row r="462" spans="1:6" ht="12.75" x14ac:dyDescent="0.2">
      <c r="A462" s="1">
        <v>440</v>
      </c>
      <c r="B462" s="1" t="s">
        <v>1183</v>
      </c>
      <c r="C462" s="1" t="s">
        <v>560</v>
      </c>
      <c r="D462" s="1">
        <v>2</v>
      </c>
      <c r="E462" s="1">
        <f>VLOOKUP(C462,Skill!B:C,2,FALSE)</f>
        <v>5</v>
      </c>
      <c r="F462" s="1" t="str">
        <f>VLOOKUP(B462,Equipment!B:N,3,FALSE)</f>
        <v>Coil</v>
      </c>
    </row>
    <row r="463" spans="1:6" ht="12.75" x14ac:dyDescent="0.2">
      <c r="A463" s="1">
        <v>441</v>
      </c>
      <c r="B463" s="1" t="s">
        <v>1186</v>
      </c>
      <c r="C463" s="1" t="s">
        <v>504</v>
      </c>
      <c r="D463" s="1">
        <v>1</v>
      </c>
      <c r="E463" s="1">
        <f>VLOOKUP(C463,Skill!B:C,2,FALSE)</f>
        <v>3</v>
      </c>
      <c r="F463" s="1" t="str">
        <f>VLOOKUP(B463,Equipment!B:N,3,FALSE)</f>
        <v>Greaves</v>
      </c>
    </row>
    <row r="464" spans="1:6" ht="12.75" x14ac:dyDescent="0.2">
      <c r="A464" s="1">
        <v>442</v>
      </c>
      <c r="B464" s="1" t="s">
        <v>1186</v>
      </c>
      <c r="C464" s="1" t="s">
        <v>311</v>
      </c>
      <c r="D464" s="1">
        <v>2</v>
      </c>
      <c r="E464" s="1">
        <f>VLOOKUP(C464,Skill!B:C,2,FALSE)</f>
        <v>5</v>
      </c>
      <c r="F464" s="1" t="str">
        <f>VLOOKUP(B464,Equipment!B:N,3,FALSE)</f>
        <v>Greaves</v>
      </c>
    </row>
    <row r="465" spans="1:6" ht="12.75" x14ac:dyDescent="0.2">
      <c r="A465" s="1">
        <v>443</v>
      </c>
      <c r="B465" s="1" t="s">
        <v>1190</v>
      </c>
      <c r="C465" s="1" t="s">
        <v>470</v>
      </c>
      <c r="D465" s="1">
        <v>3</v>
      </c>
      <c r="E465" s="1">
        <f>VLOOKUP(C465,Skill!B:C,2,FALSE)</f>
        <v>5</v>
      </c>
      <c r="F465" s="1" t="str">
        <f>VLOOKUP(B465,Equipment!B:N,3,FALSE)</f>
        <v>Helm</v>
      </c>
    </row>
    <row r="466" spans="1:6" ht="12.75" x14ac:dyDescent="0.2">
      <c r="A466" s="1">
        <v>444</v>
      </c>
      <c r="B466" s="1" t="s">
        <v>1193</v>
      </c>
      <c r="C466" s="1" t="s">
        <v>116</v>
      </c>
      <c r="D466" s="1">
        <v>1</v>
      </c>
      <c r="E466" s="1">
        <f>VLOOKUP(C466,Skill!B:C,2,FALSE)</f>
        <v>5</v>
      </c>
      <c r="F466" s="1" t="str">
        <f>VLOOKUP(B466,Equipment!B:N,3,FALSE)</f>
        <v>Mail</v>
      </c>
    </row>
    <row r="467" spans="1:6" ht="12.75" x14ac:dyDescent="0.2">
      <c r="A467" s="1">
        <v>445</v>
      </c>
      <c r="B467" s="1" t="s">
        <v>1193</v>
      </c>
      <c r="C467" s="1" t="s">
        <v>583</v>
      </c>
      <c r="D467" s="1">
        <v>2</v>
      </c>
      <c r="E467" s="1">
        <f>VLOOKUP(C467,Skill!B:C,2,FALSE)</f>
        <v>5</v>
      </c>
      <c r="F467" s="1" t="str">
        <f>VLOOKUP(B467,Equipment!B:N,3,FALSE)</f>
        <v>Mail</v>
      </c>
    </row>
    <row r="468" spans="1:6" ht="12.75" x14ac:dyDescent="0.2">
      <c r="A468" s="1">
        <v>446</v>
      </c>
      <c r="B468" s="1" t="s">
        <v>1194</v>
      </c>
      <c r="C468" s="1" t="s">
        <v>412</v>
      </c>
      <c r="D468" s="1">
        <v>1</v>
      </c>
      <c r="E468" s="1">
        <f>VLOOKUP(C468,Skill!B:C,2,FALSE)</f>
        <v>1</v>
      </c>
      <c r="F468" s="1" t="str">
        <f>VLOOKUP(B468,Equipment!B:N,3,FALSE)</f>
        <v>Vambraces</v>
      </c>
    </row>
    <row r="469" spans="1:6" ht="12.75" x14ac:dyDescent="0.2">
      <c r="A469" s="1">
        <v>447</v>
      </c>
      <c r="B469" s="1" t="s">
        <v>1194</v>
      </c>
      <c r="C469" s="1" t="s">
        <v>311</v>
      </c>
      <c r="D469" s="1">
        <v>2</v>
      </c>
      <c r="E469" s="1">
        <f>VLOOKUP(C469,Skill!B:C,2,FALSE)</f>
        <v>5</v>
      </c>
      <c r="F469" s="1" t="str">
        <f>VLOOKUP(B469,Equipment!B:N,3,FALSE)</f>
        <v>Vambraces</v>
      </c>
    </row>
    <row r="470" spans="1:6" ht="12.75" x14ac:dyDescent="0.2">
      <c r="A470" s="1">
        <v>448</v>
      </c>
      <c r="B470" s="1" t="s">
        <v>1195</v>
      </c>
      <c r="C470" s="1" t="s">
        <v>221</v>
      </c>
      <c r="D470" s="1">
        <v>2</v>
      </c>
      <c r="E470" s="1">
        <f>VLOOKUP(C470,Skill!B:C,2,FALSE)</f>
        <v>3</v>
      </c>
      <c r="F470" s="1" t="str">
        <f>VLOOKUP(B470,Equipment!B:N,3,FALSE)</f>
        <v>Coil</v>
      </c>
    </row>
    <row r="471" spans="1:6" ht="12.75" x14ac:dyDescent="0.2">
      <c r="A471" s="1">
        <v>449</v>
      </c>
      <c r="B471" s="1" t="s">
        <v>1195</v>
      </c>
      <c r="C471" s="1" t="s">
        <v>375</v>
      </c>
      <c r="D471" s="1">
        <v>1</v>
      </c>
      <c r="E471" s="1">
        <f>VLOOKUP(C471,Skill!B:C,2,FALSE)</f>
        <v>5</v>
      </c>
      <c r="F471" s="1" t="str">
        <f>VLOOKUP(B471,Equipment!B:N,3,FALSE)</f>
        <v>Coil</v>
      </c>
    </row>
    <row r="472" spans="1:6" ht="12.75" x14ac:dyDescent="0.2">
      <c r="A472" s="1">
        <v>450</v>
      </c>
      <c r="B472" s="1" t="s">
        <v>1198</v>
      </c>
      <c r="C472" s="1" t="s">
        <v>116</v>
      </c>
      <c r="D472" s="1">
        <v>2</v>
      </c>
      <c r="E472" s="1">
        <f>VLOOKUP(C472,Skill!B:C,2,FALSE)</f>
        <v>5</v>
      </c>
      <c r="F472" s="1" t="str">
        <f>VLOOKUP(B472,Equipment!B:N,3,FALSE)</f>
        <v>Greaves</v>
      </c>
    </row>
    <row r="473" spans="1:6" ht="12.75" x14ac:dyDescent="0.2">
      <c r="A473" s="1">
        <v>451</v>
      </c>
      <c r="B473" s="1" t="s">
        <v>1199</v>
      </c>
      <c r="C473" s="1" t="s">
        <v>276</v>
      </c>
      <c r="D473" s="1">
        <v>1</v>
      </c>
      <c r="E473" s="1">
        <f>VLOOKUP(C473,Skill!B:C,2,FALSE)</f>
        <v>5</v>
      </c>
      <c r="F473" s="1" t="str">
        <f>VLOOKUP(B473,Equipment!B:N,3,FALSE)</f>
        <v>Helm</v>
      </c>
    </row>
    <row r="474" spans="1:6" ht="12.75" x14ac:dyDescent="0.2">
      <c r="A474" s="1">
        <v>452</v>
      </c>
      <c r="B474" s="1" t="s">
        <v>1199</v>
      </c>
      <c r="C474" s="1" t="s">
        <v>311</v>
      </c>
      <c r="D474" s="1">
        <v>1</v>
      </c>
      <c r="E474" s="1">
        <f>VLOOKUP(C474,Skill!B:C,2,FALSE)</f>
        <v>5</v>
      </c>
      <c r="F474" s="1" t="str">
        <f>VLOOKUP(B474,Equipment!B:N,3,FALSE)</f>
        <v>Helm</v>
      </c>
    </row>
    <row r="475" spans="1:6" ht="12.75" x14ac:dyDescent="0.2">
      <c r="A475" s="1">
        <v>453</v>
      </c>
      <c r="B475" s="1" t="s">
        <v>1200</v>
      </c>
      <c r="C475" s="1" t="s">
        <v>166</v>
      </c>
      <c r="D475" s="1">
        <v>2</v>
      </c>
      <c r="E475" s="1">
        <f>VLOOKUP(C475,Skill!B:C,2,FALSE)</f>
        <v>5</v>
      </c>
      <c r="F475" s="1" t="str">
        <f>VLOOKUP(B475,Equipment!B:N,3,FALSE)</f>
        <v>Mail</v>
      </c>
    </row>
    <row r="476" spans="1:6" ht="12.75" x14ac:dyDescent="0.2">
      <c r="A476" s="1">
        <v>454</v>
      </c>
      <c r="B476" s="1" t="s">
        <v>1200</v>
      </c>
      <c r="C476" s="1" t="s">
        <v>412</v>
      </c>
      <c r="D476" s="1">
        <v>1</v>
      </c>
      <c r="E476" s="1">
        <f>VLOOKUP(C476,Skill!B:C,2,FALSE)</f>
        <v>1</v>
      </c>
      <c r="F476" s="1" t="str">
        <f>VLOOKUP(B476,Equipment!B:N,3,FALSE)</f>
        <v>Mail</v>
      </c>
    </row>
    <row r="477" spans="1:6" ht="12.75" x14ac:dyDescent="0.2">
      <c r="A477" s="1">
        <v>455</v>
      </c>
      <c r="B477" s="1" t="s">
        <v>1203</v>
      </c>
      <c r="C477" s="1" t="s">
        <v>132</v>
      </c>
      <c r="D477" s="1">
        <v>2</v>
      </c>
      <c r="E477" s="1">
        <f>VLOOKUP(C477,Skill!B:C,2,FALSE)</f>
        <v>5</v>
      </c>
      <c r="F477" s="1" t="str">
        <f>VLOOKUP(B477,Equipment!B:N,3,FALSE)</f>
        <v>Vambraces</v>
      </c>
    </row>
    <row r="478" spans="1:6" ht="12.75" x14ac:dyDescent="0.2">
      <c r="A478" s="1">
        <v>456</v>
      </c>
      <c r="B478" s="1" t="s">
        <v>1206</v>
      </c>
      <c r="C478" s="1" t="s">
        <v>262</v>
      </c>
      <c r="D478" s="1">
        <v>2</v>
      </c>
      <c r="E478" s="1">
        <f>VLOOKUP(C478,Skill!B:C,2,FALSE)</f>
        <v>3</v>
      </c>
      <c r="F478" s="1" t="str">
        <f>VLOOKUP(B478,Equipment!B:N,3,FALSE)</f>
        <v>Coil</v>
      </c>
    </row>
    <row r="479" spans="1:6" ht="12.75" x14ac:dyDescent="0.2">
      <c r="A479" s="1">
        <v>457</v>
      </c>
      <c r="B479" s="1" t="s">
        <v>1206</v>
      </c>
      <c r="C479" s="1" t="s">
        <v>470</v>
      </c>
      <c r="D479" s="1">
        <v>1</v>
      </c>
      <c r="E479" s="1">
        <f>VLOOKUP(C479,Skill!B:C,2,FALSE)</f>
        <v>5</v>
      </c>
      <c r="F479" s="1" t="str">
        <f>VLOOKUP(B479,Equipment!B:N,3,FALSE)</f>
        <v>Coil</v>
      </c>
    </row>
    <row r="480" spans="1:6" ht="12.75" x14ac:dyDescent="0.2">
      <c r="A480" s="1">
        <v>458</v>
      </c>
      <c r="B480" s="1" t="s">
        <v>1209</v>
      </c>
      <c r="C480" s="1" t="s">
        <v>132</v>
      </c>
      <c r="D480" s="1">
        <v>2</v>
      </c>
      <c r="E480" s="1">
        <f>VLOOKUP(C480,Skill!B:C,2,FALSE)</f>
        <v>5</v>
      </c>
      <c r="F480" s="1" t="str">
        <f>VLOOKUP(B480,Equipment!B:N,3,FALSE)</f>
        <v>Greaves</v>
      </c>
    </row>
    <row r="481" spans="1:6" ht="12.75" x14ac:dyDescent="0.2">
      <c r="A481" s="1">
        <v>459</v>
      </c>
      <c r="B481" s="1" t="s">
        <v>1209</v>
      </c>
      <c r="C481" s="1" t="s">
        <v>38</v>
      </c>
      <c r="D481" s="1">
        <v>1</v>
      </c>
      <c r="E481" s="1">
        <f>VLOOKUP(C481,Skill!B:C,2,FALSE)</f>
        <v>5</v>
      </c>
      <c r="F481" s="1" t="str">
        <f>VLOOKUP(B481,Equipment!B:N,3,FALSE)</f>
        <v>Greaves</v>
      </c>
    </row>
    <row r="482" spans="1:6" ht="12.75" x14ac:dyDescent="0.2">
      <c r="A482" s="1">
        <v>460</v>
      </c>
      <c r="B482" s="1" t="s">
        <v>1212</v>
      </c>
      <c r="C482" s="1" t="s">
        <v>423</v>
      </c>
      <c r="D482" s="1">
        <v>1</v>
      </c>
      <c r="E482" s="1">
        <f>VLOOKUP(C482,Skill!B:C,2,FALSE)</f>
        <v>3</v>
      </c>
      <c r="F482" s="1" t="str">
        <f>VLOOKUP(B482,Equipment!B:N,3,FALSE)</f>
        <v>Helm</v>
      </c>
    </row>
    <row r="483" spans="1:6" ht="12.75" x14ac:dyDescent="0.2">
      <c r="A483" s="1">
        <v>461</v>
      </c>
      <c r="B483" s="1" t="s">
        <v>1212</v>
      </c>
      <c r="C483" s="1" t="s">
        <v>524</v>
      </c>
      <c r="D483" s="1">
        <v>1</v>
      </c>
      <c r="E483" s="1">
        <f>VLOOKUP(C483,Skill!B:C,2,FALSE)</f>
        <v>3</v>
      </c>
      <c r="F483" s="1" t="str">
        <f>VLOOKUP(B483,Equipment!B:N,3,FALSE)</f>
        <v>Helm</v>
      </c>
    </row>
    <row r="484" spans="1:6" ht="12.75" x14ac:dyDescent="0.2">
      <c r="A484" s="1">
        <v>462</v>
      </c>
      <c r="B484" s="1" t="s">
        <v>1212</v>
      </c>
      <c r="C484" s="1" t="s">
        <v>519</v>
      </c>
      <c r="D484" s="1">
        <v>1</v>
      </c>
      <c r="E484" s="1">
        <f>VLOOKUP(C484,Skill!B:C,2,FALSE)</f>
        <v>3</v>
      </c>
      <c r="F484" s="1" t="str">
        <f>VLOOKUP(B484,Equipment!B:N,3,FALSE)</f>
        <v>Helm</v>
      </c>
    </row>
    <row r="485" spans="1:6" ht="12.75" x14ac:dyDescent="0.2">
      <c r="A485" s="1">
        <v>463</v>
      </c>
      <c r="B485" s="1" t="s">
        <v>1216</v>
      </c>
      <c r="C485" s="1" t="s">
        <v>423</v>
      </c>
      <c r="D485" s="1">
        <v>1</v>
      </c>
      <c r="E485" s="1">
        <f>VLOOKUP(C485,Skill!B:C,2,FALSE)</f>
        <v>3</v>
      </c>
      <c r="F485" s="1" t="str">
        <f>VLOOKUP(B485,Equipment!B:N,3,FALSE)</f>
        <v>Mail</v>
      </c>
    </row>
    <row r="486" spans="1:6" ht="12.75" x14ac:dyDescent="0.2">
      <c r="A486" s="1">
        <v>464</v>
      </c>
      <c r="B486" s="1" t="s">
        <v>1216</v>
      </c>
      <c r="C486" s="1" t="s">
        <v>400</v>
      </c>
      <c r="D486" s="1">
        <v>1</v>
      </c>
      <c r="E486" s="1">
        <f>VLOOKUP(C486,Skill!B:C,2,FALSE)</f>
        <v>5</v>
      </c>
      <c r="F486" s="1" t="str">
        <f>VLOOKUP(B486,Equipment!B:N,3,FALSE)</f>
        <v>Mail</v>
      </c>
    </row>
    <row r="487" spans="1:6" ht="12.75" x14ac:dyDescent="0.2">
      <c r="A487" s="1">
        <v>465</v>
      </c>
      <c r="B487" s="1" t="s">
        <v>1216</v>
      </c>
      <c r="C487" s="1" t="s">
        <v>166</v>
      </c>
      <c r="D487" s="1">
        <v>1</v>
      </c>
      <c r="E487" s="1">
        <f>VLOOKUP(C487,Skill!B:C,2,FALSE)</f>
        <v>5</v>
      </c>
      <c r="F487" s="1" t="str">
        <f>VLOOKUP(B487,Equipment!B:N,3,FALSE)</f>
        <v>Mail</v>
      </c>
    </row>
    <row r="488" spans="1:6" ht="12.75" x14ac:dyDescent="0.2">
      <c r="A488" s="1">
        <v>466</v>
      </c>
      <c r="B488" s="1" t="s">
        <v>1219</v>
      </c>
      <c r="C488" s="1" t="s">
        <v>423</v>
      </c>
      <c r="D488" s="1">
        <v>1</v>
      </c>
      <c r="E488" s="1">
        <f>VLOOKUP(C488,Skill!B:C,2,FALSE)</f>
        <v>3</v>
      </c>
      <c r="F488" s="1" t="str">
        <f>VLOOKUP(B488,Equipment!B:N,3,FALSE)</f>
        <v>Vambraces</v>
      </c>
    </row>
    <row r="489" spans="1:6" ht="12.75" x14ac:dyDescent="0.2">
      <c r="A489" s="1">
        <v>467</v>
      </c>
      <c r="B489" s="1" t="s">
        <v>1219</v>
      </c>
      <c r="C489" s="1" t="s">
        <v>55</v>
      </c>
      <c r="D489" s="1">
        <v>1</v>
      </c>
      <c r="E489" s="1">
        <f>VLOOKUP(C489,Skill!B:C,2,FALSE)</f>
        <v>5</v>
      </c>
      <c r="F489" s="1" t="str">
        <f>VLOOKUP(B489,Equipment!B:N,3,FALSE)</f>
        <v>Vambraces</v>
      </c>
    </row>
    <row r="490" spans="1:6" ht="12.75" x14ac:dyDescent="0.2">
      <c r="A490" s="1">
        <v>468</v>
      </c>
      <c r="B490" s="1" t="s">
        <v>1219</v>
      </c>
      <c r="C490" s="1" t="s">
        <v>677</v>
      </c>
      <c r="D490" s="1">
        <v>1</v>
      </c>
      <c r="E490" s="1">
        <f>VLOOKUP(C490,Skill!B:C,2,FALSE)</f>
        <v>5</v>
      </c>
      <c r="F490" s="1" t="str">
        <f>VLOOKUP(B490,Equipment!B:N,3,FALSE)</f>
        <v>Vambraces</v>
      </c>
    </row>
    <row r="491" spans="1:6" ht="12.75" x14ac:dyDescent="0.2">
      <c r="A491" s="1">
        <v>469</v>
      </c>
      <c r="B491" s="1" t="s">
        <v>1220</v>
      </c>
      <c r="C491" s="1" t="s">
        <v>423</v>
      </c>
      <c r="D491" s="1">
        <v>1</v>
      </c>
      <c r="E491" s="1">
        <f>VLOOKUP(C491,Skill!B:C,2,FALSE)</f>
        <v>3</v>
      </c>
      <c r="F491" s="1" t="str">
        <f>VLOOKUP(B491,Equipment!B:N,3,FALSE)</f>
        <v>Coil</v>
      </c>
    </row>
    <row r="492" spans="1:6" ht="12.75" x14ac:dyDescent="0.2">
      <c r="A492" s="1">
        <v>470</v>
      </c>
      <c r="B492" s="1" t="s">
        <v>1220</v>
      </c>
      <c r="C492" s="1" t="s">
        <v>597</v>
      </c>
      <c r="D492" s="1">
        <v>2</v>
      </c>
      <c r="E492" s="1">
        <f>VLOOKUP(C492,Skill!B:C,2,FALSE)</f>
        <v>5</v>
      </c>
      <c r="F492" s="1" t="str">
        <f>VLOOKUP(B492,Equipment!B:N,3,FALSE)</f>
        <v>Coil</v>
      </c>
    </row>
    <row r="493" spans="1:6" ht="12.75" x14ac:dyDescent="0.2">
      <c r="A493" s="1">
        <v>471</v>
      </c>
      <c r="B493" s="1" t="s">
        <v>1223</v>
      </c>
      <c r="C493" s="1" t="s">
        <v>423</v>
      </c>
      <c r="D493" s="1">
        <v>1</v>
      </c>
      <c r="E493" s="1">
        <f>VLOOKUP(C493,Skill!B:C,2,FALSE)</f>
        <v>3</v>
      </c>
      <c r="F493" s="1" t="str">
        <f>VLOOKUP(B493,Equipment!B:N,3,FALSE)</f>
        <v>Greaves</v>
      </c>
    </row>
    <row r="494" spans="1:6" ht="12.75" x14ac:dyDescent="0.2">
      <c r="A494" s="1">
        <v>472</v>
      </c>
      <c r="B494" s="1" t="s">
        <v>1223</v>
      </c>
      <c r="C494" s="1" t="s">
        <v>28</v>
      </c>
      <c r="D494" s="1">
        <v>2</v>
      </c>
      <c r="E494" s="1">
        <f>VLOOKUP(C494,Skill!B:C,2,FALSE)</f>
        <v>5</v>
      </c>
      <c r="F494" s="1" t="str">
        <f>VLOOKUP(B494,Equipment!B:N,3,FALSE)</f>
        <v>Greaves</v>
      </c>
    </row>
    <row r="495" spans="1:6" ht="12.75" x14ac:dyDescent="0.2">
      <c r="A495" s="1">
        <v>473</v>
      </c>
      <c r="B495" s="1" t="s">
        <v>1225</v>
      </c>
      <c r="C495" s="1" t="s">
        <v>194</v>
      </c>
      <c r="D495" s="1">
        <v>2</v>
      </c>
      <c r="E495" s="1">
        <f>VLOOKUP(C495,Skill!B:C,2,FALSE)</f>
        <v>5</v>
      </c>
      <c r="F495" s="1" t="str">
        <f>VLOOKUP(B495,Equipment!B:N,3,FALSE)</f>
        <v>Helm</v>
      </c>
    </row>
    <row r="496" spans="1:6" ht="12.75" x14ac:dyDescent="0.2">
      <c r="A496" s="1">
        <v>474</v>
      </c>
      <c r="B496" s="1" t="s">
        <v>1227</v>
      </c>
      <c r="C496" s="1" t="s">
        <v>338</v>
      </c>
      <c r="D496" s="1">
        <v>1</v>
      </c>
      <c r="E496" s="1">
        <f>VLOOKUP(C496,Skill!B:C,2,FALSE)</f>
        <v>1</v>
      </c>
      <c r="F496" s="1" t="str">
        <f>VLOOKUP(B496,Equipment!B:N,3,FALSE)</f>
        <v>Mail</v>
      </c>
    </row>
    <row r="497" spans="1:6" ht="12.75" x14ac:dyDescent="0.2">
      <c r="A497" s="1">
        <v>475</v>
      </c>
      <c r="B497" s="1" t="s">
        <v>1227</v>
      </c>
      <c r="C497" s="1" t="s">
        <v>329</v>
      </c>
      <c r="D497" s="1">
        <v>1</v>
      </c>
      <c r="E497" s="1">
        <f>VLOOKUP(C497,Skill!B:C,2,FALSE)</f>
        <v>5</v>
      </c>
      <c r="F497" s="1" t="str">
        <f>VLOOKUP(B497,Equipment!B:N,3,FALSE)</f>
        <v>Mail</v>
      </c>
    </row>
    <row r="498" spans="1:6" ht="12.75" x14ac:dyDescent="0.2">
      <c r="A498" s="1">
        <v>476</v>
      </c>
      <c r="B498" s="1" t="s">
        <v>1229</v>
      </c>
      <c r="C498" s="1" t="s">
        <v>515</v>
      </c>
      <c r="D498" s="1">
        <v>2</v>
      </c>
      <c r="E498" s="1">
        <f>VLOOKUP(C498,Skill!B:C,2,FALSE)</f>
        <v>3</v>
      </c>
      <c r="F498" s="1" t="str">
        <f>VLOOKUP(B498,Equipment!B:N,3,FALSE)</f>
        <v>Vambraces</v>
      </c>
    </row>
    <row r="499" spans="1:6" ht="12.75" x14ac:dyDescent="0.2">
      <c r="A499" s="1">
        <v>477</v>
      </c>
      <c r="B499" s="1" t="s">
        <v>1232</v>
      </c>
      <c r="C499" s="1" t="s">
        <v>515</v>
      </c>
      <c r="D499" s="1">
        <v>1</v>
      </c>
      <c r="E499" s="1">
        <f>VLOOKUP(C499,Skill!B:C,2,FALSE)</f>
        <v>3</v>
      </c>
      <c r="F499" s="1" t="str">
        <f>VLOOKUP(B499,Equipment!B:N,3,FALSE)</f>
        <v>Coil</v>
      </c>
    </row>
    <row r="500" spans="1:6" ht="12.75" x14ac:dyDescent="0.2">
      <c r="A500" s="1">
        <v>478</v>
      </c>
      <c r="B500" s="1" t="s">
        <v>1232</v>
      </c>
      <c r="C500" s="1" t="s">
        <v>524</v>
      </c>
      <c r="D500" s="1">
        <v>2</v>
      </c>
      <c r="E500" s="1">
        <f>VLOOKUP(C500,Skill!B:C,2,FALSE)</f>
        <v>3</v>
      </c>
      <c r="F500" s="1" t="str">
        <f>VLOOKUP(B500,Equipment!B:N,3,FALSE)</f>
        <v>Coil</v>
      </c>
    </row>
    <row r="501" spans="1:6" ht="12.75" x14ac:dyDescent="0.2">
      <c r="A501" s="1">
        <v>479</v>
      </c>
      <c r="B501" s="1" t="s">
        <v>1236</v>
      </c>
      <c r="C501" s="1" t="s">
        <v>515</v>
      </c>
      <c r="D501" s="1">
        <v>1</v>
      </c>
      <c r="E501" s="1">
        <f>VLOOKUP(C501,Skill!B:C,2,FALSE)</f>
        <v>3</v>
      </c>
      <c r="F501" s="1" t="str">
        <f>VLOOKUP(B501,Equipment!B:N,3,FALSE)</f>
        <v>Greaves</v>
      </c>
    </row>
    <row r="502" spans="1:6" ht="12.75" x14ac:dyDescent="0.2">
      <c r="A502" s="1">
        <v>480</v>
      </c>
      <c r="B502" s="1" t="s">
        <v>1236</v>
      </c>
      <c r="C502" s="1" t="s">
        <v>412</v>
      </c>
      <c r="D502" s="1">
        <v>1</v>
      </c>
      <c r="E502" s="1">
        <f>VLOOKUP(C502,Skill!B:C,2,FALSE)</f>
        <v>1</v>
      </c>
      <c r="F502" s="1" t="str">
        <f>VLOOKUP(B502,Equipment!B:N,3,FALSE)</f>
        <v>Greaves</v>
      </c>
    </row>
    <row r="503" spans="1:6" ht="12.75" x14ac:dyDescent="0.2">
      <c r="A503" s="1">
        <v>481</v>
      </c>
      <c r="B503" s="1" t="s">
        <v>1239</v>
      </c>
      <c r="C503" s="1" t="s">
        <v>519</v>
      </c>
      <c r="D503" s="1">
        <v>2</v>
      </c>
      <c r="E503" s="1">
        <f>VLOOKUP(C503,Skill!B:C,2,FALSE)</f>
        <v>3</v>
      </c>
      <c r="F503" s="1" t="str">
        <f>VLOOKUP(B503,Equipment!B:N,3,FALSE)</f>
        <v>Helm</v>
      </c>
    </row>
    <row r="504" spans="1:6" ht="12.75" x14ac:dyDescent="0.2">
      <c r="A504" s="1">
        <v>482</v>
      </c>
      <c r="B504" s="1" t="s">
        <v>1239</v>
      </c>
      <c r="C504" s="1" t="s">
        <v>70</v>
      </c>
      <c r="D504" s="1">
        <v>1</v>
      </c>
      <c r="E504" s="1">
        <f>VLOOKUP(C504,Skill!B:C,2,FALSE)</f>
        <v>3</v>
      </c>
      <c r="F504" s="1" t="str">
        <f>VLOOKUP(B504,Equipment!B:N,3,FALSE)</f>
        <v>Helm</v>
      </c>
    </row>
    <row r="505" spans="1:6" ht="12.75" x14ac:dyDescent="0.2">
      <c r="A505" s="1">
        <v>483</v>
      </c>
      <c r="B505" s="1" t="s">
        <v>1242</v>
      </c>
      <c r="C505" s="1" t="s">
        <v>659</v>
      </c>
      <c r="D505" s="1">
        <v>2</v>
      </c>
      <c r="E505" s="1">
        <f>VLOOKUP(C505,Skill!B:C,2,FALSE)</f>
        <v>3</v>
      </c>
      <c r="F505" s="1" t="str">
        <f>VLOOKUP(B505,Equipment!B:N,3,FALSE)</f>
        <v>Mail</v>
      </c>
    </row>
    <row r="506" spans="1:6" ht="12.75" x14ac:dyDescent="0.2">
      <c r="A506" s="1">
        <v>484</v>
      </c>
      <c r="B506" s="1" t="s">
        <v>1245</v>
      </c>
      <c r="C506" s="1" t="s">
        <v>116</v>
      </c>
      <c r="D506" s="1">
        <v>2</v>
      </c>
      <c r="E506" s="1">
        <f>VLOOKUP(C506,Skill!B:C,2,FALSE)</f>
        <v>5</v>
      </c>
      <c r="F506" s="1" t="str">
        <f>VLOOKUP(B506,Equipment!B:N,3,FALSE)</f>
        <v>Vambraces</v>
      </c>
    </row>
    <row r="507" spans="1:6" ht="12.75" x14ac:dyDescent="0.2">
      <c r="A507" s="1">
        <v>485</v>
      </c>
      <c r="B507" s="1" t="s">
        <v>1246</v>
      </c>
      <c r="C507" s="1" t="s">
        <v>348</v>
      </c>
      <c r="D507" s="1">
        <v>3</v>
      </c>
      <c r="E507" s="1">
        <f>VLOOKUP(C507,Skill!B:C,2,FALSE)</f>
        <v>5</v>
      </c>
      <c r="F507" s="1" t="str">
        <f>VLOOKUP(B507,Equipment!B:N,3,FALSE)</f>
        <v>Coil</v>
      </c>
    </row>
    <row r="508" spans="1:6" ht="12.75" x14ac:dyDescent="0.2">
      <c r="A508" s="1">
        <v>486</v>
      </c>
      <c r="B508" s="1" t="s">
        <v>1249</v>
      </c>
      <c r="C508" s="1" t="s">
        <v>70</v>
      </c>
      <c r="D508" s="1">
        <v>2</v>
      </c>
      <c r="E508" s="1">
        <f>VLOOKUP(C508,Skill!B:C,2,FALSE)</f>
        <v>3</v>
      </c>
      <c r="F508" s="1" t="str">
        <f>VLOOKUP(B508,Equipment!B:N,3,FALSE)</f>
        <v>Greaves</v>
      </c>
    </row>
    <row r="509" spans="1:6" ht="12.75" x14ac:dyDescent="0.2">
      <c r="A509" s="1">
        <v>487</v>
      </c>
      <c r="B509" s="1" t="s">
        <v>1249</v>
      </c>
      <c r="C509" s="1" t="s">
        <v>144</v>
      </c>
      <c r="D509" s="1">
        <v>1</v>
      </c>
      <c r="E509" s="1">
        <f>VLOOKUP(C509,Skill!B:C,2,FALSE)</f>
        <v>5</v>
      </c>
      <c r="F509" s="1" t="str">
        <f>VLOOKUP(B509,Equipment!B:N,3,FALSE)</f>
        <v>Greaves</v>
      </c>
    </row>
    <row r="510" spans="1:6" ht="12.75" x14ac:dyDescent="0.2">
      <c r="A510" s="1">
        <v>488</v>
      </c>
      <c r="B510" s="1" t="s">
        <v>1253</v>
      </c>
      <c r="C510" s="1" t="s">
        <v>654</v>
      </c>
      <c r="D510" s="1">
        <v>1</v>
      </c>
      <c r="E510" s="1">
        <f>VLOOKUP(C510,Skill!B:C,2,FALSE)</f>
        <v>3</v>
      </c>
      <c r="F510" s="1" t="str">
        <f>VLOOKUP(B510,Equipment!B:N,3,FALSE)</f>
        <v>Helm</v>
      </c>
    </row>
    <row r="511" spans="1:6" ht="12.75" x14ac:dyDescent="0.2">
      <c r="A511" s="1">
        <v>489</v>
      </c>
      <c r="B511" s="1" t="s">
        <v>1253</v>
      </c>
      <c r="C511" s="1" t="s">
        <v>348</v>
      </c>
      <c r="D511" s="1">
        <v>1</v>
      </c>
      <c r="E511" s="1">
        <f>VLOOKUP(C511,Skill!B:C,2,FALSE)</f>
        <v>5</v>
      </c>
      <c r="F511" s="1" t="str">
        <f>VLOOKUP(B511,Equipment!B:N,3,FALSE)</f>
        <v>Helm</v>
      </c>
    </row>
    <row r="512" spans="1:6" ht="12.75" x14ac:dyDescent="0.2">
      <c r="A512" s="1">
        <v>490</v>
      </c>
      <c r="B512" s="1" t="s">
        <v>1257</v>
      </c>
      <c r="C512" s="1" t="s">
        <v>498</v>
      </c>
      <c r="D512" s="1">
        <v>3</v>
      </c>
      <c r="E512" s="1">
        <f>VLOOKUP(C512,Skill!B:C,2,FALSE)</f>
        <v>5</v>
      </c>
      <c r="F512" s="1" t="str">
        <f>VLOOKUP(B512,Equipment!B:N,3,FALSE)</f>
        <v>Mail</v>
      </c>
    </row>
    <row r="513" spans="1:6" ht="12.75" x14ac:dyDescent="0.2">
      <c r="A513" s="1">
        <v>491</v>
      </c>
      <c r="B513" s="1" t="s">
        <v>1259</v>
      </c>
      <c r="C513" s="1" t="s">
        <v>615</v>
      </c>
      <c r="D513" s="1">
        <v>2</v>
      </c>
      <c r="E513" s="1">
        <f>VLOOKUP(C513,Skill!B:C,2,FALSE)</f>
        <v>5</v>
      </c>
      <c r="F513" s="1" t="str">
        <f>VLOOKUP(B513,Equipment!B:N,3,FALSE)</f>
        <v>Vambraces</v>
      </c>
    </row>
    <row r="514" spans="1:6" ht="12.75" x14ac:dyDescent="0.2">
      <c r="A514" s="1">
        <v>492</v>
      </c>
      <c r="B514" s="1" t="s">
        <v>1259</v>
      </c>
      <c r="C514" s="1" t="s">
        <v>412</v>
      </c>
      <c r="D514" s="1">
        <v>1</v>
      </c>
      <c r="E514" s="1">
        <f>VLOOKUP(C514,Skill!B:C,2,FALSE)</f>
        <v>1</v>
      </c>
      <c r="F514" s="1" t="str">
        <f>VLOOKUP(B514,Equipment!B:N,3,FALSE)</f>
        <v>Vambraces</v>
      </c>
    </row>
    <row r="515" spans="1:6" ht="12.75" x14ac:dyDescent="0.2">
      <c r="A515" s="1">
        <v>493</v>
      </c>
      <c r="B515" s="1" t="s">
        <v>1260</v>
      </c>
      <c r="C515" s="1" t="s">
        <v>498</v>
      </c>
      <c r="D515" s="1">
        <v>2</v>
      </c>
      <c r="E515" s="1">
        <f>VLOOKUP(C515,Skill!B:C,2,FALSE)</f>
        <v>5</v>
      </c>
      <c r="F515" s="1" t="str">
        <f>VLOOKUP(B515,Equipment!B:N,3,FALSE)</f>
        <v>Coil</v>
      </c>
    </row>
    <row r="516" spans="1:6" ht="12.75" x14ac:dyDescent="0.2">
      <c r="A516" s="1">
        <v>494</v>
      </c>
      <c r="B516" s="1" t="s">
        <v>1260</v>
      </c>
      <c r="C516" s="1" t="s">
        <v>463</v>
      </c>
      <c r="D516" s="1">
        <v>1</v>
      </c>
      <c r="E516" s="1">
        <f>VLOOKUP(C516,Skill!B:C,2,FALSE)</f>
        <v>5</v>
      </c>
      <c r="F516" s="1" t="str">
        <f>VLOOKUP(B516,Equipment!B:N,3,FALSE)</f>
        <v>Coil</v>
      </c>
    </row>
    <row r="517" spans="1:6" ht="12.75" x14ac:dyDescent="0.2">
      <c r="A517" s="1">
        <v>495</v>
      </c>
      <c r="B517" s="1" t="s">
        <v>1262</v>
      </c>
      <c r="C517" s="1" t="s">
        <v>654</v>
      </c>
      <c r="D517" s="1">
        <v>2</v>
      </c>
      <c r="E517" s="1">
        <f>VLOOKUP(C517,Skill!B:C,2,FALSE)</f>
        <v>3</v>
      </c>
      <c r="F517" s="1" t="str">
        <f>VLOOKUP(B517,Equipment!B:N,3,FALSE)</f>
        <v>Greaves</v>
      </c>
    </row>
    <row r="518" spans="1:6" ht="12.75" x14ac:dyDescent="0.2">
      <c r="A518" s="1">
        <v>496</v>
      </c>
      <c r="B518" s="1" t="s">
        <v>1265</v>
      </c>
      <c r="C518" s="1" t="s">
        <v>697</v>
      </c>
      <c r="D518" s="1">
        <v>1</v>
      </c>
      <c r="E518" s="1">
        <f>VLOOKUP(C518,Skill!B:C,2,FALSE)</f>
        <v>3</v>
      </c>
      <c r="F518" s="1" t="str">
        <f>VLOOKUP(B518,Equipment!B:N,3,FALSE)</f>
        <v>Helm</v>
      </c>
    </row>
    <row r="519" spans="1:6" ht="12.75" x14ac:dyDescent="0.2">
      <c r="A519" s="1">
        <v>497</v>
      </c>
      <c r="B519" s="1" t="s">
        <v>1265</v>
      </c>
      <c r="C519" s="1" t="s">
        <v>689</v>
      </c>
      <c r="D519" s="1">
        <v>2</v>
      </c>
      <c r="E519" s="1">
        <f>VLOOKUP(C519,Skill!B:C,2,FALSE)</f>
        <v>3</v>
      </c>
      <c r="F519" s="1" t="str">
        <f>VLOOKUP(B519,Equipment!B:N,3,FALSE)</f>
        <v>Helm</v>
      </c>
    </row>
    <row r="520" spans="1:6" ht="12.75" x14ac:dyDescent="0.2">
      <c r="A520" s="1">
        <v>496</v>
      </c>
      <c r="B520" s="1" t="s">
        <v>1267</v>
      </c>
      <c r="C520" s="1" t="s">
        <v>697</v>
      </c>
      <c r="D520" s="1">
        <v>1</v>
      </c>
      <c r="E520" s="1">
        <f>VLOOKUP(C520,Skill!B:C,2,FALSE)</f>
        <v>3</v>
      </c>
      <c r="F520" s="1" t="str">
        <f>VLOOKUP(B520,Equipment!B:N,3,FALSE)</f>
        <v>Mail</v>
      </c>
    </row>
    <row r="521" spans="1:6" ht="12.75" x14ac:dyDescent="0.2">
      <c r="A521" s="1">
        <v>497</v>
      </c>
      <c r="B521" s="1" t="s">
        <v>1267</v>
      </c>
      <c r="C521" s="1" t="s">
        <v>701</v>
      </c>
      <c r="D521" s="1">
        <v>2</v>
      </c>
      <c r="E521" s="1">
        <f>VLOOKUP(C521,Skill!B:C,2,FALSE)</f>
        <v>3</v>
      </c>
      <c r="F521" s="1" t="str">
        <f>VLOOKUP(B521,Equipment!B:N,3,FALSE)</f>
        <v>Mail</v>
      </c>
    </row>
    <row r="522" spans="1:6" ht="12.75" x14ac:dyDescent="0.2">
      <c r="A522" s="1">
        <v>496</v>
      </c>
      <c r="B522" s="1" t="s">
        <v>1268</v>
      </c>
      <c r="C522" s="1" t="s">
        <v>697</v>
      </c>
      <c r="D522" s="1">
        <v>1</v>
      </c>
      <c r="E522" s="1">
        <f>VLOOKUP(C522,Skill!B:C,2,FALSE)</f>
        <v>3</v>
      </c>
      <c r="F522" s="1" t="str">
        <f>VLOOKUP(B522,Equipment!B:N,3,FALSE)</f>
        <v>Vambraces</v>
      </c>
    </row>
    <row r="523" spans="1:6" ht="12.75" x14ac:dyDescent="0.2">
      <c r="A523" s="1">
        <v>497</v>
      </c>
      <c r="B523" s="1" t="s">
        <v>1268</v>
      </c>
      <c r="C523" s="1" t="s">
        <v>701</v>
      </c>
      <c r="D523" s="1">
        <v>1</v>
      </c>
      <c r="E523" s="1">
        <f>VLOOKUP(C523,Skill!B:C,2,FALSE)</f>
        <v>3</v>
      </c>
      <c r="F523" s="1" t="str">
        <f>VLOOKUP(B523,Equipment!B:N,3,FALSE)</f>
        <v>Vambraces</v>
      </c>
    </row>
    <row r="524" spans="1:6" ht="12.75" x14ac:dyDescent="0.2">
      <c r="A524" s="1">
        <v>502</v>
      </c>
      <c r="B524" s="1" t="s">
        <v>1268</v>
      </c>
      <c r="C524" s="1" t="s">
        <v>535</v>
      </c>
      <c r="D524" s="1">
        <v>1</v>
      </c>
      <c r="E524" s="1">
        <f>VLOOKUP(C524,Skill!B:C,2,FALSE)</f>
        <v>5</v>
      </c>
      <c r="F524" s="1" t="str">
        <f>VLOOKUP(B524,Equipment!B:N,3,FALSE)</f>
        <v>Vambraces</v>
      </c>
    </row>
    <row r="525" spans="1:6" ht="12.75" x14ac:dyDescent="0.2">
      <c r="A525" s="1">
        <v>496</v>
      </c>
      <c r="B525" s="1" t="s">
        <v>1270</v>
      </c>
      <c r="C525" s="1" t="s">
        <v>697</v>
      </c>
      <c r="D525" s="1">
        <v>1</v>
      </c>
      <c r="E525" s="1">
        <f>VLOOKUP(C525,Skill!B:C,2,FALSE)</f>
        <v>3</v>
      </c>
      <c r="F525" s="1" t="str">
        <f>VLOOKUP(B525,Equipment!B:N,3,FALSE)</f>
        <v>Coil</v>
      </c>
    </row>
    <row r="526" spans="1:6" ht="12.75" x14ac:dyDescent="0.2">
      <c r="A526" s="1">
        <v>497</v>
      </c>
      <c r="B526" s="1" t="s">
        <v>1270</v>
      </c>
      <c r="C526" s="1" t="s">
        <v>276</v>
      </c>
      <c r="D526" s="1">
        <v>2</v>
      </c>
      <c r="E526" s="1">
        <f>VLOOKUP(C526,Skill!B:C,2,FALSE)</f>
        <v>5</v>
      </c>
      <c r="F526" s="1" t="str">
        <f>VLOOKUP(B526,Equipment!B:N,3,FALSE)</f>
        <v>Coil</v>
      </c>
    </row>
    <row r="527" spans="1:6" ht="12.75" x14ac:dyDescent="0.2">
      <c r="A527" s="1">
        <v>496</v>
      </c>
      <c r="B527" s="1" t="s">
        <v>1272</v>
      </c>
      <c r="C527" s="1" t="s">
        <v>697</v>
      </c>
      <c r="D527" s="1">
        <v>1</v>
      </c>
      <c r="E527" s="1">
        <f>VLOOKUP(C527,Skill!B:C,2,FALSE)</f>
        <v>3</v>
      </c>
      <c r="F527" s="1" t="str">
        <f>VLOOKUP(B527,Equipment!B:N,3,FALSE)</f>
        <v>Greaves</v>
      </c>
    </row>
    <row r="528" spans="1:6" ht="12.75" x14ac:dyDescent="0.2">
      <c r="A528" s="1">
        <v>497</v>
      </c>
      <c r="B528" s="1" t="s">
        <v>1272</v>
      </c>
      <c r="C528" s="1" t="s">
        <v>498</v>
      </c>
      <c r="D528" s="1">
        <v>2</v>
      </c>
      <c r="E528" s="1">
        <f>VLOOKUP(C528,Skill!B:C,2,FALSE)</f>
        <v>5</v>
      </c>
      <c r="F528" s="1" t="str">
        <f>VLOOKUP(B528,Equipment!B:N,3,FALSE)</f>
        <v>Greaves</v>
      </c>
    </row>
    <row r="529" spans="1:6" ht="12.75" x14ac:dyDescent="0.2">
      <c r="A529" s="1">
        <v>416</v>
      </c>
      <c r="B529" s="1" t="s">
        <v>1273</v>
      </c>
      <c r="C529" s="1" t="s">
        <v>600</v>
      </c>
      <c r="D529" s="1">
        <v>1</v>
      </c>
      <c r="E529" s="1">
        <f>VLOOKUP(C529,Skill!B:C,2,FALSE)</f>
        <v>1</v>
      </c>
      <c r="F529" s="1" t="str">
        <f>VLOOKUP(B529,Equipment!B:N,3,FALSE)</f>
        <v>Helm</v>
      </c>
    </row>
    <row r="530" spans="1:6" ht="12.75" x14ac:dyDescent="0.2">
      <c r="A530" s="1">
        <v>417</v>
      </c>
      <c r="B530" s="1" t="s">
        <v>1278</v>
      </c>
      <c r="C530" s="1" t="s">
        <v>38</v>
      </c>
      <c r="D530" s="1">
        <v>2</v>
      </c>
      <c r="E530" s="1">
        <f>VLOOKUP(C530,Skill!B:C,2,FALSE)</f>
        <v>5</v>
      </c>
      <c r="F530" s="1" t="str">
        <f>VLOOKUP(B530,Equipment!B:N,3,FALSE)</f>
        <v>Coil</v>
      </c>
    </row>
    <row r="531" spans="1:6" ht="12.75" x14ac:dyDescent="0.2">
      <c r="A531" s="1">
        <v>418</v>
      </c>
      <c r="B531" s="1" t="s">
        <v>1282</v>
      </c>
      <c r="C531" s="1" t="s">
        <v>166</v>
      </c>
      <c r="D531" s="1">
        <v>2</v>
      </c>
      <c r="E531" s="1">
        <f>VLOOKUP(C531,Skill!B:C,2,FALSE)</f>
        <v>5</v>
      </c>
      <c r="F531" s="1" t="str">
        <f>VLOOKUP(B531,Equipment!B:N,3,FALSE)</f>
        <v>Helm</v>
      </c>
    </row>
    <row r="532" spans="1:6" ht="12.75" x14ac:dyDescent="0.2">
      <c r="A532" s="1">
        <v>417</v>
      </c>
      <c r="B532" s="1" t="s">
        <v>1286</v>
      </c>
      <c r="C532" s="1" t="s">
        <v>38</v>
      </c>
      <c r="D532" s="1">
        <v>3</v>
      </c>
      <c r="E532" s="1">
        <f>VLOOKUP(C532,Skill!B:C,2,FALSE)</f>
        <v>5</v>
      </c>
      <c r="F532" s="1" t="str">
        <f>VLOOKUP(B532,Equipment!B:N,3,FALSE)</f>
        <v>Helm</v>
      </c>
    </row>
    <row r="533" spans="1:6" ht="12.75" x14ac:dyDescent="0.2">
      <c r="A533" s="1">
        <v>417</v>
      </c>
      <c r="B533" s="1" t="s">
        <v>1289</v>
      </c>
      <c r="C533" s="1" t="s">
        <v>705</v>
      </c>
      <c r="D533" s="1">
        <v>1</v>
      </c>
      <c r="E533" s="1">
        <f>VLOOKUP(C533,Skill!B:C,2,FALSE)</f>
        <v>3</v>
      </c>
      <c r="F533" s="1" t="str">
        <f>VLOOKUP(B533,Equipment!B:N,3,FALSE)</f>
        <v>Helm</v>
      </c>
    </row>
    <row r="534" spans="1:6" ht="12.75" x14ac:dyDescent="0.2">
      <c r="A534" s="1">
        <v>417</v>
      </c>
      <c r="B534" s="1" t="s">
        <v>1289</v>
      </c>
      <c r="C534" s="1" t="s">
        <v>648</v>
      </c>
      <c r="D534" s="1">
        <v>1</v>
      </c>
      <c r="E534" s="1">
        <f>VLOOKUP(C534,Skill!B:C,2,FALSE)</f>
        <v>5</v>
      </c>
      <c r="F534" s="1" t="str">
        <f>VLOOKUP(B534,Equipment!B:N,3,FALSE)</f>
        <v>Helm</v>
      </c>
    </row>
    <row r="535" spans="1:6" ht="12.75" x14ac:dyDescent="0.2">
      <c r="A535" s="1">
        <v>417</v>
      </c>
      <c r="B535" s="1" t="s">
        <v>1293</v>
      </c>
      <c r="C535" s="1" t="s">
        <v>705</v>
      </c>
      <c r="D535" s="1">
        <v>1</v>
      </c>
      <c r="E535" s="1">
        <f>VLOOKUP(C535,Skill!B:C,2,FALSE)</f>
        <v>3</v>
      </c>
      <c r="F535" s="1" t="str">
        <f>VLOOKUP(B535,Equipment!B:N,3,FALSE)</f>
        <v>Coil</v>
      </c>
    </row>
    <row r="536" spans="1:6" ht="12.75" x14ac:dyDescent="0.2">
      <c r="A536" s="1">
        <v>417</v>
      </c>
      <c r="B536" s="1" t="s">
        <v>1293</v>
      </c>
      <c r="C536" s="1" t="s">
        <v>560</v>
      </c>
      <c r="D536" s="1">
        <v>2</v>
      </c>
      <c r="E536" s="1">
        <f>VLOOKUP(C536,Skill!B:C,2,FALSE)</f>
        <v>5</v>
      </c>
      <c r="F536" s="1" t="str">
        <f>VLOOKUP(B536,Equipment!B:N,3,FALSE)</f>
        <v>Coil</v>
      </c>
    </row>
    <row r="537" spans="1:6" ht="12.75" x14ac:dyDescent="0.2">
      <c r="A537" s="1">
        <v>417</v>
      </c>
      <c r="B537" s="1" t="s">
        <v>1295</v>
      </c>
      <c r="C537" s="1" t="s">
        <v>705</v>
      </c>
      <c r="D537" s="1">
        <v>1</v>
      </c>
      <c r="E537" s="1">
        <f>VLOOKUP(C537,Skill!B:C,2,FALSE)</f>
        <v>3</v>
      </c>
      <c r="F537" s="1" t="str">
        <f>VLOOKUP(B537,Equipment!B:N,3,FALSE)</f>
        <v>Greaves</v>
      </c>
    </row>
    <row r="538" spans="1:6" ht="12.75" x14ac:dyDescent="0.2">
      <c r="A538" s="1">
        <v>417</v>
      </c>
      <c r="B538" s="1" t="s">
        <v>1295</v>
      </c>
      <c r="C538" s="1" t="s">
        <v>553</v>
      </c>
      <c r="D538" s="1">
        <v>2</v>
      </c>
      <c r="E538" s="1">
        <f>VLOOKUP(C538,Skill!B:C,2,FALSE)</f>
        <v>5</v>
      </c>
      <c r="F538" s="1" t="str">
        <f>VLOOKUP(B538,Equipment!B:N,3,FALSE)</f>
        <v>Greaves</v>
      </c>
    </row>
    <row r="539" spans="1:6" ht="12.75" x14ac:dyDescent="0.2"/>
    <row r="540" spans="1:6" ht="12.75" x14ac:dyDescent="0.2"/>
    <row r="541" spans="1:6" ht="12.75" x14ac:dyDescent="0.2"/>
    <row r="542" spans="1:6" ht="12.75" x14ac:dyDescent="0.2"/>
    <row r="543" spans="1:6" ht="12.75" x14ac:dyDescent="0.2"/>
    <row r="544" spans="1:6" ht="12.75" x14ac:dyDescent="0.2"/>
    <row r="545" spans="2:9" ht="12.75" x14ac:dyDescent="0.2"/>
    <row r="546" spans="2:9" ht="12.75" x14ac:dyDescent="0.2">
      <c r="B546" s="1"/>
      <c r="C546" s="1"/>
      <c r="I546" s="1"/>
    </row>
    <row r="547" spans="2:9" ht="12.75" x14ac:dyDescent="0.2">
      <c r="B547" s="1"/>
      <c r="C547" s="1"/>
      <c r="I547" s="1"/>
    </row>
    <row r="548" spans="2:9" ht="12.75" x14ac:dyDescent="0.2">
      <c r="B548" s="1"/>
      <c r="C548" s="1"/>
      <c r="I548" s="1"/>
    </row>
    <row r="549" spans="2:9" ht="12.75" x14ac:dyDescent="0.2">
      <c r="B549" s="1"/>
      <c r="C549" s="1"/>
      <c r="I549" s="1"/>
    </row>
    <row r="550" spans="2:9" ht="12.75" x14ac:dyDescent="0.2">
      <c r="B550" s="1"/>
      <c r="C550" s="1"/>
      <c r="I550" s="1"/>
    </row>
    <row r="551" spans="2:9" ht="12.75" x14ac:dyDescent="0.2">
      <c r="B551" s="1"/>
      <c r="C551" s="1"/>
      <c r="I551" s="1"/>
    </row>
    <row r="552" spans="2:9" ht="12.75" x14ac:dyDescent="0.2">
      <c r="B552" s="1"/>
      <c r="C552" s="1"/>
      <c r="I552" s="1"/>
    </row>
    <row r="553" spans="2:9" ht="12.75" x14ac:dyDescent="0.2">
      <c r="B553" s="1"/>
      <c r="C553" s="1"/>
      <c r="I553" s="1"/>
    </row>
    <row r="554" spans="2:9" ht="12.75" x14ac:dyDescent="0.2">
      <c r="B554" s="1"/>
      <c r="C554" s="1"/>
      <c r="I554" s="1"/>
    </row>
    <row r="555" spans="2:9" ht="12.75" x14ac:dyDescent="0.2">
      <c r="B555" s="1"/>
      <c r="C555" s="1"/>
      <c r="I555" s="1"/>
    </row>
    <row r="556" spans="2:9" ht="12.75" x14ac:dyDescent="0.2">
      <c r="B556" s="1"/>
      <c r="C556" s="1"/>
      <c r="I556" s="1"/>
    </row>
    <row r="557" spans="2:9" ht="12.75" x14ac:dyDescent="0.2">
      <c r="B557" s="1"/>
      <c r="C557" s="1"/>
      <c r="I557" s="1"/>
    </row>
    <row r="558" spans="2:9" ht="12.75" x14ac:dyDescent="0.2">
      <c r="B558" s="1"/>
      <c r="C558" s="1"/>
      <c r="I558" s="1"/>
    </row>
    <row r="559" spans="2:9" ht="12.75" x14ac:dyDescent="0.2">
      <c r="B559" s="1"/>
      <c r="C559" s="1"/>
      <c r="I559" s="1"/>
    </row>
    <row r="560" spans="2:9" ht="12.75" x14ac:dyDescent="0.2">
      <c r="B560" s="1"/>
      <c r="C560" s="1"/>
      <c r="I560" s="1"/>
    </row>
    <row r="561" spans="2:9" ht="12.75" x14ac:dyDescent="0.2">
      <c r="B561" s="1"/>
      <c r="C561" s="1"/>
      <c r="I561" s="1"/>
    </row>
    <row r="562" spans="2:9" ht="12.75" x14ac:dyDescent="0.2">
      <c r="B562" s="1"/>
      <c r="C562" s="1"/>
      <c r="I562" s="1"/>
    </row>
    <row r="563" spans="2:9" ht="12.75" x14ac:dyDescent="0.2">
      <c r="B563" s="1"/>
      <c r="C563" s="1"/>
      <c r="I563" s="1"/>
    </row>
    <row r="564" spans="2:9" ht="12.75" x14ac:dyDescent="0.2">
      <c r="B564" s="1"/>
      <c r="C564" s="1"/>
      <c r="I564" s="1"/>
    </row>
    <row r="565" spans="2:9" ht="12.75" x14ac:dyDescent="0.2">
      <c r="B565" s="1"/>
      <c r="C565" s="1"/>
      <c r="I565" s="1"/>
    </row>
    <row r="566" spans="2:9" ht="12.75" x14ac:dyDescent="0.2">
      <c r="B566" s="1"/>
      <c r="C566" s="1"/>
      <c r="I566" s="1"/>
    </row>
    <row r="567" spans="2:9" ht="12.75" x14ac:dyDescent="0.2">
      <c r="B567" s="1"/>
      <c r="C567" s="1"/>
      <c r="I567" s="1"/>
    </row>
    <row r="568" spans="2:9" ht="12.75" x14ac:dyDescent="0.2">
      <c r="B568" s="1"/>
      <c r="C568" s="1"/>
      <c r="I568" s="1"/>
    </row>
    <row r="569" spans="2:9" ht="12.75" x14ac:dyDescent="0.2">
      <c r="B569" s="1"/>
      <c r="C569" s="1"/>
      <c r="I569" s="1"/>
    </row>
    <row r="570" spans="2:9" ht="12.75" x14ac:dyDescent="0.2">
      <c r="B570" s="1"/>
      <c r="C570" s="1"/>
      <c r="I570" s="1"/>
    </row>
    <row r="571" spans="2:9" ht="12.75" x14ac:dyDescent="0.2">
      <c r="B571" s="1"/>
      <c r="C571" s="1"/>
      <c r="I571" s="1"/>
    </row>
    <row r="572" spans="2:9" ht="12.75" x14ac:dyDescent="0.2">
      <c r="B572" s="1"/>
      <c r="C572" s="1"/>
      <c r="I572" s="1"/>
    </row>
    <row r="573" spans="2:9" ht="12.75" x14ac:dyDescent="0.2">
      <c r="B573" s="1"/>
      <c r="C573" s="1"/>
      <c r="I573" s="1"/>
    </row>
    <row r="574" spans="2:9" ht="12.75" x14ac:dyDescent="0.2">
      <c r="B574" s="1"/>
      <c r="C574" s="1"/>
      <c r="I574" s="1"/>
    </row>
    <row r="575" spans="2:9" ht="12.75" x14ac:dyDescent="0.2">
      <c r="B575" s="1"/>
      <c r="C575" s="1"/>
      <c r="I575" s="1"/>
    </row>
    <row r="576" spans="2:9" ht="12.75" x14ac:dyDescent="0.2">
      <c r="B576" s="1"/>
      <c r="C576" s="1"/>
      <c r="I576" s="1"/>
    </row>
    <row r="577" spans="2:9" ht="12.75" x14ac:dyDescent="0.2">
      <c r="B577" s="1"/>
      <c r="C577" s="1"/>
      <c r="I577" s="1"/>
    </row>
    <row r="578" spans="2:9" ht="12.75" x14ac:dyDescent="0.2">
      <c r="B578" s="1"/>
      <c r="C578" s="1"/>
      <c r="I578" s="1"/>
    </row>
    <row r="579" spans="2:9" ht="12.75" x14ac:dyDescent="0.2">
      <c r="B579" s="1"/>
      <c r="C579" s="1"/>
      <c r="I579" s="1"/>
    </row>
    <row r="580" spans="2:9" ht="12.75" x14ac:dyDescent="0.2">
      <c r="B580" s="1"/>
      <c r="C580" s="1"/>
      <c r="I580" s="1"/>
    </row>
    <row r="581" spans="2:9" ht="12.75" x14ac:dyDescent="0.2">
      <c r="B581" s="1"/>
      <c r="C581" s="1"/>
      <c r="I581" s="1"/>
    </row>
    <row r="582" spans="2:9" ht="12.75" x14ac:dyDescent="0.2">
      <c r="B582" s="1"/>
      <c r="C582" s="1"/>
      <c r="I582" s="1"/>
    </row>
    <row r="583" spans="2:9" ht="12.75" x14ac:dyDescent="0.2">
      <c r="B583" s="1"/>
      <c r="C583" s="1"/>
      <c r="I583" s="1"/>
    </row>
    <row r="584" spans="2:9" ht="12.75" x14ac:dyDescent="0.2">
      <c r="B584" s="1"/>
      <c r="C584" s="1"/>
    </row>
    <row r="585" spans="2:9" ht="12.75" x14ac:dyDescent="0.2">
      <c r="B585" s="1"/>
      <c r="C585" s="1"/>
    </row>
    <row r="586" spans="2:9" ht="12.75" x14ac:dyDescent="0.2">
      <c r="B586" s="1"/>
      <c r="C586" s="1"/>
    </row>
    <row r="587" spans="2:9" ht="12.75" x14ac:dyDescent="0.2">
      <c r="B587" s="1"/>
      <c r="C587" s="1"/>
    </row>
    <row r="588" spans="2:9" ht="12.75" x14ac:dyDescent="0.2">
      <c r="B588" s="1"/>
      <c r="C588" s="1"/>
    </row>
    <row r="589" spans="2:9" ht="12.75" x14ac:dyDescent="0.2">
      <c r="B589" s="1"/>
      <c r="C589" s="1"/>
    </row>
    <row r="590" spans="2:9" ht="12.75" x14ac:dyDescent="0.2">
      <c r="B590" s="1"/>
      <c r="C590" s="1"/>
    </row>
    <row r="591" spans="2:9" ht="12.75" x14ac:dyDescent="0.2">
      <c r="B591" s="1"/>
      <c r="C591" s="1"/>
    </row>
    <row r="592" spans="2:9" ht="12.75" x14ac:dyDescent="0.2">
      <c r="B592" s="1"/>
      <c r="C592" s="1"/>
    </row>
    <row r="593" spans="2:3" ht="12.75" x14ac:dyDescent="0.2">
      <c r="B593" s="1"/>
      <c r="C593" s="1"/>
    </row>
    <row r="594" spans="2:3" ht="12.75" x14ac:dyDescent="0.2">
      <c r="B594" s="1"/>
      <c r="C594" s="1"/>
    </row>
    <row r="595" spans="2:3" ht="12.75" x14ac:dyDescent="0.2">
      <c r="B595" s="1"/>
      <c r="C595" s="1"/>
    </row>
    <row r="596" spans="2:3" ht="12.75" x14ac:dyDescent="0.2">
      <c r="B596" s="1"/>
      <c r="C596" s="1"/>
    </row>
    <row r="597" spans="2:3" ht="12.75" x14ac:dyDescent="0.2">
      <c r="B597" s="1"/>
      <c r="C597" s="1"/>
    </row>
    <row r="598" spans="2:3" ht="12.75" x14ac:dyDescent="0.2">
      <c r="B598" s="1"/>
      <c r="C598" s="1"/>
    </row>
    <row r="599" spans="2:3" ht="12.75" x14ac:dyDescent="0.2">
      <c r="B599" s="1"/>
      <c r="C599" s="1"/>
    </row>
    <row r="600" spans="2:3" ht="12.75" x14ac:dyDescent="0.2">
      <c r="B600" s="1"/>
      <c r="C600" s="1"/>
    </row>
    <row r="601" spans="2:3" ht="12.75" x14ac:dyDescent="0.2">
      <c r="B601" s="1"/>
      <c r="C601" s="1"/>
    </row>
    <row r="602" spans="2:3" ht="12.75" x14ac:dyDescent="0.2">
      <c r="B602" s="1"/>
      <c r="C602" s="1"/>
    </row>
    <row r="603" spans="2:3" ht="12.75" x14ac:dyDescent="0.2">
      <c r="B603" s="1"/>
      <c r="C603" s="1"/>
    </row>
    <row r="604" spans="2:3" ht="12.75" x14ac:dyDescent="0.2">
      <c r="B604" s="1"/>
      <c r="C604" s="1"/>
    </row>
    <row r="605" spans="2:3" ht="12.75" x14ac:dyDescent="0.2">
      <c r="B605" s="1"/>
      <c r="C605" s="1"/>
    </row>
    <row r="606" spans="2:3" ht="12.75" x14ac:dyDescent="0.2">
      <c r="B606" s="1"/>
      <c r="C606" s="1"/>
    </row>
    <row r="607" spans="2:3" ht="12.75" x14ac:dyDescent="0.2">
      <c r="B607" s="1"/>
      <c r="C607" s="1"/>
    </row>
    <row r="608" spans="2:3" ht="12.75" x14ac:dyDescent="0.2">
      <c r="B608" s="1"/>
      <c r="C608" s="1"/>
    </row>
    <row r="609" spans="2:3" ht="12.75" x14ac:dyDescent="0.2">
      <c r="B609" s="1"/>
      <c r="C609" s="1"/>
    </row>
    <row r="610" spans="2:3" ht="12.75" x14ac:dyDescent="0.2">
      <c r="B610" s="1"/>
      <c r="C610" s="1"/>
    </row>
    <row r="611" spans="2:3" ht="12.75" x14ac:dyDescent="0.2">
      <c r="B611" s="1"/>
      <c r="C611" s="1"/>
    </row>
    <row r="612" spans="2:3" ht="12.75" x14ac:dyDescent="0.2">
      <c r="B612" s="1"/>
      <c r="C612" s="1"/>
    </row>
    <row r="613" spans="2:3" ht="12.75" x14ac:dyDescent="0.2">
      <c r="B613" s="1"/>
      <c r="C613" s="1"/>
    </row>
    <row r="614" spans="2:3" ht="12.75" x14ac:dyDescent="0.2">
      <c r="B614" s="1"/>
      <c r="C614" s="1"/>
    </row>
    <row r="615" spans="2:3" ht="12.75" x14ac:dyDescent="0.2">
      <c r="B615" s="1"/>
      <c r="C615" s="1"/>
    </row>
    <row r="616" spans="2:3" ht="12.75" x14ac:dyDescent="0.2">
      <c r="B616" s="1"/>
      <c r="C616" s="1"/>
    </row>
    <row r="617" spans="2:3" ht="12.75" x14ac:dyDescent="0.2">
      <c r="B617" s="1"/>
      <c r="C617" s="1"/>
    </row>
    <row r="618" spans="2:3" ht="12.75" x14ac:dyDescent="0.2">
      <c r="B618" s="1"/>
      <c r="C618" s="1"/>
    </row>
    <row r="619" spans="2:3" ht="12.75" x14ac:dyDescent="0.2">
      <c r="B619" s="1"/>
      <c r="C619" s="1"/>
    </row>
    <row r="620" spans="2:3" ht="12.75" x14ac:dyDescent="0.2">
      <c r="B620" s="1"/>
      <c r="C620" s="1"/>
    </row>
    <row r="621" spans="2:3" ht="12.75" x14ac:dyDescent="0.2">
      <c r="B621" s="1"/>
      <c r="C621" s="1"/>
    </row>
    <row r="622" spans="2:3" ht="12.75" x14ac:dyDescent="0.2">
      <c r="B622" s="1"/>
      <c r="C622" s="1"/>
    </row>
    <row r="623" spans="2:3" ht="12.75" x14ac:dyDescent="0.2">
      <c r="B623" s="1"/>
      <c r="C623" s="1"/>
    </row>
    <row r="624" spans="2:3" ht="12.75" x14ac:dyDescent="0.2">
      <c r="B624" s="1"/>
      <c r="C624" s="1"/>
    </row>
    <row r="625" spans="2:3" ht="12.75" x14ac:dyDescent="0.2">
      <c r="B625" s="1"/>
      <c r="C625" s="1"/>
    </row>
    <row r="626" spans="2:3" ht="12.75" x14ac:dyDescent="0.2">
      <c r="B626" s="1"/>
      <c r="C626" s="1"/>
    </row>
    <row r="627" spans="2:3" ht="12.75" x14ac:dyDescent="0.2">
      <c r="B627" s="1"/>
      <c r="C627" s="1"/>
    </row>
    <row r="628" spans="2:3" ht="12.75" x14ac:dyDescent="0.2">
      <c r="B628" s="1"/>
      <c r="C628" s="1"/>
    </row>
    <row r="629" spans="2:3" ht="12.75" x14ac:dyDescent="0.2">
      <c r="B629" s="1"/>
      <c r="C629" s="1"/>
    </row>
    <row r="630" spans="2:3" ht="12.75" x14ac:dyDescent="0.2">
      <c r="B630" s="1"/>
      <c r="C630" s="1"/>
    </row>
    <row r="631" spans="2:3" ht="12.75" x14ac:dyDescent="0.2">
      <c r="B631" s="1"/>
      <c r="C631" s="1"/>
    </row>
    <row r="632" spans="2:3" ht="12.75" x14ac:dyDescent="0.2">
      <c r="B632" s="1"/>
      <c r="C632" s="1"/>
    </row>
    <row r="633" spans="2:3" ht="12.75" x14ac:dyDescent="0.2">
      <c r="B633" s="1"/>
      <c r="C633" s="1"/>
    </row>
    <row r="634" spans="2:3" ht="12.75" x14ac:dyDescent="0.2">
      <c r="B634" s="1"/>
      <c r="C634" s="1"/>
    </row>
    <row r="635" spans="2:3" ht="12.75" x14ac:dyDescent="0.2">
      <c r="B635" s="1"/>
      <c r="C635" s="1"/>
    </row>
    <row r="636" spans="2:3" ht="12.75" x14ac:dyDescent="0.2">
      <c r="B636" s="1"/>
      <c r="C636" s="1"/>
    </row>
    <row r="637" spans="2:3" ht="12.75" x14ac:dyDescent="0.2">
      <c r="B637" s="1"/>
      <c r="C637" s="1"/>
    </row>
    <row r="638" spans="2:3" ht="12.75" x14ac:dyDescent="0.2">
      <c r="B638" s="1"/>
      <c r="C638" s="1"/>
    </row>
    <row r="639" spans="2:3" ht="12.75" x14ac:dyDescent="0.2">
      <c r="B639" s="1"/>
      <c r="C639" s="1"/>
    </row>
    <row r="640" spans="2:3" ht="12.75" x14ac:dyDescent="0.2">
      <c r="B640" s="1"/>
      <c r="C640" s="1"/>
    </row>
    <row r="641" spans="2:3" ht="12.75" x14ac:dyDescent="0.2">
      <c r="B641" s="1"/>
      <c r="C641" s="1"/>
    </row>
    <row r="642" spans="2:3" ht="12.75" x14ac:dyDescent="0.2">
      <c r="B642" s="1"/>
      <c r="C642" s="1"/>
    </row>
    <row r="643" spans="2:3" ht="12.75" x14ac:dyDescent="0.2">
      <c r="B643" s="1"/>
      <c r="C643" s="1"/>
    </row>
    <row r="644" spans="2:3" ht="12.75" x14ac:dyDescent="0.2">
      <c r="B644" s="1"/>
      <c r="C644" s="1"/>
    </row>
    <row r="645" spans="2:3" ht="12.75" x14ac:dyDescent="0.2">
      <c r="B645" s="1"/>
      <c r="C645" s="1"/>
    </row>
    <row r="646" spans="2:3" ht="12.75" x14ac:dyDescent="0.2">
      <c r="B646" s="1"/>
      <c r="C646" s="1"/>
    </row>
    <row r="647" spans="2:3" ht="12.75" x14ac:dyDescent="0.2">
      <c r="B647" s="1"/>
      <c r="C647" s="1"/>
    </row>
    <row r="648" spans="2:3" ht="12.75" x14ac:dyDescent="0.2">
      <c r="B648" s="1"/>
      <c r="C648" s="1"/>
    </row>
    <row r="649" spans="2:3" ht="12.75" x14ac:dyDescent="0.2">
      <c r="B649" s="1"/>
      <c r="C649" s="1"/>
    </row>
    <row r="650" spans="2:3" ht="12.75" x14ac:dyDescent="0.2">
      <c r="B650" s="1"/>
      <c r="C650" s="1"/>
    </row>
    <row r="651" spans="2:3" ht="12.75" x14ac:dyDescent="0.2">
      <c r="B651" s="1"/>
      <c r="C651" s="1"/>
    </row>
    <row r="652" spans="2:3" ht="12.75" x14ac:dyDescent="0.2">
      <c r="B652" s="1"/>
      <c r="C652" s="1"/>
    </row>
    <row r="653" spans="2:3" ht="12.75" x14ac:dyDescent="0.2">
      <c r="B653" s="1"/>
      <c r="C653" s="1"/>
    </row>
    <row r="654" spans="2:3" ht="12.75" x14ac:dyDescent="0.2">
      <c r="B654" s="1"/>
      <c r="C654" s="1"/>
    </row>
    <row r="655" spans="2:3" ht="12.75" x14ac:dyDescent="0.2">
      <c r="B655" s="1"/>
      <c r="C655" s="1"/>
    </row>
    <row r="656" spans="2:3" ht="12.75" x14ac:dyDescent="0.2">
      <c r="B656" s="1"/>
      <c r="C656" s="1"/>
    </row>
    <row r="657" spans="2:3" ht="12.75" x14ac:dyDescent="0.2">
      <c r="B657" s="1"/>
      <c r="C657" s="1"/>
    </row>
    <row r="658" spans="2:3" ht="12.75" x14ac:dyDescent="0.2">
      <c r="B658" s="1"/>
      <c r="C658" s="1"/>
    </row>
    <row r="659" spans="2:3" ht="12.75" x14ac:dyDescent="0.2">
      <c r="B659" s="1"/>
      <c r="C659" s="1"/>
    </row>
    <row r="660" spans="2:3" ht="12.75" x14ac:dyDescent="0.2">
      <c r="B660" s="1"/>
      <c r="C660" s="1"/>
    </row>
    <row r="661" spans="2:3" ht="12.75" x14ac:dyDescent="0.2">
      <c r="B661" s="1"/>
      <c r="C661" s="1"/>
    </row>
    <row r="662" spans="2:3" ht="12.75" x14ac:dyDescent="0.2">
      <c r="B662" s="1"/>
      <c r="C662" s="1"/>
    </row>
    <row r="663" spans="2:3" ht="12.75" x14ac:dyDescent="0.2">
      <c r="B663" s="1"/>
      <c r="C663" s="1"/>
    </row>
    <row r="664" spans="2:3" ht="12.75" x14ac:dyDescent="0.2">
      <c r="B664" s="1"/>
      <c r="C664" s="1"/>
    </row>
    <row r="665" spans="2:3" ht="12.75" x14ac:dyDescent="0.2">
      <c r="B665" s="1"/>
      <c r="C665" s="1"/>
    </row>
    <row r="666" spans="2:3" ht="12.75" x14ac:dyDescent="0.2">
      <c r="B666" s="1"/>
      <c r="C666" s="1"/>
    </row>
    <row r="667" spans="2:3" ht="12.75" x14ac:dyDescent="0.2">
      <c r="B667" s="1"/>
      <c r="C667" s="1"/>
    </row>
    <row r="668" spans="2:3" ht="12.75" x14ac:dyDescent="0.2">
      <c r="B668" s="1"/>
      <c r="C668" s="1"/>
    </row>
    <row r="669" spans="2:3" ht="12.75" x14ac:dyDescent="0.2">
      <c r="B669" s="1"/>
      <c r="C669" s="1"/>
    </row>
    <row r="670" spans="2:3" ht="12.75" x14ac:dyDescent="0.2">
      <c r="B670" s="1"/>
      <c r="C670" s="1"/>
    </row>
    <row r="671" spans="2:3" ht="12.75" x14ac:dyDescent="0.2">
      <c r="B671" s="1"/>
      <c r="C671" s="1"/>
    </row>
    <row r="672" spans="2:3" ht="12.75" x14ac:dyDescent="0.2">
      <c r="B672" s="1"/>
      <c r="C672" s="1"/>
    </row>
    <row r="673" spans="2:3" ht="12.75" x14ac:dyDescent="0.2">
      <c r="B673" s="1"/>
      <c r="C673" s="1"/>
    </row>
    <row r="674" spans="2:3" ht="12.75" x14ac:dyDescent="0.2">
      <c r="B674" s="1"/>
      <c r="C674" s="1"/>
    </row>
    <row r="675" spans="2:3" ht="12.75" x14ac:dyDescent="0.2">
      <c r="B675" s="1"/>
      <c r="C675" s="1"/>
    </row>
    <row r="676" spans="2:3" ht="12.75" x14ac:dyDescent="0.2">
      <c r="B676" s="1"/>
      <c r="C676" s="1"/>
    </row>
    <row r="677" spans="2:3" ht="12.75" x14ac:dyDescent="0.2">
      <c r="B677" s="1"/>
      <c r="C677" s="1"/>
    </row>
    <row r="678" spans="2:3" ht="12.75" x14ac:dyDescent="0.2">
      <c r="B678" s="1"/>
      <c r="C678" s="1"/>
    </row>
    <row r="679" spans="2:3" ht="12.75" x14ac:dyDescent="0.2">
      <c r="B679" s="1"/>
      <c r="C679" s="1"/>
    </row>
    <row r="680" spans="2:3" ht="12.75" x14ac:dyDescent="0.2">
      <c r="B680" s="1"/>
      <c r="C680" s="1"/>
    </row>
    <row r="681" spans="2:3" ht="12.75" x14ac:dyDescent="0.2">
      <c r="B681" s="1"/>
      <c r="C681" s="1"/>
    </row>
    <row r="682" spans="2:3" ht="12.75" x14ac:dyDescent="0.2">
      <c r="B682" s="1"/>
      <c r="C682" s="1"/>
    </row>
    <row r="683" spans="2:3" ht="12.75" x14ac:dyDescent="0.2">
      <c r="B683" s="1"/>
      <c r="C683" s="1"/>
    </row>
    <row r="684" spans="2:3" ht="12.75" x14ac:dyDescent="0.2">
      <c r="B684" s="1"/>
      <c r="C684" s="1"/>
    </row>
    <row r="685" spans="2:3" ht="12.75" x14ac:dyDescent="0.2">
      <c r="B685" s="1"/>
      <c r="C685" s="1"/>
    </row>
    <row r="686" spans="2:3" ht="12.75" x14ac:dyDescent="0.2">
      <c r="B686" s="1"/>
      <c r="C686" s="1"/>
    </row>
    <row r="687" spans="2:3" ht="12.75" x14ac:dyDescent="0.2">
      <c r="B687" s="1"/>
      <c r="C687" s="1"/>
    </row>
    <row r="688" spans="2:3" ht="12.75" x14ac:dyDescent="0.2">
      <c r="B688" s="1"/>
      <c r="C688" s="1"/>
    </row>
    <row r="689" spans="2:3" ht="12.75" x14ac:dyDescent="0.2">
      <c r="B689" s="1"/>
      <c r="C689" s="1"/>
    </row>
    <row r="690" spans="2:3" ht="12.75" x14ac:dyDescent="0.2">
      <c r="B690" s="1"/>
      <c r="C690" s="1"/>
    </row>
    <row r="691" spans="2:3" ht="12.75" x14ac:dyDescent="0.2">
      <c r="B691" s="1"/>
      <c r="C691" s="1"/>
    </row>
    <row r="692" spans="2:3" ht="12.75" x14ac:dyDescent="0.2">
      <c r="B692" s="1"/>
      <c r="C692" s="1"/>
    </row>
    <row r="693" spans="2:3" ht="12.75" x14ac:dyDescent="0.2">
      <c r="B693" s="1"/>
      <c r="C693" s="1"/>
    </row>
    <row r="694" spans="2:3" ht="12.75" x14ac:dyDescent="0.2">
      <c r="B694" s="1"/>
      <c r="C694" s="1"/>
    </row>
    <row r="695" spans="2:3" ht="12.75" x14ac:dyDescent="0.2">
      <c r="B695" s="1"/>
      <c r="C695" s="1"/>
    </row>
    <row r="696" spans="2:3" ht="12.75" x14ac:dyDescent="0.2">
      <c r="B696" s="1"/>
      <c r="C696" s="1"/>
    </row>
    <row r="697" spans="2:3" ht="12.75" x14ac:dyDescent="0.2">
      <c r="B697" s="1"/>
      <c r="C697" s="1"/>
    </row>
    <row r="698" spans="2:3" ht="12.75" x14ac:dyDescent="0.2">
      <c r="B698" s="1"/>
      <c r="C698" s="1"/>
    </row>
    <row r="699" spans="2:3" ht="12.75" x14ac:dyDescent="0.2">
      <c r="B699" s="1"/>
      <c r="C699" s="1"/>
    </row>
    <row r="700" spans="2:3" ht="12.75" x14ac:dyDescent="0.2">
      <c r="B700" s="1"/>
      <c r="C700" s="1"/>
    </row>
    <row r="701" spans="2:3" ht="12.75" x14ac:dyDescent="0.2">
      <c r="B701" s="1"/>
      <c r="C701" s="1"/>
    </row>
    <row r="702" spans="2:3" ht="12.75" x14ac:dyDescent="0.2">
      <c r="B702" s="1"/>
      <c r="C702" s="1"/>
    </row>
    <row r="703" spans="2:3" ht="12.75" x14ac:dyDescent="0.2">
      <c r="B703" s="1"/>
      <c r="C703" s="1"/>
    </row>
    <row r="704" spans="2:3" ht="12.75" x14ac:dyDescent="0.2">
      <c r="B704" s="1"/>
      <c r="C704" s="1"/>
    </row>
    <row r="705" spans="2:3" ht="12.75" x14ac:dyDescent="0.2">
      <c r="B705" s="1"/>
      <c r="C705" s="1"/>
    </row>
    <row r="706" spans="2:3" ht="12.75" x14ac:dyDescent="0.2">
      <c r="B706" s="1"/>
      <c r="C706" s="1"/>
    </row>
    <row r="707" spans="2:3" ht="12.75" x14ac:dyDescent="0.2">
      <c r="B707" s="1"/>
      <c r="C707" s="1"/>
    </row>
    <row r="708" spans="2:3" ht="12.75" x14ac:dyDescent="0.2">
      <c r="B708" s="1"/>
      <c r="C708" s="1"/>
    </row>
    <row r="709" spans="2:3" ht="12.75" x14ac:dyDescent="0.2">
      <c r="B709" s="1"/>
      <c r="C709" s="1"/>
    </row>
    <row r="710" spans="2:3" ht="12.75" x14ac:dyDescent="0.2">
      <c r="B710" s="1"/>
      <c r="C710" s="1"/>
    </row>
    <row r="711" spans="2:3" ht="12.75" x14ac:dyDescent="0.2">
      <c r="B711" s="1"/>
      <c r="C711" s="1"/>
    </row>
    <row r="712" spans="2:3" ht="12.75" x14ac:dyDescent="0.2">
      <c r="B712" s="1"/>
      <c r="C712" s="1"/>
    </row>
    <row r="713" spans="2:3" ht="12.75" x14ac:dyDescent="0.2">
      <c r="B713" s="1"/>
      <c r="C713" s="1"/>
    </row>
    <row r="714" spans="2:3" ht="12.75" x14ac:dyDescent="0.2">
      <c r="B714" s="1"/>
      <c r="C714" s="1"/>
    </row>
    <row r="715" spans="2:3" ht="12.75" x14ac:dyDescent="0.2">
      <c r="B715" s="1"/>
      <c r="C715" s="1"/>
    </row>
    <row r="716" spans="2:3" ht="12.75" x14ac:dyDescent="0.2">
      <c r="B716" s="1"/>
      <c r="C716" s="1"/>
    </row>
    <row r="717" spans="2:3" ht="12.75" x14ac:dyDescent="0.2">
      <c r="B717" s="1"/>
      <c r="C717" s="1"/>
    </row>
    <row r="718" spans="2:3" ht="12.75" x14ac:dyDescent="0.2">
      <c r="B718" s="1"/>
      <c r="C718" s="1"/>
    </row>
    <row r="719" spans="2:3" ht="12.75" x14ac:dyDescent="0.2">
      <c r="B719" s="1"/>
      <c r="C719" s="1"/>
    </row>
    <row r="720" spans="2:3" ht="12.75" x14ac:dyDescent="0.2">
      <c r="B720" s="1"/>
      <c r="C720" s="1"/>
    </row>
    <row r="721" spans="2:3" ht="12.75" x14ac:dyDescent="0.2">
      <c r="B721" s="1"/>
      <c r="C721" s="1"/>
    </row>
    <row r="722" spans="2:3" ht="12.75" x14ac:dyDescent="0.2">
      <c r="B722" s="1"/>
      <c r="C722" s="1"/>
    </row>
    <row r="723" spans="2:3" ht="12.75" x14ac:dyDescent="0.2">
      <c r="B723" s="1"/>
      <c r="C723" s="1"/>
    </row>
    <row r="724" spans="2:3" ht="12.75" x14ac:dyDescent="0.2">
      <c r="B724" s="1"/>
      <c r="C724" s="1"/>
    </row>
    <row r="725" spans="2:3" ht="12.75" x14ac:dyDescent="0.2">
      <c r="B725" s="1"/>
      <c r="C725" s="1"/>
    </row>
    <row r="726" spans="2:3" ht="12.75" x14ac:dyDescent="0.2">
      <c r="B726" s="1"/>
      <c r="C726" s="1"/>
    </row>
    <row r="727" spans="2:3" ht="12.75" x14ac:dyDescent="0.2">
      <c r="B727" s="1"/>
      <c r="C727" s="1"/>
    </row>
    <row r="728" spans="2:3" ht="12.75" x14ac:dyDescent="0.2">
      <c r="B728" s="1"/>
      <c r="C728" s="1"/>
    </row>
    <row r="729" spans="2:3" ht="12.75" x14ac:dyDescent="0.2">
      <c r="B729" s="1"/>
      <c r="C729" s="1"/>
    </row>
    <row r="730" spans="2:3" ht="12.75" x14ac:dyDescent="0.2">
      <c r="B730" s="1"/>
      <c r="C730" s="1"/>
    </row>
    <row r="731" spans="2:3" ht="12.75" x14ac:dyDescent="0.2">
      <c r="B731" s="1"/>
      <c r="C731" s="1"/>
    </row>
    <row r="732" spans="2:3" ht="12.75" x14ac:dyDescent="0.2">
      <c r="B732" s="1"/>
      <c r="C732" s="1"/>
    </row>
    <row r="733" spans="2:3" ht="12.75" x14ac:dyDescent="0.2">
      <c r="B733" s="1"/>
      <c r="C733" s="1"/>
    </row>
    <row r="734" spans="2:3" ht="12.75" x14ac:dyDescent="0.2">
      <c r="B734" s="1"/>
      <c r="C734" s="1"/>
    </row>
    <row r="735" spans="2:3" ht="12.75" x14ac:dyDescent="0.2">
      <c r="B735" s="1"/>
      <c r="C735" s="1"/>
    </row>
    <row r="736" spans="2:3" ht="12.75" x14ac:dyDescent="0.2">
      <c r="B736" s="1"/>
      <c r="C736" s="1"/>
    </row>
    <row r="737" spans="2:3" ht="12.75" x14ac:dyDescent="0.2">
      <c r="B737" s="1"/>
      <c r="C737" s="1"/>
    </row>
    <row r="738" spans="2:3" ht="12.75" x14ac:dyDescent="0.2">
      <c r="B738" s="1"/>
      <c r="C738" s="1"/>
    </row>
    <row r="739" spans="2:3" ht="12.75" x14ac:dyDescent="0.2">
      <c r="B739" s="1"/>
      <c r="C739" s="1"/>
    </row>
    <row r="740" spans="2:3" ht="12.75" x14ac:dyDescent="0.2">
      <c r="B740" s="1"/>
      <c r="C740" s="1"/>
    </row>
    <row r="741" spans="2:3" ht="12.75" x14ac:dyDescent="0.2">
      <c r="B741" s="1"/>
      <c r="C741" s="1"/>
    </row>
    <row r="742" spans="2:3" ht="12.75" x14ac:dyDescent="0.2">
      <c r="B742" s="1"/>
      <c r="C742" s="1"/>
    </row>
    <row r="743" spans="2:3" ht="12.75" x14ac:dyDescent="0.2">
      <c r="B743" s="1"/>
      <c r="C743" s="1"/>
    </row>
    <row r="744" spans="2:3" ht="12.75" x14ac:dyDescent="0.2">
      <c r="B744" s="1"/>
      <c r="C744" s="1"/>
    </row>
    <row r="745" spans="2:3" ht="12.75" x14ac:dyDescent="0.2">
      <c r="B745" s="1"/>
      <c r="C745" s="1"/>
    </row>
    <row r="746" spans="2:3" ht="12.75" x14ac:dyDescent="0.2">
      <c r="B746" s="1"/>
      <c r="C746" s="1"/>
    </row>
    <row r="747" spans="2:3" ht="12.75" x14ac:dyDescent="0.2">
      <c r="B747" s="1"/>
      <c r="C747" s="1"/>
    </row>
    <row r="748" spans="2:3" ht="12.75" x14ac:dyDescent="0.2">
      <c r="B748" s="1"/>
      <c r="C748" s="1"/>
    </row>
    <row r="749" spans="2:3" ht="12.75" x14ac:dyDescent="0.2">
      <c r="B749" s="1"/>
      <c r="C749" s="1"/>
    </row>
    <row r="750" spans="2:3" ht="12.75" x14ac:dyDescent="0.2">
      <c r="B750" s="1"/>
      <c r="C750" s="1"/>
    </row>
    <row r="751" spans="2:3" ht="12.75" x14ac:dyDescent="0.2">
      <c r="B751" s="1"/>
      <c r="C751" s="1"/>
    </row>
    <row r="752" spans="2:3" ht="12.75" x14ac:dyDescent="0.2">
      <c r="B752" s="1"/>
      <c r="C752" s="1"/>
    </row>
    <row r="753" spans="2:3" ht="12.75" x14ac:dyDescent="0.2">
      <c r="B753" s="1"/>
      <c r="C753" s="1"/>
    </row>
    <row r="754" spans="2:3" ht="12.75" x14ac:dyDescent="0.2">
      <c r="B754" s="1"/>
      <c r="C754" s="1"/>
    </row>
    <row r="755" spans="2:3" ht="12.75" x14ac:dyDescent="0.2">
      <c r="B755" s="1"/>
      <c r="C755" s="1"/>
    </row>
    <row r="756" spans="2:3" ht="12.75" x14ac:dyDescent="0.2">
      <c r="B756" s="1"/>
      <c r="C756" s="1"/>
    </row>
    <row r="757" spans="2:3" ht="12.75" x14ac:dyDescent="0.2">
      <c r="B757" s="1"/>
      <c r="C757" s="1"/>
    </row>
    <row r="758" spans="2:3" ht="12.75" x14ac:dyDescent="0.2">
      <c r="B758" s="1"/>
      <c r="C758" s="1"/>
    </row>
    <row r="759" spans="2:3" ht="12.75" x14ac:dyDescent="0.2">
      <c r="B759" s="1"/>
      <c r="C759" s="1"/>
    </row>
    <row r="760" spans="2:3" ht="12.75" x14ac:dyDescent="0.2">
      <c r="B760" s="1"/>
      <c r="C760" s="1"/>
    </row>
    <row r="761" spans="2:3" ht="12.75" x14ac:dyDescent="0.2">
      <c r="B761" s="1"/>
      <c r="C761" s="1"/>
    </row>
    <row r="762" spans="2:3" ht="12.75" x14ac:dyDescent="0.2">
      <c r="B762" s="1"/>
      <c r="C762" s="1"/>
    </row>
    <row r="763" spans="2:3" ht="12.75" x14ac:dyDescent="0.2">
      <c r="B763" s="1"/>
      <c r="C763" s="1"/>
    </row>
    <row r="764" spans="2:3" ht="12.75" x14ac:dyDescent="0.2">
      <c r="B764" s="1"/>
      <c r="C764" s="1"/>
    </row>
    <row r="765" spans="2:3" ht="12.75" x14ac:dyDescent="0.2">
      <c r="B765" s="1"/>
      <c r="C765" s="1"/>
    </row>
    <row r="766" spans="2:3" ht="12.75" x14ac:dyDescent="0.2">
      <c r="B766" s="1"/>
      <c r="C766" s="1"/>
    </row>
    <row r="767" spans="2:3" ht="12.75" x14ac:dyDescent="0.2">
      <c r="B767" s="1"/>
      <c r="C767" s="1"/>
    </row>
    <row r="768" spans="2:3" ht="12.75" x14ac:dyDescent="0.2">
      <c r="B768" s="1"/>
      <c r="C768" s="1"/>
    </row>
    <row r="769" spans="2:3" ht="12.75" x14ac:dyDescent="0.2">
      <c r="B769" s="1"/>
      <c r="C769" s="1"/>
    </row>
    <row r="770" spans="2:3" ht="12.75" x14ac:dyDescent="0.2">
      <c r="B770" s="1"/>
      <c r="C770" s="1"/>
    </row>
    <row r="771" spans="2:3" ht="12.75" x14ac:dyDescent="0.2">
      <c r="B771" s="1"/>
      <c r="C771" s="1"/>
    </row>
    <row r="772" spans="2:3" ht="12.75" x14ac:dyDescent="0.2">
      <c r="B772" s="1"/>
      <c r="C772" s="1"/>
    </row>
    <row r="773" spans="2:3" ht="12.75" x14ac:dyDescent="0.2">
      <c r="B773" s="1"/>
      <c r="C773" s="1"/>
    </row>
    <row r="774" spans="2:3" ht="12.75" x14ac:dyDescent="0.2">
      <c r="B774" s="1"/>
      <c r="C774" s="1"/>
    </row>
    <row r="775" spans="2:3" ht="12.75" x14ac:dyDescent="0.2">
      <c r="B775" s="1"/>
      <c r="C775" s="1"/>
    </row>
    <row r="776" spans="2:3" ht="12.75" x14ac:dyDescent="0.2">
      <c r="B776" s="1"/>
      <c r="C776" s="1"/>
    </row>
    <row r="777" spans="2:3" ht="12.75" x14ac:dyDescent="0.2">
      <c r="B777" s="1"/>
      <c r="C777" s="1"/>
    </row>
    <row r="778" spans="2:3" ht="12.75" x14ac:dyDescent="0.2">
      <c r="B778" s="1"/>
      <c r="C778" s="1"/>
    </row>
    <row r="779" spans="2:3" ht="12.75" x14ac:dyDescent="0.2">
      <c r="B779" s="1"/>
      <c r="C779" s="1"/>
    </row>
    <row r="780" spans="2:3" ht="12.75" x14ac:dyDescent="0.2">
      <c r="B780" s="1"/>
      <c r="C780" s="1"/>
    </row>
    <row r="781" spans="2:3" ht="12.75" x14ac:dyDescent="0.2">
      <c r="B781" s="1"/>
      <c r="C781" s="1"/>
    </row>
    <row r="782" spans="2:3" ht="12.75" x14ac:dyDescent="0.2">
      <c r="B782" s="1"/>
      <c r="C782" s="1"/>
    </row>
    <row r="783" spans="2:3" ht="12.75" x14ac:dyDescent="0.2">
      <c r="B783" s="1"/>
      <c r="C783" s="1"/>
    </row>
    <row r="784" spans="2:3" ht="12.75" x14ac:dyDescent="0.2">
      <c r="B784" s="1"/>
      <c r="C784" s="1"/>
    </row>
    <row r="785" spans="2:3" ht="12.75" x14ac:dyDescent="0.2">
      <c r="B785" s="1"/>
      <c r="C785" s="1"/>
    </row>
    <row r="786" spans="2:3" ht="12.75" x14ac:dyDescent="0.2">
      <c r="B786" s="1"/>
      <c r="C786" s="1"/>
    </row>
    <row r="787" spans="2:3" ht="12.75" x14ac:dyDescent="0.2">
      <c r="B787" s="1"/>
      <c r="C787" s="1"/>
    </row>
    <row r="788" spans="2:3" ht="12.75" x14ac:dyDescent="0.2">
      <c r="B788" s="1"/>
      <c r="C788" s="1"/>
    </row>
    <row r="789" spans="2:3" ht="12.75" x14ac:dyDescent="0.2">
      <c r="B789" s="1"/>
      <c r="C789" s="1"/>
    </row>
    <row r="790" spans="2:3" ht="12.75" x14ac:dyDescent="0.2">
      <c r="B790" s="1"/>
      <c r="C790" s="1"/>
    </row>
    <row r="791" spans="2:3" ht="12.75" x14ac:dyDescent="0.2">
      <c r="B791" s="1"/>
      <c r="C791" s="1"/>
    </row>
    <row r="792" spans="2:3" ht="12.75" x14ac:dyDescent="0.2">
      <c r="B792" s="1"/>
      <c r="C792" s="1"/>
    </row>
    <row r="793" spans="2:3" ht="12.75" x14ac:dyDescent="0.2">
      <c r="B793" s="1"/>
      <c r="C793" s="1"/>
    </row>
    <row r="794" spans="2:3" ht="12.75" x14ac:dyDescent="0.2">
      <c r="B794" s="1"/>
      <c r="C794" s="1"/>
    </row>
    <row r="795" spans="2:3" ht="12.75" x14ac:dyDescent="0.2">
      <c r="B795" s="1"/>
      <c r="C795" s="1"/>
    </row>
    <row r="796" spans="2:3" ht="12.75" x14ac:dyDescent="0.2">
      <c r="B796" s="1"/>
      <c r="C796" s="1"/>
    </row>
    <row r="797" spans="2:3" ht="12.75" x14ac:dyDescent="0.2">
      <c r="B797" s="1"/>
      <c r="C797" s="1"/>
    </row>
    <row r="798" spans="2:3" ht="12.75" x14ac:dyDescent="0.2">
      <c r="B798" s="1"/>
      <c r="C798" s="1"/>
    </row>
    <row r="799" spans="2:3" ht="12.75" x14ac:dyDescent="0.2">
      <c r="B799" s="1"/>
      <c r="C799" s="1"/>
    </row>
    <row r="800" spans="2:3" ht="12.75" x14ac:dyDescent="0.2">
      <c r="B800" s="1"/>
      <c r="C800" s="1"/>
    </row>
    <row r="801" spans="2:3" ht="12.75" x14ac:dyDescent="0.2">
      <c r="B801" s="1"/>
      <c r="C801" s="1"/>
    </row>
    <row r="802" spans="2:3" ht="12.75" x14ac:dyDescent="0.2">
      <c r="B802" s="1"/>
      <c r="C802" s="1"/>
    </row>
    <row r="803" spans="2:3" ht="12.75" x14ac:dyDescent="0.2">
      <c r="B803" s="1"/>
      <c r="C803" s="1"/>
    </row>
    <row r="804" spans="2:3" ht="12.75" x14ac:dyDescent="0.2">
      <c r="B804" s="1"/>
      <c r="C804" s="1"/>
    </row>
    <row r="805" spans="2:3" ht="12.75" x14ac:dyDescent="0.2">
      <c r="B805" s="1"/>
      <c r="C805" s="1"/>
    </row>
    <row r="806" spans="2:3" ht="12.75" x14ac:dyDescent="0.2">
      <c r="B806" s="1"/>
      <c r="C806" s="1"/>
    </row>
    <row r="807" spans="2:3" ht="12.75" x14ac:dyDescent="0.2">
      <c r="B807" s="1"/>
      <c r="C807" s="1"/>
    </row>
    <row r="808" spans="2:3" ht="12.75" x14ac:dyDescent="0.2">
      <c r="B808" s="1"/>
      <c r="C808" s="1"/>
    </row>
    <row r="809" spans="2:3" ht="12.75" x14ac:dyDescent="0.2">
      <c r="B809" s="1"/>
      <c r="C809" s="1"/>
    </row>
    <row r="810" spans="2:3" ht="12.75" x14ac:dyDescent="0.2">
      <c r="B810" s="1"/>
      <c r="C810" s="1"/>
    </row>
    <row r="811" spans="2:3" ht="12.75" x14ac:dyDescent="0.2">
      <c r="B811" s="1"/>
      <c r="C811" s="1"/>
    </row>
    <row r="812" spans="2:3" ht="12.75" x14ac:dyDescent="0.2">
      <c r="B812" s="1"/>
      <c r="C812" s="1"/>
    </row>
    <row r="813" spans="2:3" ht="12.75" x14ac:dyDescent="0.2">
      <c r="B813" s="1"/>
      <c r="C813" s="1"/>
    </row>
    <row r="814" spans="2:3" ht="12.75" x14ac:dyDescent="0.2">
      <c r="B814" s="1"/>
      <c r="C814" s="1"/>
    </row>
    <row r="815" spans="2:3" ht="12.75" x14ac:dyDescent="0.2">
      <c r="B815" s="1"/>
      <c r="C815" s="1"/>
    </row>
    <row r="816" spans="2:3" ht="12.75" x14ac:dyDescent="0.2">
      <c r="B816" s="1"/>
      <c r="C816" s="1"/>
    </row>
    <row r="817" spans="2:3" ht="12.75" x14ac:dyDescent="0.2">
      <c r="B817" s="1"/>
      <c r="C817" s="1"/>
    </row>
    <row r="818" spans="2:3" ht="12.75" x14ac:dyDescent="0.2">
      <c r="B818" s="1"/>
      <c r="C818" s="1"/>
    </row>
    <row r="819" spans="2:3" ht="12.75" x14ac:dyDescent="0.2">
      <c r="B819" s="1"/>
      <c r="C819" s="1"/>
    </row>
    <row r="820" spans="2:3" ht="12.75" x14ac:dyDescent="0.2">
      <c r="B820" s="1"/>
      <c r="C820" s="1"/>
    </row>
    <row r="821" spans="2:3" ht="12.75" x14ac:dyDescent="0.2">
      <c r="B821" s="1"/>
      <c r="C821" s="1"/>
    </row>
    <row r="822" spans="2:3" ht="12.75" x14ac:dyDescent="0.2">
      <c r="B822" s="1"/>
      <c r="C822" s="1"/>
    </row>
    <row r="823" spans="2:3" ht="12.75" x14ac:dyDescent="0.2">
      <c r="B823" s="1"/>
      <c r="C823" s="1"/>
    </row>
    <row r="824" spans="2:3" ht="12.75" x14ac:dyDescent="0.2">
      <c r="B824" s="1"/>
      <c r="C824" s="1"/>
    </row>
    <row r="825" spans="2:3" ht="12.75" x14ac:dyDescent="0.2">
      <c r="B825" s="1"/>
      <c r="C825" s="1"/>
    </row>
    <row r="826" spans="2:3" ht="12.75" x14ac:dyDescent="0.2">
      <c r="B826" s="1"/>
      <c r="C826" s="1"/>
    </row>
    <row r="827" spans="2:3" ht="12.75" x14ac:dyDescent="0.2">
      <c r="B827" s="1"/>
      <c r="C827" s="1"/>
    </row>
    <row r="828" spans="2:3" ht="12.75" x14ac:dyDescent="0.2">
      <c r="B828" s="1"/>
      <c r="C828" s="1"/>
    </row>
    <row r="829" spans="2:3" ht="12.75" x14ac:dyDescent="0.2">
      <c r="B829" s="1"/>
      <c r="C829" s="1"/>
    </row>
    <row r="830" spans="2:3" ht="12.75" x14ac:dyDescent="0.2">
      <c r="B830" s="1"/>
      <c r="C830" s="1"/>
    </row>
    <row r="831" spans="2:3" ht="12.75" x14ac:dyDescent="0.2">
      <c r="B831" s="1"/>
      <c r="C831" s="1"/>
    </row>
    <row r="832" spans="2:3" ht="12.75" x14ac:dyDescent="0.2">
      <c r="B832" s="1"/>
      <c r="C832" s="1"/>
    </row>
    <row r="833" spans="2:3" ht="12.75" x14ac:dyDescent="0.2">
      <c r="B833" s="1"/>
      <c r="C833" s="1"/>
    </row>
    <row r="834" spans="2:3" ht="12.75" x14ac:dyDescent="0.2">
      <c r="B834" s="1"/>
      <c r="C834" s="1"/>
    </row>
    <row r="835" spans="2:3" ht="12.75" x14ac:dyDescent="0.2">
      <c r="B835" s="1"/>
      <c r="C835" s="1"/>
    </row>
    <row r="836" spans="2:3" ht="12.75" x14ac:dyDescent="0.2">
      <c r="B836" s="1"/>
      <c r="C836" s="1"/>
    </row>
    <row r="837" spans="2:3" ht="12.75" x14ac:dyDescent="0.2">
      <c r="B837" s="1"/>
      <c r="C837" s="1"/>
    </row>
    <row r="838" spans="2:3" ht="12.75" x14ac:dyDescent="0.2">
      <c r="B838" s="1"/>
      <c r="C838" s="1"/>
    </row>
    <row r="839" spans="2:3" ht="12.75" x14ac:dyDescent="0.2">
      <c r="B839" s="1"/>
      <c r="C839" s="1"/>
    </row>
    <row r="840" spans="2:3" ht="12.75" x14ac:dyDescent="0.2">
      <c r="B840" s="1"/>
      <c r="C840" s="1"/>
    </row>
    <row r="841" spans="2:3" ht="12.75" x14ac:dyDescent="0.2">
      <c r="B841" s="1"/>
      <c r="C841" s="1"/>
    </row>
    <row r="842" spans="2:3" ht="12.75" x14ac:dyDescent="0.2">
      <c r="B842" s="1"/>
      <c r="C842" s="1"/>
    </row>
    <row r="843" spans="2:3" ht="12.75" x14ac:dyDescent="0.2">
      <c r="B843" s="1"/>
      <c r="C843" s="1"/>
    </row>
    <row r="844" spans="2:3" ht="12.75" x14ac:dyDescent="0.2">
      <c r="B844" s="1"/>
      <c r="C844" s="1"/>
    </row>
    <row r="845" spans="2:3" ht="12.75" x14ac:dyDescent="0.2">
      <c r="B845" s="1"/>
      <c r="C845" s="1"/>
    </row>
    <row r="846" spans="2:3" ht="12.75" x14ac:dyDescent="0.2">
      <c r="B846" s="1"/>
      <c r="C846" s="1"/>
    </row>
    <row r="847" spans="2:3" ht="12.75" x14ac:dyDescent="0.2">
      <c r="B847" s="1"/>
      <c r="C847" s="1"/>
    </row>
    <row r="848" spans="2:3" ht="12.75" x14ac:dyDescent="0.2">
      <c r="B848" s="1"/>
      <c r="C848" s="1"/>
    </row>
    <row r="849" spans="2:3" ht="12.75" x14ac:dyDescent="0.2">
      <c r="B849" s="1"/>
      <c r="C849" s="1"/>
    </row>
    <row r="850" spans="2:3" ht="12.75" x14ac:dyDescent="0.2">
      <c r="B850" s="1"/>
      <c r="C850" s="1"/>
    </row>
    <row r="851" spans="2:3" ht="12.75" x14ac:dyDescent="0.2">
      <c r="B851" s="1"/>
      <c r="C851" s="1"/>
    </row>
    <row r="852" spans="2:3" ht="12.75" x14ac:dyDescent="0.2">
      <c r="B852" s="1"/>
      <c r="C852" s="1"/>
    </row>
    <row r="853" spans="2:3" ht="12.75" x14ac:dyDescent="0.2">
      <c r="B853" s="1"/>
      <c r="C853" s="1"/>
    </row>
    <row r="854" spans="2:3" ht="12.75" x14ac:dyDescent="0.2">
      <c r="B854" s="1"/>
      <c r="C854" s="1"/>
    </row>
    <row r="855" spans="2:3" ht="12.75" x14ac:dyDescent="0.2">
      <c r="B855" s="1"/>
      <c r="C855" s="1"/>
    </row>
    <row r="856" spans="2:3" ht="12.75" x14ac:dyDescent="0.2">
      <c r="B856" s="1"/>
      <c r="C856" s="1"/>
    </row>
    <row r="857" spans="2:3" ht="12.75" x14ac:dyDescent="0.2">
      <c r="B857" s="1"/>
      <c r="C857" s="1"/>
    </row>
    <row r="858" spans="2:3" ht="12.75" x14ac:dyDescent="0.2">
      <c r="B858" s="1"/>
      <c r="C858" s="1"/>
    </row>
    <row r="859" spans="2:3" ht="12.75" x14ac:dyDescent="0.2">
      <c r="B859" s="1"/>
      <c r="C859" s="1"/>
    </row>
    <row r="860" spans="2:3" ht="12.75" x14ac:dyDescent="0.2">
      <c r="B860" s="1"/>
      <c r="C860" s="1"/>
    </row>
    <row r="861" spans="2:3" ht="12.75" x14ac:dyDescent="0.2">
      <c r="B861" s="1"/>
      <c r="C861" s="1"/>
    </row>
    <row r="862" spans="2:3" ht="12.75" x14ac:dyDescent="0.2">
      <c r="B862" s="1"/>
      <c r="C862" s="1"/>
    </row>
    <row r="863" spans="2:3" ht="12.75" x14ac:dyDescent="0.2">
      <c r="B863" s="1"/>
      <c r="C863" s="1"/>
    </row>
    <row r="864" spans="2:3" ht="12.75" x14ac:dyDescent="0.2">
      <c r="B864" s="1"/>
      <c r="C864" s="1"/>
    </row>
    <row r="865" spans="2:3" ht="12.75" x14ac:dyDescent="0.2">
      <c r="B865" s="1"/>
      <c r="C865" s="1"/>
    </row>
    <row r="866" spans="2:3" ht="12.75" x14ac:dyDescent="0.2">
      <c r="B866" s="1"/>
      <c r="C866" s="1"/>
    </row>
    <row r="867" spans="2:3" ht="12.75" x14ac:dyDescent="0.2">
      <c r="B867" s="1"/>
      <c r="C867" s="1"/>
    </row>
    <row r="868" spans="2:3" ht="12.75" x14ac:dyDescent="0.2">
      <c r="B868" s="1"/>
      <c r="C868" s="1"/>
    </row>
    <row r="869" spans="2:3" ht="12.75" x14ac:dyDescent="0.2">
      <c r="B869" s="1"/>
      <c r="C869" s="1"/>
    </row>
    <row r="870" spans="2:3" ht="12.75" x14ac:dyDescent="0.2">
      <c r="B870" s="1"/>
      <c r="C870" s="1"/>
    </row>
    <row r="871" spans="2:3" ht="12.75" x14ac:dyDescent="0.2">
      <c r="B871" s="1"/>
      <c r="C871" s="1"/>
    </row>
    <row r="872" spans="2:3" ht="12.75" x14ac:dyDescent="0.2">
      <c r="B872" s="1"/>
      <c r="C872" s="1"/>
    </row>
    <row r="873" spans="2:3" ht="12.75" x14ac:dyDescent="0.2">
      <c r="B873" s="1"/>
      <c r="C873" s="1"/>
    </row>
    <row r="874" spans="2:3" ht="12.75" x14ac:dyDescent="0.2">
      <c r="B874" s="1"/>
      <c r="C874" s="1"/>
    </row>
    <row r="875" spans="2:3" ht="12.75" x14ac:dyDescent="0.2">
      <c r="B875" s="1"/>
      <c r="C875" s="1"/>
    </row>
    <row r="876" spans="2:3" ht="12.75" x14ac:dyDescent="0.2">
      <c r="B876" s="1"/>
      <c r="C876" s="1"/>
    </row>
    <row r="877" spans="2:3" ht="12.75" x14ac:dyDescent="0.2">
      <c r="B877" s="1"/>
      <c r="C877" s="1"/>
    </row>
    <row r="878" spans="2:3" ht="12.75" x14ac:dyDescent="0.2">
      <c r="B878" s="1"/>
      <c r="C878" s="1"/>
    </row>
    <row r="879" spans="2:3" ht="12.75" x14ac:dyDescent="0.2">
      <c r="B879" s="1"/>
      <c r="C879" s="1"/>
    </row>
    <row r="880" spans="2:3" ht="12.75" x14ac:dyDescent="0.2">
      <c r="B880" s="1"/>
      <c r="C880" s="1"/>
    </row>
    <row r="881" spans="2:3" ht="12.75" x14ac:dyDescent="0.2">
      <c r="B881" s="1"/>
      <c r="C881" s="1"/>
    </row>
    <row r="882" spans="2:3" ht="12.75" x14ac:dyDescent="0.2">
      <c r="B882" s="1"/>
      <c r="C882" s="1"/>
    </row>
    <row r="883" spans="2:3" ht="12.75" x14ac:dyDescent="0.2">
      <c r="B883" s="1"/>
      <c r="C883" s="1"/>
    </row>
    <row r="884" spans="2:3" ht="12.75" x14ac:dyDescent="0.2">
      <c r="B884" s="1"/>
      <c r="C884" s="1"/>
    </row>
    <row r="885" spans="2:3" ht="12.75" x14ac:dyDescent="0.2">
      <c r="B885" s="1"/>
      <c r="C885" s="1"/>
    </row>
    <row r="886" spans="2:3" ht="12.75" x14ac:dyDescent="0.2">
      <c r="B886" s="1"/>
      <c r="C886" s="1"/>
    </row>
    <row r="887" spans="2:3" ht="12.75" x14ac:dyDescent="0.2">
      <c r="B887" s="1"/>
      <c r="C887" s="1"/>
    </row>
    <row r="888" spans="2:3" ht="12.75" x14ac:dyDescent="0.2">
      <c r="B888" s="1"/>
      <c r="C888" s="1"/>
    </row>
    <row r="889" spans="2:3" ht="12.75" x14ac:dyDescent="0.2">
      <c r="B889" s="1"/>
      <c r="C889" s="1"/>
    </row>
    <row r="890" spans="2:3" ht="12.75" x14ac:dyDescent="0.2">
      <c r="B890" s="1"/>
      <c r="C890" s="1"/>
    </row>
    <row r="891" spans="2:3" ht="12.75" x14ac:dyDescent="0.2">
      <c r="B891" s="1"/>
      <c r="C891" s="1"/>
    </row>
    <row r="892" spans="2:3" ht="12.75" x14ac:dyDescent="0.2">
      <c r="B892" s="1"/>
      <c r="C892" s="1"/>
    </row>
    <row r="893" spans="2:3" ht="12.75" x14ac:dyDescent="0.2">
      <c r="B893" s="1"/>
      <c r="C893" s="1"/>
    </row>
    <row r="894" spans="2:3" ht="12.75" x14ac:dyDescent="0.2">
      <c r="B894" s="1"/>
      <c r="C894" s="1"/>
    </row>
    <row r="895" spans="2:3" ht="12.75" x14ac:dyDescent="0.2">
      <c r="B895" s="1"/>
      <c r="C895" s="1"/>
    </row>
    <row r="896" spans="2:3" ht="12.75" x14ac:dyDescent="0.2">
      <c r="B896" s="1"/>
      <c r="C896" s="1"/>
    </row>
    <row r="897" spans="2:3" ht="12.75" x14ac:dyDescent="0.2">
      <c r="B897" s="1"/>
      <c r="C897" s="1"/>
    </row>
    <row r="898" spans="2:3" ht="12.75" x14ac:dyDescent="0.2">
      <c r="B898" s="1"/>
      <c r="C898" s="1"/>
    </row>
    <row r="899" spans="2:3" ht="12.75" x14ac:dyDescent="0.2">
      <c r="B899" s="1"/>
      <c r="C899" s="1"/>
    </row>
    <row r="900" spans="2:3" ht="12.75" x14ac:dyDescent="0.2">
      <c r="B900" s="1"/>
      <c r="C900" s="1"/>
    </row>
    <row r="901" spans="2:3" ht="12.75" x14ac:dyDescent="0.2">
      <c r="B901" s="1"/>
      <c r="C901" s="1"/>
    </row>
    <row r="902" spans="2:3" ht="12.75" x14ac:dyDescent="0.2">
      <c r="B902" s="1"/>
      <c r="C902" s="1"/>
    </row>
    <row r="903" spans="2:3" ht="12.75" x14ac:dyDescent="0.2">
      <c r="B903" s="1"/>
      <c r="C903" s="1"/>
    </row>
    <row r="904" spans="2:3" ht="12.75" x14ac:dyDescent="0.2">
      <c r="B904" s="1"/>
      <c r="C904" s="1"/>
    </row>
    <row r="905" spans="2:3" ht="12.75" x14ac:dyDescent="0.2">
      <c r="B905" s="1"/>
      <c r="C905" s="1"/>
    </row>
    <row r="906" spans="2:3" ht="12.75" x14ac:dyDescent="0.2">
      <c r="B906" s="1"/>
      <c r="C906" s="1"/>
    </row>
    <row r="907" spans="2:3" ht="12.75" x14ac:dyDescent="0.2">
      <c r="B907" s="1"/>
      <c r="C907" s="1"/>
    </row>
    <row r="908" spans="2:3" ht="12.75" x14ac:dyDescent="0.2">
      <c r="B908" s="1"/>
      <c r="C908" s="1"/>
    </row>
    <row r="909" spans="2:3" ht="12.75" x14ac:dyDescent="0.2">
      <c r="B909" s="1"/>
      <c r="C909" s="1"/>
    </row>
    <row r="910" spans="2:3" ht="12.75" x14ac:dyDescent="0.2">
      <c r="B910" s="1"/>
      <c r="C910" s="1"/>
    </row>
    <row r="911" spans="2:3" ht="12.75" x14ac:dyDescent="0.2">
      <c r="B911" s="1"/>
      <c r="C911" s="1"/>
    </row>
    <row r="912" spans="2:3" ht="12.75" x14ac:dyDescent="0.2">
      <c r="B912" s="1"/>
      <c r="C912" s="1"/>
    </row>
    <row r="913" spans="2:3" ht="12.75" x14ac:dyDescent="0.2">
      <c r="B913" s="1"/>
      <c r="C913" s="1"/>
    </row>
    <row r="914" spans="2:3" ht="12.75" x14ac:dyDescent="0.2">
      <c r="B914" s="1"/>
      <c r="C914" s="1"/>
    </row>
    <row r="915" spans="2:3" ht="12.75" x14ac:dyDescent="0.2">
      <c r="B915" s="1"/>
      <c r="C915" s="1"/>
    </row>
    <row r="916" spans="2:3" ht="12.75" x14ac:dyDescent="0.2">
      <c r="B916" s="1"/>
      <c r="C916" s="1"/>
    </row>
    <row r="917" spans="2:3" ht="12.75" x14ac:dyDescent="0.2">
      <c r="B917" s="1"/>
      <c r="C917" s="1"/>
    </row>
    <row r="918" spans="2:3" ht="12.75" x14ac:dyDescent="0.2">
      <c r="B918" s="1"/>
      <c r="C918" s="1"/>
    </row>
    <row r="919" spans="2:3" ht="12.75" x14ac:dyDescent="0.2">
      <c r="B919" s="1"/>
      <c r="C919" s="1"/>
    </row>
    <row r="920" spans="2:3" ht="12.75" x14ac:dyDescent="0.2">
      <c r="B920" s="1"/>
      <c r="C920" s="1"/>
    </row>
    <row r="921" spans="2:3" ht="12.75" x14ac:dyDescent="0.2">
      <c r="B921" s="1"/>
      <c r="C921" s="1"/>
    </row>
    <row r="922" spans="2:3" ht="12.75" x14ac:dyDescent="0.2">
      <c r="B922" s="1"/>
      <c r="C922" s="1"/>
    </row>
    <row r="923" spans="2:3" ht="12.75" x14ac:dyDescent="0.2">
      <c r="B923" s="1"/>
      <c r="C923" s="1"/>
    </row>
    <row r="924" spans="2:3" ht="12.75" x14ac:dyDescent="0.2">
      <c r="B924" s="1"/>
      <c r="C924" s="1"/>
    </row>
    <row r="925" spans="2:3" ht="12.75" x14ac:dyDescent="0.2">
      <c r="B925" s="1"/>
      <c r="C925" s="1"/>
    </row>
    <row r="926" spans="2:3" ht="12.75" x14ac:dyDescent="0.2">
      <c r="B926" s="1"/>
      <c r="C926" s="1"/>
    </row>
    <row r="927" spans="2:3" ht="12.75" x14ac:dyDescent="0.2">
      <c r="B927" s="1"/>
      <c r="C927" s="1"/>
    </row>
    <row r="928" spans="2:3" ht="12.75" x14ac:dyDescent="0.2">
      <c r="B928" s="1"/>
      <c r="C928" s="1"/>
    </row>
    <row r="929" spans="2:3" ht="12.75" x14ac:dyDescent="0.2">
      <c r="B929" s="1"/>
      <c r="C929" s="1"/>
    </row>
    <row r="930" spans="2:3" ht="12.75" x14ac:dyDescent="0.2">
      <c r="B930" s="1"/>
      <c r="C930" s="1"/>
    </row>
    <row r="931" spans="2:3" ht="12.75" x14ac:dyDescent="0.2">
      <c r="B931" s="1"/>
      <c r="C931" s="1"/>
    </row>
    <row r="932" spans="2:3" ht="12.75" x14ac:dyDescent="0.2">
      <c r="B932" s="1"/>
      <c r="C932" s="1"/>
    </row>
    <row r="933" spans="2:3" ht="12.75" x14ac:dyDescent="0.2">
      <c r="B933" s="1"/>
      <c r="C933" s="1"/>
    </row>
    <row r="934" spans="2:3" ht="12.75" x14ac:dyDescent="0.2">
      <c r="B934" s="1"/>
      <c r="C934" s="1"/>
    </row>
    <row r="935" spans="2:3" ht="12.75" x14ac:dyDescent="0.2">
      <c r="B935" s="1"/>
      <c r="C935" s="1"/>
    </row>
    <row r="936" spans="2:3" ht="12.75" x14ac:dyDescent="0.2">
      <c r="B936" s="1"/>
      <c r="C936" s="1"/>
    </row>
    <row r="937" spans="2:3" ht="12.75" x14ac:dyDescent="0.2">
      <c r="B937" s="1"/>
      <c r="C937" s="1"/>
    </row>
    <row r="938" spans="2:3" ht="12.75" x14ac:dyDescent="0.2">
      <c r="B938" s="1"/>
      <c r="C938" s="1"/>
    </row>
    <row r="939" spans="2:3" ht="12.75" x14ac:dyDescent="0.2">
      <c r="B939" s="1"/>
      <c r="C939" s="1"/>
    </row>
    <row r="940" spans="2:3" ht="12.75" x14ac:dyDescent="0.2">
      <c r="B940" s="1"/>
      <c r="C940" s="1"/>
    </row>
    <row r="941" spans="2:3" ht="12.75" x14ac:dyDescent="0.2">
      <c r="B941" s="1"/>
      <c r="C941" s="1"/>
    </row>
    <row r="942" spans="2:3" ht="12.75" x14ac:dyDescent="0.2">
      <c r="B942" s="1"/>
      <c r="C942" s="1"/>
    </row>
    <row r="943" spans="2:3" ht="12.75" x14ac:dyDescent="0.2">
      <c r="B943" s="1"/>
      <c r="C943" s="1"/>
    </row>
    <row r="944" spans="2:3" ht="12.75" x14ac:dyDescent="0.2">
      <c r="B944" s="1"/>
      <c r="C944" s="1"/>
    </row>
    <row r="945" spans="2:3" ht="12.75" x14ac:dyDescent="0.2">
      <c r="B945" s="1"/>
      <c r="C945" s="1"/>
    </row>
    <row r="946" spans="2:3" ht="12.75" x14ac:dyDescent="0.2">
      <c r="B946" s="1"/>
      <c r="C946" s="1"/>
    </row>
    <row r="947" spans="2:3" ht="12.75" x14ac:dyDescent="0.2">
      <c r="B947" s="1"/>
      <c r="C947" s="1"/>
    </row>
    <row r="948" spans="2:3" ht="12.75" x14ac:dyDescent="0.2">
      <c r="B948" s="1"/>
      <c r="C948" s="1"/>
    </row>
    <row r="949" spans="2:3" ht="12.75" x14ac:dyDescent="0.2">
      <c r="B949" s="1"/>
      <c r="C949" s="1"/>
    </row>
    <row r="950" spans="2:3" ht="12.75" x14ac:dyDescent="0.2">
      <c r="B950" s="1"/>
      <c r="C950" s="1"/>
    </row>
    <row r="951" spans="2:3" ht="12.75" x14ac:dyDescent="0.2">
      <c r="B951" s="1"/>
      <c r="C951" s="1"/>
    </row>
    <row r="952" spans="2:3" ht="12.75" x14ac:dyDescent="0.2">
      <c r="B952" s="1"/>
      <c r="C952" s="1"/>
    </row>
    <row r="953" spans="2:3" ht="12.75" x14ac:dyDescent="0.2">
      <c r="B953" s="1"/>
      <c r="C953" s="1"/>
    </row>
    <row r="954" spans="2:3" ht="12.75" x14ac:dyDescent="0.2">
      <c r="B954" s="1"/>
      <c r="C954" s="1"/>
    </row>
    <row r="955" spans="2:3" ht="12.75" x14ac:dyDescent="0.2">
      <c r="B955" s="1"/>
      <c r="C955" s="1"/>
    </row>
    <row r="956" spans="2:3" ht="12.75" x14ac:dyDescent="0.2">
      <c r="B956" s="1"/>
      <c r="C956" s="1"/>
    </row>
    <row r="957" spans="2:3" ht="12.75" x14ac:dyDescent="0.2">
      <c r="B957" s="1"/>
      <c r="C957" s="1"/>
    </row>
    <row r="958" spans="2:3" ht="12.75" x14ac:dyDescent="0.2">
      <c r="B958" s="1"/>
      <c r="C958" s="1"/>
    </row>
    <row r="959" spans="2:3" ht="12.75" x14ac:dyDescent="0.2">
      <c r="B959" s="1"/>
      <c r="C959" s="1"/>
    </row>
    <row r="960" spans="2:3" ht="12.75" x14ac:dyDescent="0.2">
      <c r="B960" s="1"/>
      <c r="C960" s="1"/>
    </row>
    <row r="961" spans="2:3" ht="12.75" x14ac:dyDescent="0.2">
      <c r="B961" s="1"/>
      <c r="C961" s="1"/>
    </row>
    <row r="962" spans="2:3" ht="12.75" x14ac:dyDescent="0.2">
      <c r="B962" s="1"/>
      <c r="C962" s="1"/>
    </row>
    <row r="963" spans="2:3" ht="12.75" x14ac:dyDescent="0.2">
      <c r="B963" s="1"/>
      <c r="C963" s="1"/>
    </row>
    <row r="964" spans="2:3" ht="12.75" x14ac:dyDescent="0.2">
      <c r="B964" s="1"/>
      <c r="C964" s="1"/>
    </row>
    <row r="965" spans="2:3" ht="12.75" x14ac:dyDescent="0.2">
      <c r="B965" s="1"/>
      <c r="C965" s="1"/>
    </row>
    <row r="966" spans="2:3" ht="12.75" x14ac:dyDescent="0.2">
      <c r="B966" s="1"/>
      <c r="C966" s="1"/>
    </row>
    <row r="967" spans="2:3" ht="12.75" x14ac:dyDescent="0.2">
      <c r="B967" s="1"/>
      <c r="C967" s="1"/>
    </row>
    <row r="968" spans="2:3" ht="12.75" x14ac:dyDescent="0.2">
      <c r="B968" s="1"/>
      <c r="C968" s="1"/>
    </row>
    <row r="969" spans="2:3" ht="12.75" x14ac:dyDescent="0.2">
      <c r="B969" s="1"/>
      <c r="C969" s="1"/>
    </row>
    <row r="970" spans="2:3" ht="12.75" x14ac:dyDescent="0.2">
      <c r="B970" s="1"/>
      <c r="C970" s="1"/>
    </row>
    <row r="971" spans="2:3" ht="12.75" x14ac:dyDescent="0.2">
      <c r="B971" s="1"/>
      <c r="C971" s="1"/>
    </row>
    <row r="972" spans="2:3" ht="12.75" x14ac:dyDescent="0.2">
      <c r="B972" s="1"/>
      <c r="C972" s="1"/>
    </row>
    <row r="973" spans="2:3" ht="12.75" x14ac:dyDescent="0.2">
      <c r="B973" s="1"/>
      <c r="C973" s="1"/>
    </row>
    <row r="974" spans="2:3" ht="12.75" x14ac:dyDescent="0.2">
      <c r="B974" s="1"/>
      <c r="C974" s="1"/>
    </row>
    <row r="975" spans="2:3" ht="12.75" x14ac:dyDescent="0.2">
      <c r="B975" s="1"/>
      <c r="C975" s="1"/>
    </row>
    <row r="976" spans="2:3" ht="12.75" x14ac:dyDescent="0.2">
      <c r="B976" s="1"/>
      <c r="C976" s="1"/>
    </row>
    <row r="977" spans="2:3" ht="12.75" x14ac:dyDescent="0.2">
      <c r="B977" s="1"/>
      <c r="C977" s="1"/>
    </row>
    <row r="978" spans="2:3" ht="12.75" x14ac:dyDescent="0.2">
      <c r="B978" s="1"/>
      <c r="C978" s="1"/>
    </row>
    <row r="979" spans="2:3" ht="12.75" x14ac:dyDescent="0.2">
      <c r="B979" s="1"/>
      <c r="C979" s="1"/>
    </row>
    <row r="980" spans="2:3" ht="12.75" x14ac:dyDescent="0.2">
      <c r="B980" s="1"/>
      <c r="C980" s="1"/>
    </row>
    <row r="981" spans="2:3" ht="12.75" x14ac:dyDescent="0.2">
      <c r="B981" s="1"/>
      <c r="C981" s="1"/>
    </row>
    <row r="982" spans="2:3" ht="12.75" x14ac:dyDescent="0.2">
      <c r="B982" s="1"/>
      <c r="C982" s="1"/>
    </row>
    <row r="983" spans="2:3" ht="12.75" x14ac:dyDescent="0.2">
      <c r="B983" s="1"/>
      <c r="C983" s="1"/>
    </row>
    <row r="984" spans="2:3" ht="12.75" x14ac:dyDescent="0.2">
      <c r="B984" s="1"/>
      <c r="C984" s="1"/>
    </row>
    <row r="985" spans="2:3" ht="12.75" x14ac:dyDescent="0.2">
      <c r="B985" s="1"/>
      <c r="C985" s="1"/>
    </row>
    <row r="986" spans="2:3" ht="12.75" x14ac:dyDescent="0.2">
      <c r="B986" s="1"/>
      <c r="C986" s="1"/>
    </row>
    <row r="987" spans="2:3" ht="12.75" x14ac:dyDescent="0.2">
      <c r="B987" s="1"/>
      <c r="C987" s="1"/>
    </row>
    <row r="988" spans="2:3" ht="12.75" x14ac:dyDescent="0.2">
      <c r="B988" s="1"/>
      <c r="C988" s="1"/>
    </row>
    <row r="989" spans="2:3" ht="12.75" x14ac:dyDescent="0.2">
      <c r="B989" s="1"/>
      <c r="C989" s="1"/>
    </row>
    <row r="990" spans="2:3" ht="12.75" x14ac:dyDescent="0.2">
      <c r="B990" s="1"/>
      <c r="C990" s="1"/>
    </row>
    <row r="991" spans="2:3" ht="12.75" x14ac:dyDescent="0.2">
      <c r="B991" s="1"/>
      <c r="C991" s="1"/>
    </row>
    <row r="992" spans="2:3" ht="12.75" x14ac:dyDescent="0.2">
      <c r="B992" s="1"/>
      <c r="C992" s="1"/>
    </row>
    <row r="993" spans="2:3" ht="12.75" x14ac:dyDescent="0.2">
      <c r="B993" s="1"/>
      <c r="C993" s="1"/>
    </row>
    <row r="994" spans="2:3" ht="12.75" x14ac:dyDescent="0.2">
      <c r="B994" s="1"/>
      <c r="C994" s="1"/>
    </row>
    <row r="995" spans="2:3" ht="12.75" x14ac:dyDescent="0.2">
      <c r="B995" s="1"/>
      <c r="C995" s="1"/>
    </row>
    <row r="996" spans="2:3" ht="12.75" x14ac:dyDescent="0.2">
      <c r="B996" s="1"/>
      <c r="C996" s="1"/>
    </row>
    <row r="997" spans="2:3" ht="12.75" x14ac:dyDescent="0.2">
      <c r="B997" s="1"/>
      <c r="C997" s="1"/>
    </row>
    <row r="998" spans="2:3" ht="12.75" x14ac:dyDescent="0.2">
      <c r="B998" s="1"/>
      <c r="C998" s="1"/>
    </row>
    <row r="999" spans="2:3" ht="12.75" x14ac:dyDescent="0.2">
      <c r="B999" s="1"/>
      <c r="C999" s="1"/>
    </row>
    <row r="1000" spans="2:3" ht="12.75" x14ac:dyDescent="0.2">
      <c r="B1000" s="1"/>
      <c r="C1000" s="1"/>
    </row>
    <row r="1001" spans="2:3" ht="12.75" x14ac:dyDescent="0.2">
      <c r="B1001" s="1"/>
      <c r="C1001" s="1"/>
    </row>
    <row r="1002" spans="2:3" ht="12.75" x14ac:dyDescent="0.2">
      <c r="B1002" s="1"/>
      <c r="C1002" s="1"/>
    </row>
    <row r="1003" spans="2:3" ht="12.75" x14ac:dyDescent="0.2">
      <c r="B1003" s="1"/>
      <c r="C1003" s="1"/>
    </row>
    <row r="1004" spans="2:3" ht="12.75" x14ac:dyDescent="0.2">
      <c r="B1004" s="1"/>
      <c r="C1004" s="1"/>
    </row>
    <row r="1005" spans="2:3" ht="12.75" x14ac:dyDescent="0.2">
      <c r="B1005" s="1"/>
      <c r="C1005" s="1"/>
    </row>
    <row r="1006" spans="2:3" ht="12.75" x14ac:dyDescent="0.2">
      <c r="B1006" s="1"/>
      <c r="C1006" s="1"/>
    </row>
    <row r="1007" spans="2:3" ht="12.75" x14ac:dyDescent="0.2">
      <c r="B1007" s="1"/>
      <c r="C1007" s="1"/>
    </row>
    <row r="1008" spans="2:3" ht="12.75" x14ac:dyDescent="0.2">
      <c r="B1008" s="1"/>
      <c r="C1008" s="1"/>
    </row>
    <row r="1009" spans="2:3" ht="12.75" x14ac:dyDescent="0.2">
      <c r="B1009" s="1"/>
      <c r="C1009" s="1"/>
    </row>
    <row r="1010" spans="2:3" ht="12.75" x14ac:dyDescent="0.2">
      <c r="B1010" s="1"/>
      <c r="C1010" s="1"/>
    </row>
    <row r="1011" spans="2:3" ht="12.75" x14ac:dyDescent="0.2">
      <c r="B1011" s="1"/>
      <c r="C1011" s="1"/>
    </row>
    <row r="1012" spans="2:3" ht="12.75" x14ac:dyDescent="0.2">
      <c r="B1012" s="1"/>
      <c r="C1012" s="1"/>
    </row>
    <row r="1013" spans="2:3" ht="12.75" x14ac:dyDescent="0.2">
      <c r="B1013" s="1"/>
      <c r="C1013" s="1"/>
    </row>
    <row r="1014" spans="2:3" ht="12.75" x14ac:dyDescent="0.2">
      <c r="B1014" s="1"/>
      <c r="C1014" s="1"/>
    </row>
    <row r="1015" spans="2:3" ht="12.75" x14ac:dyDescent="0.2">
      <c r="B1015" s="1"/>
      <c r="C1015" s="1"/>
    </row>
    <row r="1016" spans="2:3" ht="12.75" x14ac:dyDescent="0.2">
      <c r="B1016" s="1"/>
      <c r="C1016" s="1"/>
    </row>
    <row r="1017" spans="2:3" ht="12.75" x14ac:dyDescent="0.2">
      <c r="B1017" s="1"/>
      <c r="C1017" s="1"/>
    </row>
    <row r="1018" spans="2:3" ht="12.75" x14ac:dyDescent="0.2">
      <c r="B1018" s="1"/>
      <c r="C1018" s="1"/>
    </row>
    <row r="1019" spans="2:3" ht="12.75" x14ac:dyDescent="0.2">
      <c r="B1019" s="1"/>
      <c r="C1019" s="1"/>
    </row>
    <row r="1020" spans="2:3" ht="12.75" x14ac:dyDescent="0.2">
      <c r="B1020" s="1"/>
      <c r="C1020" s="1"/>
    </row>
    <row r="1021" spans="2:3" ht="12.75" x14ac:dyDescent="0.2">
      <c r="B1021" s="1"/>
      <c r="C1021" s="1"/>
    </row>
    <row r="1022" spans="2:3" ht="12.75" x14ac:dyDescent="0.2">
      <c r="B1022" s="1"/>
      <c r="C1022" s="1"/>
    </row>
    <row r="1023" spans="2:3" ht="12.75" x14ac:dyDescent="0.2">
      <c r="B1023" s="1"/>
      <c r="C1023" s="1"/>
    </row>
    <row r="1024" spans="2:3" ht="12.75" x14ac:dyDescent="0.2">
      <c r="B1024" s="1"/>
      <c r="C1024" s="1"/>
    </row>
    <row r="1025" spans="2:3" ht="12.75" x14ac:dyDescent="0.2">
      <c r="B1025" s="1"/>
      <c r="C1025" s="1"/>
    </row>
    <row r="1026" spans="2:3" ht="12.75" x14ac:dyDescent="0.2">
      <c r="B1026" s="1"/>
      <c r="C1026" s="1"/>
    </row>
    <row r="1027" spans="2:3" ht="12.75" x14ac:dyDescent="0.2">
      <c r="B1027" s="1"/>
      <c r="C1027" s="1"/>
    </row>
    <row r="1028" spans="2:3" ht="12.75" x14ac:dyDescent="0.2">
      <c r="B1028" s="1"/>
      <c r="C1028" s="1"/>
    </row>
    <row r="1029" spans="2:3" ht="12.75" x14ac:dyDescent="0.2">
      <c r="B1029" s="1"/>
      <c r="C1029" s="1"/>
    </row>
    <row r="1030" spans="2:3" ht="12.75" x14ac:dyDescent="0.2">
      <c r="B1030" s="1"/>
      <c r="C1030" s="1"/>
    </row>
    <row r="1031" spans="2:3" ht="12.75" x14ac:dyDescent="0.2">
      <c r="B1031" s="1"/>
      <c r="C1031" s="1"/>
    </row>
    <row r="1032" spans="2:3" ht="12.75" x14ac:dyDescent="0.2">
      <c r="B1032" s="1"/>
      <c r="C1032" s="1"/>
    </row>
    <row r="1033" spans="2:3" ht="12.75" x14ac:dyDescent="0.2">
      <c r="B1033" s="1"/>
      <c r="C1033" s="1"/>
    </row>
    <row r="1034" spans="2:3" ht="12.75" x14ac:dyDescent="0.2">
      <c r="B1034" s="1"/>
      <c r="C1034" s="1"/>
    </row>
    <row r="1035" spans="2:3" ht="12.75" x14ac:dyDescent="0.2">
      <c r="B1035" s="1"/>
      <c r="C1035" s="1"/>
    </row>
    <row r="1036" spans="2:3" ht="12.75" x14ac:dyDescent="0.2">
      <c r="B1036" s="1"/>
      <c r="C1036" s="1"/>
    </row>
    <row r="1037" spans="2:3" ht="12.75" x14ac:dyDescent="0.2">
      <c r="B1037" s="1"/>
      <c r="C1037" s="1"/>
    </row>
    <row r="1038" spans="2:3" ht="12.75" x14ac:dyDescent="0.2">
      <c r="B1038" s="1"/>
      <c r="C1038" s="1"/>
    </row>
    <row r="1039" spans="2:3" ht="12.75" x14ac:dyDescent="0.2">
      <c r="B1039" s="1"/>
      <c r="C1039" s="1"/>
    </row>
    <row r="1040" spans="2:3" ht="12.75" x14ac:dyDescent="0.2">
      <c r="B1040" s="1"/>
      <c r="C1040" s="1"/>
    </row>
    <row r="1041" spans="2:3" ht="12.75" x14ac:dyDescent="0.2">
      <c r="B1041" s="1"/>
      <c r="C1041" s="1"/>
    </row>
    <row r="1042" spans="2:3" ht="12.75" x14ac:dyDescent="0.2">
      <c r="B1042" s="1"/>
      <c r="C1042" s="1"/>
    </row>
    <row r="1043" spans="2:3" ht="12.75" x14ac:dyDescent="0.2">
      <c r="B1043" s="1"/>
      <c r="C1043" s="1"/>
    </row>
    <row r="1044" spans="2:3" ht="12.75" x14ac:dyDescent="0.2">
      <c r="B1044" s="1"/>
      <c r="C1044" s="1"/>
    </row>
    <row r="1045" spans="2:3" ht="12.75" x14ac:dyDescent="0.2">
      <c r="B1045" s="1"/>
      <c r="C1045" s="1"/>
    </row>
    <row r="1046" spans="2:3" ht="12.75" x14ac:dyDescent="0.2">
      <c r="B1046" s="1"/>
      <c r="C1046" s="1"/>
    </row>
    <row r="1047" spans="2:3" ht="12.75" x14ac:dyDescent="0.2">
      <c r="B1047" s="1"/>
      <c r="C1047" s="1"/>
    </row>
    <row r="1048" spans="2:3" ht="12.75" x14ac:dyDescent="0.2">
      <c r="B1048" s="1"/>
      <c r="C1048" s="1"/>
    </row>
    <row r="1049" spans="2:3" ht="12.75" x14ac:dyDescent="0.2">
      <c r="B1049" s="1"/>
      <c r="C1049" s="1"/>
    </row>
    <row r="1050" spans="2:3" ht="12.75" x14ac:dyDescent="0.2">
      <c r="B1050" s="1"/>
      <c r="C1050" s="1"/>
    </row>
    <row r="1051" spans="2:3" ht="12.75" x14ac:dyDescent="0.2">
      <c r="B1051" s="1"/>
      <c r="C1051" s="1"/>
    </row>
    <row r="1052" spans="2:3" ht="12.75" x14ac:dyDescent="0.2">
      <c r="B1052" s="1"/>
      <c r="C1052" s="1"/>
    </row>
    <row r="1053" spans="2:3" ht="12.75" x14ac:dyDescent="0.2">
      <c r="B1053" s="1"/>
      <c r="C1053" s="1"/>
    </row>
    <row r="1054" spans="2:3" ht="12.75" x14ac:dyDescent="0.2">
      <c r="B1054" s="1"/>
      <c r="C1054" s="1"/>
    </row>
    <row r="1055" spans="2:3" ht="12.75" x14ac:dyDescent="0.2">
      <c r="B1055" s="1"/>
      <c r="C1055" s="1"/>
    </row>
    <row r="1056" spans="2:3" ht="12.75" x14ac:dyDescent="0.2">
      <c r="B1056" s="1"/>
      <c r="C1056" s="1"/>
    </row>
    <row r="1057" spans="2:3" ht="12.75" x14ac:dyDescent="0.2">
      <c r="B1057" s="1"/>
      <c r="C1057" s="1"/>
    </row>
    <row r="1058" spans="2:3" ht="12.75" x14ac:dyDescent="0.2">
      <c r="B1058" s="1"/>
      <c r="C1058" s="1"/>
    </row>
    <row r="1059" spans="2:3" ht="12.75" x14ac:dyDescent="0.2">
      <c r="B1059" s="1"/>
      <c r="C1059" s="1"/>
    </row>
    <row r="1060" spans="2:3" ht="12.75" x14ac:dyDescent="0.2">
      <c r="B1060" s="1"/>
      <c r="C1060" s="1"/>
    </row>
    <row r="1061" spans="2:3" ht="12.75" x14ac:dyDescent="0.2">
      <c r="B1061" s="1"/>
      <c r="C1061" s="1"/>
    </row>
    <row r="1062" spans="2:3" ht="12.75" x14ac:dyDescent="0.2">
      <c r="B1062" s="1"/>
      <c r="C1062" s="1"/>
    </row>
  </sheetData>
  <autoFilter ref="A1:F677" xr:uid="{00000000-0009-0000-0000-000003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300-000000000000}">
          <x14:formula1>
            <xm:f>Equipment!$B$2:$B$1066</xm:f>
          </x14:formula1>
          <xm:sqref>B2:B538 B546:B1062</xm:sqref>
        </x14:dataValidation>
        <x14:dataValidation type="list" allowBlank="1" showErrorMessage="1" xr:uid="{00000000-0002-0000-0300-000001000000}">
          <x14:formula1>
            <xm:f>Skill!$B$2:$B$1000</xm:f>
          </x14:formula1>
          <xm:sqref>C2:C538 I546:I583 C546:C1062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AI1065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1" width="12.5703125" hidden="1"/>
    <col min="2" max="2" width="19.5703125" customWidth="1"/>
    <col min="5" max="5" width="17.140625" customWidth="1"/>
    <col min="6" max="6" width="21.140625" customWidth="1"/>
    <col min="16" max="16" width="22.7109375" customWidth="1"/>
  </cols>
  <sheetData>
    <row r="1" spans="1:17" ht="12.75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27</v>
      </c>
      <c r="M1" s="1" t="s">
        <v>29</v>
      </c>
      <c r="N1" s="1" t="s">
        <v>5</v>
      </c>
    </row>
    <row r="2" spans="1:17" ht="12.75" hidden="1" x14ac:dyDescent="0.2">
      <c r="B2" s="1" t="s">
        <v>593</v>
      </c>
      <c r="C2" s="1" t="s">
        <v>34</v>
      </c>
      <c r="D2" s="1" t="s">
        <v>596</v>
      </c>
      <c r="E2" s="1" t="s">
        <v>599</v>
      </c>
      <c r="F2" s="1"/>
      <c r="G2" s="1">
        <f>IF(ISNA(VLOOKUP(F2,Monster!B:E,4,FALSE)),0,VLOOKUP(F2,Monster!B:E,4,FALSE))</f>
        <v>0</v>
      </c>
      <c r="I2" s="1" t="s">
        <v>620</v>
      </c>
      <c r="J2" s="1">
        <v>1596</v>
      </c>
      <c r="K2" s="1">
        <v>0</v>
      </c>
      <c r="L2" s="1">
        <v>0</v>
      </c>
      <c r="M2" s="1" t="s">
        <v>107</v>
      </c>
      <c r="O2" s="1">
        <f>((NOT(ISNA(VLOOKUP(M2,Monster!$H$2:$I$6,2,FALSE)))*L2)+J2)*(1+K2/100*0.25)</f>
        <v>1596</v>
      </c>
      <c r="P2" s="1" t="s">
        <v>410</v>
      </c>
      <c r="Q2" s="1">
        <v>2</v>
      </c>
    </row>
    <row r="3" spans="1:17" ht="12.75" hidden="1" x14ac:dyDescent="0.2">
      <c r="B3" s="1" t="s">
        <v>658</v>
      </c>
      <c r="C3" s="1" t="s">
        <v>324</v>
      </c>
      <c r="D3" s="1" t="s">
        <v>596</v>
      </c>
      <c r="E3" s="1" t="s">
        <v>599</v>
      </c>
      <c r="F3" s="1" t="s">
        <v>11</v>
      </c>
      <c r="G3" s="1">
        <f>IF(ISNA(VLOOKUP(F3,Monster!B:E,4,FALSE)),0,VLOOKUP(F3,Monster!B:E,4,FALSE))</f>
        <v>1</v>
      </c>
      <c r="I3" s="1" t="s">
        <v>673</v>
      </c>
      <c r="J3" s="1">
        <v>1373</v>
      </c>
      <c r="K3" s="1">
        <v>0</v>
      </c>
      <c r="L3" s="1">
        <v>607</v>
      </c>
      <c r="M3" s="1" t="s">
        <v>50</v>
      </c>
      <c r="O3" s="1">
        <f>((NOT(ISNA(VLOOKUP(M3,Monster!$H$2:$I$6,2,FALSE)))*L3)+J3)*(1+K3/100*0.25)</f>
        <v>1980</v>
      </c>
      <c r="P3" s="1" t="s">
        <v>348</v>
      </c>
      <c r="Q3" s="1">
        <v>2</v>
      </c>
    </row>
    <row r="4" spans="1:17" ht="12.75" hidden="1" x14ac:dyDescent="0.2">
      <c r="C4" s="1" t="s">
        <v>439</v>
      </c>
      <c r="D4" s="1" t="s">
        <v>596</v>
      </c>
      <c r="E4" s="1" t="s">
        <v>599</v>
      </c>
      <c r="F4" s="1" t="s">
        <v>47</v>
      </c>
      <c r="G4" s="1">
        <f>IF(ISNA(VLOOKUP(F4,Monster!B:E,4,FALSE)),0,VLOOKUP(F4,Monster!B:E,4,FALSE))</f>
        <v>2</v>
      </c>
      <c r="L4" s="1">
        <v>0</v>
      </c>
      <c r="M4" s="1" t="s">
        <v>107</v>
      </c>
      <c r="O4" s="1">
        <f>((NOT(ISNA(VLOOKUP(M4,Monster!$H$2:$I$6,2,FALSE)))*L4)+J4)*(1+K4/100*0.25)</f>
        <v>0</v>
      </c>
      <c r="P4" s="1" t="s">
        <v>319</v>
      </c>
      <c r="Q4" s="1">
        <v>2</v>
      </c>
    </row>
    <row r="5" spans="1:17" ht="12.75" hidden="1" x14ac:dyDescent="0.2">
      <c r="B5" s="1" t="s">
        <v>712</v>
      </c>
      <c r="C5" s="1" t="s">
        <v>541</v>
      </c>
      <c r="D5" s="1" t="s">
        <v>596</v>
      </c>
      <c r="E5" s="1" t="s">
        <v>599</v>
      </c>
      <c r="F5" s="1" t="s">
        <v>52</v>
      </c>
      <c r="G5" s="1">
        <f>IF(ISNA(VLOOKUP(F5,Monster!B:E,4,FALSE)),0,VLOOKUP(F5,Monster!B:E,4,FALSE))</f>
        <v>3</v>
      </c>
      <c r="I5" s="1" t="s">
        <v>714</v>
      </c>
      <c r="J5" s="1">
        <v>1596</v>
      </c>
      <c r="K5" s="1">
        <v>0</v>
      </c>
      <c r="L5" s="1">
        <v>400</v>
      </c>
      <c r="M5" s="1" t="s">
        <v>79</v>
      </c>
      <c r="O5" s="1">
        <f>((NOT(ISNA(VLOOKUP(M5,Monster!$H$2:$I$6,2,FALSE)))*L5)+J5)*(1+K5/100*0.25)</f>
        <v>1596</v>
      </c>
      <c r="P5" s="1" t="s">
        <v>590</v>
      </c>
      <c r="Q5" s="1">
        <v>1</v>
      </c>
    </row>
    <row r="6" spans="1:17" ht="12.75" hidden="1" x14ac:dyDescent="0.2">
      <c r="B6" s="1" t="s">
        <v>717</v>
      </c>
      <c r="C6" s="1" t="s">
        <v>617</v>
      </c>
      <c r="D6" s="1" t="s">
        <v>596</v>
      </c>
      <c r="E6" s="1" t="s">
        <v>599</v>
      </c>
      <c r="F6" s="1" t="s">
        <v>60</v>
      </c>
      <c r="G6" s="1">
        <f>IF(ISNA(VLOOKUP(F6,Monster!B:E,4,FALSE)),0,VLOOKUP(F6,Monster!B:E,4,FALSE))</f>
        <v>4</v>
      </c>
      <c r="I6" s="1" t="s">
        <v>717</v>
      </c>
      <c r="J6" s="1">
        <v>1221</v>
      </c>
      <c r="K6" s="1">
        <v>0</v>
      </c>
      <c r="L6" s="1">
        <v>1142</v>
      </c>
      <c r="M6" s="1" t="s">
        <v>50</v>
      </c>
      <c r="O6" s="1">
        <f>((NOT(ISNA(VLOOKUP(M6,Monster!$H$2:$I$6,2,FALSE)))*L6)+J6)*(1+K6/100*0.25)</f>
        <v>2363</v>
      </c>
      <c r="P6" s="1" t="s">
        <v>244</v>
      </c>
      <c r="Q6" s="1">
        <v>1</v>
      </c>
    </row>
    <row r="7" spans="1:17" ht="12.75" hidden="1" x14ac:dyDescent="0.2">
      <c r="B7" s="1" t="s">
        <v>721</v>
      </c>
      <c r="C7" s="1" t="s">
        <v>696</v>
      </c>
      <c r="D7" s="1" t="s">
        <v>596</v>
      </c>
      <c r="E7" s="1" t="s">
        <v>599</v>
      </c>
      <c r="F7" s="1" t="s">
        <v>69</v>
      </c>
      <c r="G7" s="1">
        <f>IF(ISNA(VLOOKUP(F7,Monster!B:E,4,FALSE)),0,VLOOKUP(F7,Monster!B:E,4,FALSE))</f>
        <v>5</v>
      </c>
      <c r="I7" s="1" t="s">
        <v>722</v>
      </c>
      <c r="J7" s="1">
        <v>1756</v>
      </c>
      <c r="K7" s="1">
        <v>0</v>
      </c>
      <c r="L7" s="1">
        <v>0</v>
      </c>
      <c r="M7" s="1" t="s">
        <v>107</v>
      </c>
      <c r="O7" s="1">
        <f>((NOT(ISNA(VLOOKUP(M7,Monster!$H$2:$I$6,2,FALSE)))*L7)+J7)*(1+K7/100*0.25)</f>
        <v>1756</v>
      </c>
      <c r="P7" s="1" t="s">
        <v>213</v>
      </c>
      <c r="Q7" s="1">
        <v>2</v>
      </c>
    </row>
    <row r="8" spans="1:17" ht="12.75" hidden="1" x14ac:dyDescent="0.2">
      <c r="B8" s="1" t="s">
        <v>725</v>
      </c>
      <c r="C8" s="1" t="s">
        <v>719</v>
      </c>
      <c r="D8" s="1" t="s">
        <v>596</v>
      </c>
      <c r="E8" s="1" t="s">
        <v>599</v>
      </c>
      <c r="F8" s="1" t="s">
        <v>75</v>
      </c>
      <c r="G8" s="1">
        <f>IF(ISNA(VLOOKUP(F8,Monster!B:E,4,FALSE)),0,VLOOKUP(F8,Monster!B:E,4,FALSE))</f>
        <v>6</v>
      </c>
      <c r="I8" s="1" t="s">
        <v>726</v>
      </c>
      <c r="J8" s="1">
        <v>1596</v>
      </c>
      <c r="K8" s="1">
        <v>0</v>
      </c>
      <c r="L8" s="1">
        <v>400</v>
      </c>
      <c r="M8" s="1" t="s">
        <v>87</v>
      </c>
      <c r="O8" s="1">
        <f>((NOT(ISNA(VLOOKUP(M8,Monster!$H$2:$I$6,2,FALSE)))*L8)+J8)*(1+K8/100*0.25)</f>
        <v>1596</v>
      </c>
      <c r="P8" s="1" t="s">
        <v>590</v>
      </c>
      <c r="Q8" s="1">
        <v>1</v>
      </c>
    </row>
    <row r="9" spans="1:17" ht="12.75" hidden="1" x14ac:dyDescent="0.2">
      <c r="B9" s="1" t="s">
        <v>730</v>
      </c>
      <c r="C9" s="1" t="s">
        <v>729</v>
      </c>
      <c r="D9" s="1" t="s">
        <v>596</v>
      </c>
      <c r="E9" s="1" t="s">
        <v>599</v>
      </c>
      <c r="F9" s="1" t="s">
        <v>81</v>
      </c>
      <c r="G9" s="1">
        <f>IF(ISNA(VLOOKUP(F9,Monster!B:E,4,FALSE)),0,VLOOKUP(F9,Monster!B:E,4,FALSE))</f>
        <v>7</v>
      </c>
      <c r="I9" s="1" t="s">
        <v>731</v>
      </c>
      <c r="J9" s="1">
        <v>1293</v>
      </c>
      <c r="K9" s="1">
        <v>0</v>
      </c>
      <c r="L9" s="1">
        <v>910</v>
      </c>
      <c r="M9" s="1" t="s">
        <v>58</v>
      </c>
      <c r="O9" s="1">
        <f>((NOT(ISNA(VLOOKUP(M9,Monster!$H$2:$I$6,2,FALSE)))*L9)+J9)*(1+K9/100*0.25)</f>
        <v>2203</v>
      </c>
      <c r="P9" s="1" t="s">
        <v>253</v>
      </c>
      <c r="Q9" s="1">
        <v>1</v>
      </c>
    </row>
    <row r="10" spans="1:17" ht="12.75" hidden="1" x14ac:dyDescent="0.2">
      <c r="B10" s="1" t="s">
        <v>734</v>
      </c>
      <c r="C10" s="1" t="s">
        <v>735</v>
      </c>
      <c r="D10" s="1" t="s">
        <v>596</v>
      </c>
      <c r="E10" s="1" t="s">
        <v>599</v>
      </c>
      <c r="F10" s="1" t="s">
        <v>91</v>
      </c>
      <c r="G10" s="1">
        <f>IF(ISNA(VLOOKUP(F10,Monster!B:E,4,FALSE)),0,VLOOKUP(F10,Monster!B:E,4,FALSE))</f>
        <v>8</v>
      </c>
      <c r="I10" s="1" t="s">
        <v>736</v>
      </c>
      <c r="J10" s="1">
        <v>1764</v>
      </c>
      <c r="K10" s="1">
        <v>0</v>
      </c>
      <c r="L10" s="1">
        <v>0</v>
      </c>
      <c r="M10" s="1" t="s">
        <v>107</v>
      </c>
      <c r="O10" s="1">
        <f>((NOT(ISNA(VLOOKUP(M10,Monster!$H$2:$I$6,2,FALSE)))*L10)+J10)*(1+K10/100*0.25)</f>
        <v>1764</v>
      </c>
      <c r="P10" s="1" t="s">
        <v>228</v>
      </c>
      <c r="Q10" s="1">
        <v>2</v>
      </c>
    </row>
    <row r="11" spans="1:17" ht="12.75" hidden="1" x14ac:dyDescent="0.2">
      <c r="B11" s="1" t="s">
        <v>739</v>
      </c>
      <c r="C11" s="1" t="s">
        <v>740</v>
      </c>
      <c r="D11" s="1" t="s">
        <v>596</v>
      </c>
      <c r="E11" s="1" t="s">
        <v>599</v>
      </c>
      <c r="F11" s="1" t="s">
        <v>97</v>
      </c>
      <c r="G11" s="1">
        <f>IF(ISNA(VLOOKUP(F11,Monster!B:E,4,FALSE)),0,VLOOKUP(F11,Monster!B:E,4,FALSE))</f>
        <v>9</v>
      </c>
      <c r="I11" s="1" t="s">
        <v>739</v>
      </c>
      <c r="J11" s="1">
        <v>1756</v>
      </c>
      <c r="K11" s="1">
        <v>0</v>
      </c>
      <c r="L11" s="1">
        <v>300</v>
      </c>
      <c r="M11" s="1" t="s">
        <v>95</v>
      </c>
      <c r="O11" s="1">
        <f>((NOT(ISNA(VLOOKUP(M11,Monster!$H$2:$I$6,2,FALSE)))*L11)+J11)*(1+K11/100*0.25)</f>
        <v>1756</v>
      </c>
      <c r="P11" s="1" t="s">
        <v>590</v>
      </c>
      <c r="Q11" s="1">
        <v>1</v>
      </c>
    </row>
    <row r="12" spans="1:17" ht="12.75" hidden="1" x14ac:dyDescent="0.2">
      <c r="B12" s="1" t="s">
        <v>744</v>
      </c>
      <c r="C12" s="1" t="s">
        <v>745</v>
      </c>
      <c r="D12" s="1" t="s">
        <v>596</v>
      </c>
      <c r="E12" s="1" t="s">
        <v>599</v>
      </c>
      <c r="F12" s="1" t="s">
        <v>102</v>
      </c>
      <c r="G12" s="1">
        <f>IF(ISNA(VLOOKUP(F12,Monster!B:E,4,FALSE)),0,VLOOKUP(F12,Monster!B:E,4,FALSE))</f>
        <v>10</v>
      </c>
      <c r="I12" s="1" t="s">
        <v>747</v>
      </c>
      <c r="J12" s="1">
        <v>1293</v>
      </c>
      <c r="K12" s="1">
        <v>0</v>
      </c>
      <c r="L12" s="1">
        <v>910</v>
      </c>
      <c r="M12" s="1" t="s">
        <v>50</v>
      </c>
      <c r="O12" s="1">
        <f>((NOT(ISNA(VLOOKUP(M12,Monster!$H$2:$I$6,2,FALSE)))*L12)+J12)*(1+K12/100*0.25)</f>
        <v>2203</v>
      </c>
      <c r="P12" s="1" t="s">
        <v>394</v>
      </c>
      <c r="Q12" s="1">
        <v>1</v>
      </c>
    </row>
    <row r="13" spans="1:17" ht="12.75" hidden="1" x14ac:dyDescent="0.2">
      <c r="B13" s="1" t="s">
        <v>749</v>
      </c>
      <c r="C13" s="1" t="s">
        <v>750</v>
      </c>
      <c r="D13" s="1" t="s">
        <v>596</v>
      </c>
      <c r="E13" s="1" t="s">
        <v>599</v>
      </c>
      <c r="F13" s="1" t="s">
        <v>109</v>
      </c>
      <c r="G13" s="1">
        <f>IF(ISNA(VLOOKUP(F13,Monster!B:E,4,FALSE)),0,VLOOKUP(F13,Monster!B:E,4,FALSE))</f>
        <v>11</v>
      </c>
      <c r="I13" s="1" t="s">
        <v>752</v>
      </c>
      <c r="J13" s="1">
        <v>1293</v>
      </c>
      <c r="K13" s="1">
        <v>0</v>
      </c>
      <c r="L13" s="1">
        <v>910</v>
      </c>
      <c r="M13" s="1" t="s">
        <v>41</v>
      </c>
      <c r="O13" s="1">
        <f>((NOT(ISNA(VLOOKUP(M13,Monster!$H$2:$I$6,2,FALSE)))*L13)+J13)*(1+K13/100*0.25)</f>
        <v>2203</v>
      </c>
      <c r="P13" s="1" t="s">
        <v>543</v>
      </c>
      <c r="Q13" s="1">
        <v>1</v>
      </c>
    </row>
    <row r="14" spans="1:17" ht="12.75" hidden="1" x14ac:dyDescent="0.2">
      <c r="B14" s="1" t="s">
        <v>755</v>
      </c>
      <c r="C14" s="1" t="s">
        <v>756</v>
      </c>
      <c r="D14" s="1" t="s">
        <v>596</v>
      </c>
      <c r="E14" s="1" t="s">
        <v>599</v>
      </c>
      <c r="F14" s="1" t="s">
        <v>119</v>
      </c>
      <c r="G14" s="1">
        <f>IF(ISNA(VLOOKUP(F14,Monster!B:E,4,FALSE)),0,VLOOKUP(F14,Monster!B:E,4,FALSE))</f>
        <v>12</v>
      </c>
      <c r="I14" s="1" t="s">
        <v>755</v>
      </c>
      <c r="J14" s="1">
        <v>1197</v>
      </c>
      <c r="K14" s="1">
        <v>20</v>
      </c>
      <c r="L14" s="1">
        <v>1154</v>
      </c>
      <c r="M14" s="1" t="s">
        <v>58</v>
      </c>
      <c r="O14" s="1">
        <f>((NOT(ISNA(VLOOKUP(M14,Monster!$H$2:$I$6,2,FALSE)))*L14)+J14)*(1+K14/100*0.25)</f>
        <v>2468.5500000000002</v>
      </c>
      <c r="P14" s="1" t="s">
        <v>175</v>
      </c>
      <c r="Q14" s="1">
        <v>1</v>
      </c>
    </row>
    <row r="15" spans="1:17" ht="12.75" hidden="1" x14ac:dyDescent="0.2">
      <c r="B15" s="1" t="s">
        <v>760</v>
      </c>
      <c r="C15" s="1" t="s">
        <v>761</v>
      </c>
      <c r="D15" s="1" t="s">
        <v>596</v>
      </c>
      <c r="E15" s="1" t="s">
        <v>599</v>
      </c>
      <c r="F15" s="1" t="s">
        <v>125</v>
      </c>
      <c r="G15" s="1">
        <f>IF(ISNA(VLOOKUP(F15,Monster!B:E,4,FALSE)),0,VLOOKUP(F15,Monster!B:E,4,FALSE))</f>
        <v>13</v>
      </c>
      <c r="I15" s="1" t="s">
        <v>763</v>
      </c>
      <c r="J15" s="1">
        <v>1516</v>
      </c>
      <c r="K15" s="1">
        <v>0</v>
      </c>
      <c r="L15" s="1">
        <v>496</v>
      </c>
      <c r="M15" s="1" t="s">
        <v>79</v>
      </c>
      <c r="O15" s="1">
        <f>((NOT(ISNA(VLOOKUP(M15,Monster!$H$2:$I$6,2,FALSE)))*L15)+J15)*(1+K15/100*0.25)</f>
        <v>1516</v>
      </c>
      <c r="P15" s="1" t="s">
        <v>348</v>
      </c>
      <c r="Q15" s="1">
        <v>2</v>
      </c>
    </row>
    <row r="16" spans="1:17" ht="12.75" hidden="1" x14ac:dyDescent="0.2">
      <c r="B16" s="1" t="s">
        <v>765</v>
      </c>
      <c r="C16" s="1" t="s">
        <v>766</v>
      </c>
      <c r="D16" s="1" t="s">
        <v>596</v>
      </c>
      <c r="E16" s="1" t="s">
        <v>599</v>
      </c>
      <c r="F16" s="1" t="s">
        <v>131</v>
      </c>
      <c r="G16" s="1">
        <f>IF(ISNA(VLOOKUP(F16,Monster!B:E,4,FALSE)),0,VLOOKUP(F16,Monster!B:E,4,FALSE))</f>
        <v>14</v>
      </c>
      <c r="I16" s="1" t="s">
        <v>768</v>
      </c>
      <c r="J16" s="1">
        <v>1756</v>
      </c>
      <c r="K16" s="1">
        <v>0</v>
      </c>
      <c r="L16" s="1">
        <v>300</v>
      </c>
      <c r="M16" s="1" t="s">
        <v>79</v>
      </c>
      <c r="O16" s="1">
        <f>((NOT(ISNA(VLOOKUP(M16,Monster!$H$2:$I$6,2,FALSE)))*L16)+J16)*(1+K16/100*0.25)</f>
        <v>1756</v>
      </c>
      <c r="P16" s="1" t="s">
        <v>253</v>
      </c>
      <c r="Q16" s="1">
        <v>1</v>
      </c>
    </row>
    <row r="17" spans="2:17" ht="12.75" hidden="1" x14ac:dyDescent="0.2">
      <c r="B17" s="1" t="s">
        <v>770</v>
      </c>
      <c r="C17" s="1" t="s">
        <v>771</v>
      </c>
      <c r="D17" s="1" t="s">
        <v>596</v>
      </c>
      <c r="E17" s="1" t="s">
        <v>599</v>
      </c>
      <c r="F17" s="1" t="s">
        <v>137</v>
      </c>
      <c r="G17" s="1">
        <f>IF(ISNA(VLOOKUP(F17,Monster!B:E,4,FALSE)),0,VLOOKUP(F17,Monster!B:E,4,FALSE))</f>
        <v>15</v>
      </c>
      <c r="I17" s="1" t="s">
        <v>770</v>
      </c>
      <c r="J17" s="1">
        <v>1675</v>
      </c>
      <c r="K17" s="1">
        <v>30</v>
      </c>
      <c r="L17" s="1">
        <v>399</v>
      </c>
      <c r="M17" s="1" t="s">
        <v>79</v>
      </c>
      <c r="O17" s="1">
        <f>((NOT(ISNA(VLOOKUP(M17,Monster!$H$2:$I$6,2,FALSE)))*L17)+J17)*(1+K17/100*0.25)</f>
        <v>1800.625</v>
      </c>
      <c r="P17" s="1" t="s">
        <v>483</v>
      </c>
      <c r="Q17" s="1">
        <v>2</v>
      </c>
    </row>
    <row r="18" spans="2:17" ht="12.75" hidden="1" x14ac:dyDescent="0.2">
      <c r="B18" s="1" t="s">
        <v>774</v>
      </c>
      <c r="C18" s="1" t="s">
        <v>775</v>
      </c>
      <c r="D18" s="1" t="s">
        <v>596</v>
      </c>
      <c r="E18" s="1" t="s">
        <v>599</v>
      </c>
      <c r="F18" s="1" t="s">
        <v>146</v>
      </c>
      <c r="G18" s="1">
        <f>IF(ISNA(VLOOKUP(F18,Monster!B:E,4,FALSE)),0,VLOOKUP(F18,Monster!B:E,4,FALSE))</f>
        <v>16</v>
      </c>
      <c r="I18" s="1" t="s">
        <v>777</v>
      </c>
      <c r="J18" s="1">
        <v>1221</v>
      </c>
      <c r="K18" s="1">
        <v>0</v>
      </c>
      <c r="L18" s="1">
        <v>1142</v>
      </c>
      <c r="M18" s="1" t="s">
        <v>66</v>
      </c>
      <c r="O18" s="1">
        <f>((NOT(ISNA(VLOOKUP(M18,Monster!$H$2:$I$6,2,FALSE)))*L18)+J18)*(1+K18/100*0.25)</f>
        <v>2363</v>
      </c>
      <c r="P18" s="1" t="s">
        <v>228</v>
      </c>
      <c r="Q18" s="1">
        <v>2</v>
      </c>
    </row>
    <row r="19" spans="2:17" ht="12.75" hidden="1" x14ac:dyDescent="0.2">
      <c r="B19" s="1"/>
      <c r="C19" s="1" t="s">
        <v>779</v>
      </c>
      <c r="D19" s="1" t="s">
        <v>596</v>
      </c>
      <c r="E19" s="1" t="s">
        <v>599</v>
      </c>
      <c r="F19" s="1" t="s">
        <v>151</v>
      </c>
      <c r="G19" s="1">
        <f>IF(ISNA(VLOOKUP(F19,Monster!B:E,4,FALSE)),0,VLOOKUP(F19,Monster!B:E,4,FALSE))</f>
        <v>17</v>
      </c>
      <c r="L19" s="1">
        <v>0</v>
      </c>
      <c r="M19" s="1" t="s">
        <v>107</v>
      </c>
      <c r="O19" s="1">
        <f>((NOT(ISNA(VLOOKUP(M19,Monster!$H$2:$I$6,2,FALSE)))*L19)+J19)*(1+K19/100*0.25)</f>
        <v>0</v>
      </c>
      <c r="P19" s="1" t="s">
        <v>364</v>
      </c>
      <c r="Q19" s="1">
        <v>1</v>
      </c>
    </row>
    <row r="20" spans="2:17" ht="12.75" hidden="1" x14ac:dyDescent="0.2">
      <c r="B20" s="1"/>
      <c r="C20" s="1" t="s">
        <v>782</v>
      </c>
      <c r="D20" s="1" t="s">
        <v>596</v>
      </c>
      <c r="E20" s="1" t="s">
        <v>599</v>
      </c>
      <c r="F20" s="1" t="s">
        <v>155</v>
      </c>
      <c r="G20" s="1">
        <f>IF(ISNA(VLOOKUP(F20,Monster!B:E,4,FALSE)),0,VLOOKUP(F20,Monster!B:E,4,FALSE))</f>
        <v>18</v>
      </c>
      <c r="L20" s="1">
        <v>0</v>
      </c>
      <c r="M20" s="1" t="s">
        <v>107</v>
      </c>
      <c r="O20" s="1">
        <f>((NOT(ISNA(VLOOKUP(M20,Monster!$H$2:$I$6,2,FALSE)))*L20)+J20)*(1+K20/100*0.25)</f>
        <v>0</v>
      </c>
      <c r="P20" s="1" t="s">
        <v>463</v>
      </c>
      <c r="Q20" s="1">
        <v>1</v>
      </c>
    </row>
    <row r="21" spans="2:17" ht="12.75" hidden="1" x14ac:dyDescent="0.2">
      <c r="B21" s="1" t="s">
        <v>785</v>
      </c>
      <c r="C21" s="1" t="s">
        <v>786</v>
      </c>
      <c r="D21" s="1" t="s">
        <v>596</v>
      </c>
      <c r="E21" s="1" t="s">
        <v>599</v>
      </c>
      <c r="F21" s="1" t="s">
        <v>160</v>
      </c>
      <c r="G21" s="1">
        <f>IF(ISNA(VLOOKUP(F21,Monster!B:E,4,FALSE)),0,VLOOKUP(F21,Monster!B:E,4,FALSE))</f>
        <v>19</v>
      </c>
      <c r="I21" s="1" t="s">
        <v>788</v>
      </c>
      <c r="J21" s="1">
        <v>1221</v>
      </c>
      <c r="K21" s="1">
        <v>0</v>
      </c>
      <c r="L21" s="1">
        <v>1142</v>
      </c>
      <c r="M21" s="1" t="s">
        <v>41</v>
      </c>
      <c r="O21" s="1">
        <f>((NOT(ISNA(VLOOKUP(M21,Monster!$H$2:$I$6,2,FALSE)))*L21)+J21)*(1+K21/100*0.25)</f>
        <v>2363</v>
      </c>
      <c r="P21" s="1" t="s">
        <v>244</v>
      </c>
      <c r="Q21" s="1">
        <v>1</v>
      </c>
    </row>
    <row r="22" spans="2:17" ht="12.75" hidden="1" x14ac:dyDescent="0.2">
      <c r="B22" s="1" t="s">
        <v>789</v>
      </c>
      <c r="C22" s="1" t="s">
        <v>790</v>
      </c>
      <c r="D22" s="1" t="s">
        <v>596</v>
      </c>
      <c r="E22" s="1" t="s">
        <v>599</v>
      </c>
      <c r="F22" s="1" t="s">
        <v>165</v>
      </c>
      <c r="G22" s="1">
        <f>IF(ISNA(VLOOKUP(F22,Monster!B:E,4,FALSE)),0,VLOOKUP(F22,Monster!B:E,4,FALSE))</f>
        <v>20</v>
      </c>
      <c r="I22" s="1" t="s">
        <v>789</v>
      </c>
      <c r="J22" s="1">
        <v>1682</v>
      </c>
      <c r="K22" s="1">
        <v>0</v>
      </c>
      <c r="L22" s="1">
        <v>605</v>
      </c>
      <c r="M22" s="1" t="s">
        <v>41</v>
      </c>
      <c r="O22" s="1">
        <f>((NOT(ISNA(VLOOKUP(M22,Monster!$H$2:$I$6,2,FALSE)))*L22)+J22)*(1+K22/100*0.25)</f>
        <v>2287</v>
      </c>
      <c r="P22" s="1" t="s">
        <v>602</v>
      </c>
      <c r="Q22" s="1">
        <v>1</v>
      </c>
    </row>
    <row r="23" spans="2:17" ht="12.75" hidden="1" x14ac:dyDescent="0.2">
      <c r="B23" s="1" t="s">
        <v>793</v>
      </c>
      <c r="C23" s="1" t="s">
        <v>794</v>
      </c>
      <c r="D23" s="1" t="s">
        <v>596</v>
      </c>
      <c r="E23" s="1" t="s">
        <v>599</v>
      </c>
      <c r="F23" s="1" t="s">
        <v>171</v>
      </c>
      <c r="G23" s="1">
        <f>IF(ISNA(VLOOKUP(F23,Monster!B:E,4,FALSE)),0,VLOOKUP(F23,Monster!B:E,4,FALSE))</f>
        <v>21</v>
      </c>
      <c r="I23" s="1" t="s">
        <v>793</v>
      </c>
      <c r="J23" s="1">
        <v>1258</v>
      </c>
      <c r="K23" s="1">
        <v>30</v>
      </c>
      <c r="L23" s="1">
        <v>1082</v>
      </c>
      <c r="M23" s="1" t="s">
        <v>41</v>
      </c>
      <c r="O23" s="1">
        <f>((NOT(ISNA(VLOOKUP(M23,Monster!$H$2:$I$6,2,FALSE)))*L23)+J23)*(1+K23/100*0.25)</f>
        <v>2515.5</v>
      </c>
      <c r="P23" s="1" t="s">
        <v>175</v>
      </c>
      <c r="Q23" s="1">
        <v>2</v>
      </c>
    </row>
    <row r="24" spans="2:17" ht="12.75" hidden="1" x14ac:dyDescent="0.2">
      <c r="B24" s="1" t="s">
        <v>796</v>
      </c>
      <c r="C24" s="1" t="s">
        <v>797</v>
      </c>
      <c r="D24" s="1" t="s">
        <v>596</v>
      </c>
      <c r="E24" s="1" t="s">
        <v>599</v>
      </c>
      <c r="F24" s="1" t="s">
        <v>176</v>
      </c>
      <c r="G24" s="1">
        <f>IF(ISNA(VLOOKUP(F24,Monster!B:E,4,FALSE)),0,VLOOKUP(F24,Monster!B:E,4,FALSE))</f>
        <v>22</v>
      </c>
      <c r="I24" s="1" t="s">
        <v>798</v>
      </c>
      <c r="J24" s="1">
        <v>1596</v>
      </c>
      <c r="K24" s="1">
        <v>0</v>
      </c>
      <c r="L24" s="1">
        <v>400</v>
      </c>
      <c r="M24" s="1" t="s">
        <v>95</v>
      </c>
      <c r="O24" s="1">
        <f>((NOT(ISNA(VLOOKUP(M24,Monster!$H$2:$I$6,2,FALSE)))*L24)+J24)*(1+K24/100*0.25)</f>
        <v>1596</v>
      </c>
      <c r="P24" s="1" t="s">
        <v>213</v>
      </c>
      <c r="Q24" s="1">
        <v>2</v>
      </c>
    </row>
    <row r="25" spans="2:17" ht="12.75" hidden="1" x14ac:dyDescent="0.2">
      <c r="B25" s="1"/>
      <c r="C25" s="1" t="s">
        <v>800</v>
      </c>
      <c r="D25" s="1" t="s">
        <v>596</v>
      </c>
      <c r="E25" s="1" t="s">
        <v>599</v>
      </c>
      <c r="F25" s="1" t="s">
        <v>184</v>
      </c>
      <c r="G25" s="1">
        <f>IF(ISNA(VLOOKUP(F25,Monster!B:E,4,FALSE)),0,VLOOKUP(F25,Monster!B:E,4,FALSE))</f>
        <v>23</v>
      </c>
      <c r="L25" s="1">
        <v>0</v>
      </c>
      <c r="M25" s="1" t="s">
        <v>107</v>
      </c>
      <c r="O25" s="1">
        <f>((NOT(ISNA(VLOOKUP(M25,Monster!$H$2:$I$6,2,FALSE)))*L25)+J25)*(1+K25/100*0.25)</f>
        <v>0</v>
      </c>
      <c r="P25" s="1" t="s">
        <v>306</v>
      </c>
      <c r="Q25" s="1">
        <v>2</v>
      </c>
    </row>
    <row r="26" spans="2:17" ht="12.75" hidden="1" x14ac:dyDescent="0.2">
      <c r="B26" s="1" t="s">
        <v>802</v>
      </c>
      <c r="C26" s="1" t="s">
        <v>803</v>
      </c>
      <c r="D26" s="1" t="s">
        <v>596</v>
      </c>
      <c r="E26" s="1" t="s">
        <v>599</v>
      </c>
      <c r="F26" s="1" t="s">
        <v>190</v>
      </c>
      <c r="G26" s="1">
        <f>IF(ISNA(VLOOKUP(F26,Monster!B:E,4,FALSE)),0,VLOOKUP(F26,Monster!B:E,4,FALSE))</f>
        <v>24</v>
      </c>
      <c r="I26" s="1" t="s">
        <v>804</v>
      </c>
      <c r="J26" s="1">
        <v>1191</v>
      </c>
      <c r="K26" s="1">
        <v>20</v>
      </c>
      <c r="L26" s="1">
        <v>910</v>
      </c>
      <c r="M26" s="1" t="s">
        <v>66</v>
      </c>
      <c r="O26" s="1">
        <f>((NOT(ISNA(VLOOKUP(M26,Monster!$H$2:$I$6,2,FALSE)))*L26)+J26)*(1+K26/100*0.25)</f>
        <v>2206.0500000000002</v>
      </c>
      <c r="P26" s="1" t="s">
        <v>253</v>
      </c>
      <c r="Q26" s="1">
        <v>1</v>
      </c>
    </row>
    <row r="27" spans="2:17" ht="12.75" hidden="1" x14ac:dyDescent="0.2">
      <c r="B27" s="1" t="s">
        <v>806</v>
      </c>
      <c r="C27" s="1" t="s">
        <v>807</v>
      </c>
      <c r="D27" s="1" t="s">
        <v>596</v>
      </c>
      <c r="E27" s="1" t="s">
        <v>599</v>
      </c>
      <c r="F27" s="1" t="s">
        <v>193</v>
      </c>
      <c r="G27" s="1">
        <f>IF(ISNA(VLOOKUP(F27,Monster!B:E,4,FALSE)),0,VLOOKUP(F27,Monster!B:E,4,FALSE))</f>
        <v>25</v>
      </c>
      <c r="I27" s="1" t="s">
        <v>809</v>
      </c>
      <c r="J27" s="1">
        <v>1221</v>
      </c>
      <c r="K27" s="1">
        <v>0</v>
      </c>
      <c r="L27" s="1">
        <v>1142</v>
      </c>
      <c r="M27" s="1" t="s">
        <v>58</v>
      </c>
      <c r="O27" s="1">
        <f>((NOT(ISNA(VLOOKUP(M27,Monster!$H$2:$I$6,2,FALSE)))*L27)+J27)*(1+K27/100*0.25)</f>
        <v>2363</v>
      </c>
      <c r="P27" s="1" t="s">
        <v>38</v>
      </c>
      <c r="Q27" s="1">
        <v>1</v>
      </c>
    </row>
    <row r="28" spans="2:17" ht="12.75" hidden="1" x14ac:dyDescent="0.2">
      <c r="B28" s="1"/>
      <c r="C28" s="1" t="s">
        <v>810</v>
      </c>
      <c r="D28" s="1" t="s">
        <v>596</v>
      </c>
      <c r="E28" s="1" t="s">
        <v>599</v>
      </c>
      <c r="F28" s="1" t="s">
        <v>197</v>
      </c>
      <c r="G28" s="1">
        <f>IF(ISNA(VLOOKUP(F28,Monster!B:E,4,FALSE)),0,VLOOKUP(F28,Monster!B:E,4,FALSE))</f>
        <v>26</v>
      </c>
      <c r="L28" s="1">
        <v>0</v>
      </c>
      <c r="M28" s="1" t="s">
        <v>107</v>
      </c>
      <c r="O28" s="1">
        <f>((NOT(ISNA(VLOOKUP(M28,Monster!$H$2:$I$6,2,FALSE)))*L28)+J28)*(1+K28/100*0.25)</f>
        <v>0</v>
      </c>
      <c r="P28" s="1" t="s">
        <v>412</v>
      </c>
      <c r="Q28" s="1">
        <v>1</v>
      </c>
    </row>
    <row r="29" spans="2:17" ht="12.75" hidden="1" x14ac:dyDescent="0.2">
      <c r="B29" s="1"/>
      <c r="C29" s="1" t="s">
        <v>813</v>
      </c>
      <c r="D29" s="1" t="s">
        <v>596</v>
      </c>
      <c r="E29" s="1" t="s">
        <v>599</v>
      </c>
      <c r="F29" s="1" t="s">
        <v>205</v>
      </c>
      <c r="G29" s="1">
        <f>IF(ISNA(VLOOKUP(F29,Monster!B:E,4,FALSE)),0,VLOOKUP(F29,Monster!B:E,4,FALSE))</f>
        <v>27</v>
      </c>
      <c r="L29" s="1">
        <v>0</v>
      </c>
      <c r="M29" s="1" t="s">
        <v>107</v>
      </c>
      <c r="O29" s="1">
        <f>((NOT(ISNA(VLOOKUP(M29,Monster!$H$2:$I$6,2,FALSE)))*L29)+J29)*(1+K29/100*0.25)</f>
        <v>0</v>
      </c>
      <c r="P29" s="1" t="s">
        <v>269</v>
      </c>
      <c r="Q29" s="1">
        <v>1</v>
      </c>
    </row>
    <row r="30" spans="2:17" ht="12.75" hidden="1" x14ac:dyDescent="0.2">
      <c r="B30" s="1"/>
      <c r="C30" s="1" t="s">
        <v>816</v>
      </c>
      <c r="D30" s="1" t="s">
        <v>596</v>
      </c>
      <c r="E30" s="1" t="s">
        <v>599</v>
      </c>
      <c r="F30" s="1" t="s">
        <v>210</v>
      </c>
      <c r="G30" s="1">
        <f>IF(ISNA(VLOOKUP(F30,Monster!B:E,4,FALSE)),0,VLOOKUP(F30,Monster!B:E,4,FALSE))</f>
        <v>28</v>
      </c>
      <c r="L30" s="1">
        <v>0</v>
      </c>
      <c r="M30" s="1" t="s">
        <v>107</v>
      </c>
      <c r="O30" s="1">
        <f>((NOT(ISNA(VLOOKUP(M30,Monster!$H$2:$I$6,2,FALSE)))*L30)+J30)*(1+K30/100*0.25)</f>
        <v>0</v>
      </c>
      <c r="P30" s="1" t="s">
        <v>166</v>
      </c>
      <c r="Q30" s="1">
        <v>1</v>
      </c>
    </row>
    <row r="31" spans="2:17" ht="12.75" hidden="1" x14ac:dyDescent="0.2">
      <c r="B31" s="1" t="s">
        <v>820</v>
      </c>
      <c r="C31" s="1" t="s">
        <v>821</v>
      </c>
      <c r="D31" s="1" t="s">
        <v>596</v>
      </c>
      <c r="E31" s="1" t="s">
        <v>599</v>
      </c>
      <c r="F31" s="1" t="s">
        <v>216</v>
      </c>
      <c r="G31" s="1">
        <f>IF(ISNA(VLOOKUP(F31,Monster!B:E,4,FALSE)),0,VLOOKUP(F31,Monster!B:E,4,FALSE))</f>
        <v>29</v>
      </c>
      <c r="I31" s="1" t="s">
        <v>823</v>
      </c>
      <c r="J31" s="1">
        <v>1318</v>
      </c>
      <c r="K31" s="1">
        <v>-30</v>
      </c>
      <c r="L31" s="1">
        <v>1261</v>
      </c>
      <c r="M31" s="1" t="s">
        <v>71</v>
      </c>
      <c r="O31" s="1">
        <f>((NOT(ISNA(VLOOKUP(M31,Monster!$H$2:$I$6,2,FALSE)))*L31)+J31)*(1+K31/100*0.25)</f>
        <v>2385.5750000000003</v>
      </c>
      <c r="P31" s="1" t="s">
        <v>583</v>
      </c>
      <c r="Q31" s="1">
        <v>1</v>
      </c>
    </row>
    <row r="32" spans="2:17" ht="12.75" hidden="1" x14ac:dyDescent="0.2">
      <c r="B32" s="1"/>
      <c r="C32" s="1" t="s">
        <v>825</v>
      </c>
      <c r="D32" s="1" t="s">
        <v>596</v>
      </c>
      <c r="E32" s="1" t="s">
        <v>599</v>
      </c>
      <c r="F32" s="1" t="s">
        <v>223</v>
      </c>
      <c r="G32" s="1">
        <f>IF(ISNA(VLOOKUP(F32,Monster!B:E,4,FALSE)),0,VLOOKUP(F32,Monster!B:E,4,FALSE))</f>
        <v>30</v>
      </c>
      <c r="L32" s="1">
        <v>0</v>
      </c>
      <c r="M32" s="1" t="s">
        <v>107</v>
      </c>
      <c r="O32" s="1">
        <f>((NOT(ISNA(VLOOKUP(M32,Monster!$H$2:$I$6,2,FALSE)))*L32)+J32)*(1+K32/100*0.25)</f>
        <v>0</v>
      </c>
      <c r="P32" s="1" t="s">
        <v>364</v>
      </c>
      <c r="Q32" s="1">
        <v>1</v>
      </c>
    </row>
    <row r="33" spans="2:18" ht="12.75" hidden="1" x14ac:dyDescent="0.2">
      <c r="B33" s="1" t="s">
        <v>828</v>
      </c>
      <c r="C33" s="1" t="s">
        <v>829</v>
      </c>
      <c r="D33" s="1" t="s">
        <v>596</v>
      </c>
      <c r="E33" s="1" t="s">
        <v>599</v>
      </c>
      <c r="F33" s="1" t="s">
        <v>229</v>
      </c>
      <c r="G33" s="1">
        <f>IF(ISNA(VLOOKUP(F33,Monster!B:E,4,FALSE)),0,VLOOKUP(F33,Monster!B:E,4,FALSE))</f>
        <v>31</v>
      </c>
      <c r="I33" s="1" t="s">
        <v>831</v>
      </c>
      <c r="J33" s="1">
        <v>1194</v>
      </c>
      <c r="K33" s="1">
        <v>20</v>
      </c>
      <c r="L33" s="1">
        <v>913</v>
      </c>
      <c r="M33" s="1" t="s">
        <v>58</v>
      </c>
      <c r="O33" s="1">
        <f>((NOT(ISNA(VLOOKUP(M33,Monster!$H$2:$I$6,2,FALSE)))*L33)+J33)*(1+K33/100*0.25)</f>
        <v>2212.35</v>
      </c>
      <c r="P33" s="1" t="s">
        <v>470</v>
      </c>
      <c r="Q33" s="1">
        <v>1</v>
      </c>
    </row>
    <row r="34" spans="2:18" ht="12.75" hidden="1" x14ac:dyDescent="0.2">
      <c r="B34" s="1" t="s">
        <v>833</v>
      </c>
      <c r="C34" s="1" t="s">
        <v>834</v>
      </c>
      <c r="D34" s="1" t="s">
        <v>596</v>
      </c>
      <c r="E34" s="1" t="s">
        <v>599</v>
      </c>
      <c r="F34" s="1" t="s">
        <v>234</v>
      </c>
      <c r="G34" s="1">
        <f>IF(ISNA(VLOOKUP(F34,Monster!B:E,4,FALSE)),0,VLOOKUP(F34,Monster!B:E,4,FALSE))</f>
        <v>32</v>
      </c>
      <c r="I34" s="1" t="s">
        <v>833</v>
      </c>
      <c r="J34" s="1">
        <v>1553</v>
      </c>
      <c r="K34" s="1">
        <v>0</v>
      </c>
      <c r="L34" s="1">
        <v>974</v>
      </c>
      <c r="M34" s="1" t="s">
        <v>66</v>
      </c>
      <c r="O34" s="1">
        <f>((NOT(ISNA(VLOOKUP(M34,Monster!$H$2:$I$6,2,FALSE)))*L34)+J34)*(1+K34/100*0.25)</f>
        <v>2527</v>
      </c>
      <c r="P34" s="1" t="s">
        <v>528</v>
      </c>
      <c r="Q34" s="1">
        <v>2</v>
      </c>
      <c r="R34" s="1" t="s">
        <v>372</v>
      </c>
    </row>
    <row r="35" spans="2:18" ht="12.75" hidden="1" x14ac:dyDescent="0.2">
      <c r="B35" s="1" t="s">
        <v>838</v>
      </c>
      <c r="C35" s="1" t="s">
        <v>839</v>
      </c>
      <c r="D35" s="1" t="s">
        <v>596</v>
      </c>
      <c r="E35" s="1" t="s">
        <v>599</v>
      </c>
      <c r="F35" s="1" t="s">
        <v>239</v>
      </c>
      <c r="G35" s="1">
        <f>IF(ISNA(VLOOKUP(F35,Monster!B:E,4,FALSE)),0,VLOOKUP(F35,Monster!B:E,4,FALSE))</f>
        <v>33</v>
      </c>
      <c r="I35" s="1" t="s">
        <v>841</v>
      </c>
      <c r="J35" s="1">
        <v>1138</v>
      </c>
      <c r="K35" s="1">
        <v>20</v>
      </c>
      <c r="L35" s="1">
        <v>1156</v>
      </c>
      <c r="M35" s="1" t="s">
        <v>50</v>
      </c>
      <c r="O35" s="1">
        <f>((NOT(ISNA(VLOOKUP(M35,Monster!$H$2:$I$6,2,FALSE)))*L35)+J35)*(1+K35/100*0.25)</f>
        <v>2408.7000000000003</v>
      </c>
      <c r="P35" s="1" t="s">
        <v>38</v>
      </c>
      <c r="Q35" s="1">
        <v>1</v>
      </c>
    </row>
    <row r="36" spans="2:18" ht="12.75" hidden="1" x14ac:dyDescent="0.2">
      <c r="B36" s="1" t="s">
        <v>844</v>
      </c>
      <c r="C36" s="1" t="s">
        <v>845</v>
      </c>
      <c r="D36" s="1" t="s">
        <v>596</v>
      </c>
      <c r="E36" s="1" t="s">
        <v>599</v>
      </c>
      <c r="F36" s="1" t="s">
        <v>245</v>
      </c>
      <c r="G36" s="1">
        <f>IF(ISNA(VLOOKUP(F36,Monster!B:E,4,FALSE)),0,VLOOKUP(F36,Monster!B:E,4,FALSE))</f>
        <v>34</v>
      </c>
      <c r="I36" s="1" t="s">
        <v>844</v>
      </c>
      <c r="J36" s="1">
        <v>1684</v>
      </c>
      <c r="K36" s="1">
        <v>0</v>
      </c>
      <c r="L36" s="1">
        <v>502</v>
      </c>
      <c r="M36" s="1" t="s">
        <v>100</v>
      </c>
      <c r="O36" s="1">
        <f>((NOT(ISNA(VLOOKUP(M36,Monster!$H$2:$I$6,2,FALSE)))*L36)+J36)*(1+K36/100*0.25)</f>
        <v>1684</v>
      </c>
      <c r="P36" s="1" t="s">
        <v>364</v>
      </c>
      <c r="Q36" s="1">
        <v>2</v>
      </c>
      <c r="R36" s="1" t="s">
        <v>372</v>
      </c>
    </row>
    <row r="37" spans="2:18" ht="12.75" hidden="1" x14ac:dyDescent="0.2">
      <c r="B37" s="1"/>
      <c r="C37" s="1" t="s">
        <v>849</v>
      </c>
      <c r="D37" s="1" t="s">
        <v>596</v>
      </c>
      <c r="E37" s="1" t="s">
        <v>599</v>
      </c>
      <c r="F37" s="1" t="s">
        <v>251</v>
      </c>
      <c r="G37" s="1">
        <f>IF(ISNA(VLOOKUP(F37,Monster!B:E,4,FALSE)),0,VLOOKUP(F37,Monster!B:E,4,FALSE))</f>
        <v>35</v>
      </c>
      <c r="L37" s="1">
        <v>0</v>
      </c>
      <c r="M37" s="1" t="s">
        <v>107</v>
      </c>
      <c r="O37" s="1">
        <f>((NOT(ISNA(VLOOKUP(M37,Monster!$H$2:$I$6,2,FALSE)))*L37)+J37)*(1+K37/100*0.25)</f>
        <v>0</v>
      </c>
      <c r="P37" s="1" t="s">
        <v>412</v>
      </c>
      <c r="Q37" s="1">
        <v>1</v>
      </c>
    </row>
    <row r="38" spans="2:18" ht="12.75" hidden="1" x14ac:dyDescent="0.2">
      <c r="B38" s="1" t="s">
        <v>852</v>
      </c>
      <c r="C38" s="1" t="s">
        <v>853</v>
      </c>
      <c r="D38" s="1" t="s">
        <v>596</v>
      </c>
      <c r="E38" s="1" t="s">
        <v>599</v>
      </c>
      <c r="F38" s="1" t="s">
        <v>256</v>
      </c>
      <c r="G38" s="1">
        <f>IF(ISNA(VLOOKUP(F38,Monster!B:E,4,FALSE)),0,VLOOKUP(F38,Monster!B:E,4,FALSE))</f>
        <v>36</v>
      </c>
      <c r="I38" s="1" t="s">
        <v>854</v>
      </c>
      <c r="J38" s="1">
        <v>1516</v>
      </c>
      <c r="K38" s="1">
        <v>0</v>
      </c>
      <c r="L38" s="1">
        <v>496</v>
      </c>
      <c r="M38" s="1" t="s">
        <v>100</v>
      </c>
      <c r="O38" s="1">
        <f>((NOT(ISNA(VLOOKUP(M38,Monster!$H$2:$I$6,2,FALSE)))*L38)+J38)*(1+K38/100*0.25)</f>
        <v>1516</v>
      </c>
      <c r="P38" s="1" t="s">
        <v>463</v>
      </c>
      <c r="Q38" s="1">
        <v>1</v>
      </c>
    </row>
    <row r="39" spans="2:18" ht="12.75" hidden="1" x14ac:dyDescent="0.2">
      <c r="B39" s="1" t="s">
        <v>856</v>
      </c>
      <c r="C39" s="1" t="s">
        <v>857</v>
      </c>
      <c r="D39" s="1" t="s">
        <v>596</v>
      </c>
      <c r="E39" s="1" t="s">
        <v>599</v>
      </c>
      <c r="F39" s="1" t="s">
        <v>263</v>
      </c>
      <c r="G39" s="1">
        <f>IF(ISNA(VLOOKUP(F39,Monster!B:E,4,FALSE)),0,VLOOKUP(F39,Monster!B:E,4,FALSE))</f>
        <v>37</v>
      </c>
      <c r="I39" s="1" t="s">
        <v>859</v>
      </c>
      <c r="J39" s="1">
        <v>1318</v>
      </c>
      <c r="K39" s="1">
        <v>-30</v>
      </c>
      <c r="L39" s="1">
        <v>1261</v>
      </c>
      <c r="M39" s="1" t="s">
        <v>58</v>
      </c>
      <c r="O39" s="1">
        <f>((NOT(ISNA(VLOOKUP(M39,Monster!$H$2:$I$6,2,FALSE)))*L39)+J39)*(1+K39/100*0.25)</f>
        <v>2385.5750000000003</v>
      </c>
      <c r="P39" s="1" t="s">
        <v>463</v>
      </c>
      <c r="Q39" s="1">
        <v>1</v>
      </c>
    </row>
    <row r="40" spans="2:18" ht="12.75" hidden="1" x14ac:dyDescent="0.2">
      <c r="B40" s="1" t="s">
        <v>861</v>
      </c>
      <c r="C40" s="1" t="s">
        <v>863</v>
      </c>
      <c r="D40" s="1" t="s">
        <v>596</v>
      </c>
      <c r="E40" s="1" t="s">
        <v>599</v>
      </c>
      <c r="F40" s="1" t="s">
        <v>268</v>
      </c>
      <c r="G40" s="1">
        <f>IF(ISNA(VLOOKUP(F40,Monster!B:E,4,FALSE)),0,VLOOKUP(F40,Monster!B:E,4,FALSE))</f>
        <v>38</v>
      </c>
      <c r="I40" s="1" t="s">
        <v>861</v>
      </c>
      <c r="J40" s="1">
        <v>1553</v>
      </c>
      <c r="K40" s="1">
        <v>0</v>
      </c>
      <c r="L40" s="1">
        <v>974</v>
      </c>
      <c r="M40" s="1" t="s">
        <v>71</v>
      </c>
      <c r="O40" s="1">
        <f>((NOT(ISNA(VLOOKUP(M40,Monster!$H$2:$I$6,2,FALSE)))*L40)+J40)*(1+K40/100*0.25)</f>
        <v>2527</v>
      </c>
      <c r="P40" s="1" t="s">
        <v>463</v>
      </c>
      <c r="Q40" s="1">
        <v>2</v>
      </c>
      <c r="R40" s="1" t="s">
        <v>372</v>
      </c>
    </row>
    <row r="41" spans="2:18" ht="12.75" hidden="1" x14ac:dyDescent="0.2">
      <c r="B41" s="1"/>
      <c r="C41" s="1" t="s">
        <v>866</v>
      </c>
      <c r="D41" s="1" t="s">
        <v>596</v>
      </c>
      <c r="E41" s="1" t="s">
        <v>599</v>
      </c>
      <c r="F41" s="1" t="s">
        <v>273</v>
      </c>
      <c r="G41" s="1">
        <f>IF(ISNA(VLOOKUP(F41,Monster!B:E,4,FALSE)),0,VLOOKUP(F41,Monster!B:E,4,FALSE))</f>
        <v>39</v>
      </c>
      <c r="L41" s="1">
        <v>0</v>
      </c>
      <c r="M41" s="1" t="s">
        <v>107</v>
      </c>
      <c r="O41" s="1">
        <f>((NOT(ISNA(VLOOKUP(M41,Monster!$H$2:$I$6,2,FALSE)))*L41)+J41)*(1+K41/100*0.25)</f>
        <v>0</v>
      </c>
      <c r="P41" s="1" t="s">
        <v>412</v>
      </c>
      <c r="Q41" s="1">
        <v>1</v>
      </c>
    </row>
    <row r="42" spans="2:18" ht="12.75" hidden="1" x14ac:dyDescent="0.2">
      <c r="B42" s="1"/>
      <c r="C42" s="1" t="s">
        <v>869</v>
      </c>
      <c r="D42" s="1" t="s">
        <v>596</v>
      </c>
      <c r="E42" s="1" t="s">
        <v>599</v>
      </c>
      <c r="F42" s="1" t="s">
        <v>278</v>
      </c>
      <c r="G42" s="1">
        <f>IF(ISNA(VLOOKUP(F42,Monster!B:E,4,FALSE)),0,VLOOKUP(F42,Monster!B:E,4,FALSE))</f>
        <v>40</v>
      </c>
      <c r="L42" s="1">
        <v>0</v>
      </c>
      <c r="M42" s="1" t="s">
        <v>107</v>
      </c>
      <c r="O42" s="1">
        <f>((NOT(ISNA(VLOOKUP(M42,Monster!$H$2:$I$6,2,FALSE)))*L42)+J42)*(1+K42/100*0.25)</f>
        <v>0</v>
      </c>
      <c r="P42" s="1" t="s">
        <v>253</v>
      </c>
      <c r="Q42" s="1">
        <v>1</v>
      </c>
    </row>
    <row r="43" spans="2:18" ht="12.75" hidden="1" x14ac:dyDescent="0.2">
      <c r="B43" s="1"/>
      <c r="C43" s="1" t="s">
        <v>872</v>
      </c>
      <c r="D43" s="1" t="s">
        <v>596</v>
      </c>
      <c r="E43" s="1" t="s">
        <v>599</v>
      </c>
      <c r="F43" s="1" t="s">
        <v>288</v>
      </c>
      <c r="G43" s="1">
        <f>IF(ISNA(VLOOKUP(F43,Monster!B:E,4,FALSE)),0,VLOOKUP(F43,Monster!B:E,4,FALSE))</f>
        <v>41</v>
      </c>
      <c r="L43" s="1">
        <v>0</v>
      </c>
      <c r="M43" s="1" t="s">
        <v>107</v>
      </c>
      <c r="O43" s="1">
        <f>((NOT(ISNA(VLOOKUP(M43,Monster!$H$2:$I$6,2,FALSE)))*L43)+J43)*(1+K43/100*0.25)</f>
        <v>0</v>
      </c>
      <c r="P43" s="1" t="s">
        <v>253</v>
      </c>
      <c r="Q43" s="1">
        <v>1</v>
      </c>
    </row>
    <row r="44" spans="2:18" ht="12.75" x14ac:dyDescent="0.2">
      <c r="B44" s="1" t="s">
        <v>874</v>
      </c>
      <c r="C44" s="1" t="s">
        <v>875</v>
      </c>
      <c r="D44" s="1" t="s">
        <v>596</v>
      </c>
      <c r="E44" s="1" t="s">
        <v>599</v>
      </c>
      <c r="F44" s="1" t="s">
        <v>293</v>
      </c>
      <c r="G44" s="1">
        <f>IF(ISNA(VLOOKUP(F44,Monster!B:E,4,FALSE)),0,VLOOKUP(F44,Monster!B:E,4,FALSE))</f>
        <v>42</v>
      </c>
      <c r="I44" s="1" t="s">
        <v>877</v>
      </c>
      <c r="J44" s="1">
        <v>2198</v>
      </c>
      <c r="K44" s="1">
        <v>-40</v>
      </c>
      <c r="L44" s="1">
        <v>0</v>
      </c>
      <c r="M44" s="1" t="s">
        <v>107</v>
      </c>
      <c r="O44" s="1">
        <f>((NOT(ISNA(VLOOKUP(M44,Monster!$H$2:$I$6,2,FALSE)))*L44)+J44)*(1+K44/100*0.25)</f>
        <v>1978.2</v>
      </c>
      <c r="P44" s="1" t="s">
        <v>194</v>
      </c>
      <c r="Q44" s="1">
        <v>1</v>
      </c>
    </row>
    <row r="45" spans="2:18" ht="12.75" hidden="1" x14ac:dyDescent="0.2">
      <c r="B45" s="1" t="s">
        <v>879</v>
      </c>
      <c r="C45" s="1" t="s">
        <v>880</v>
      </c>
      <c r="D45" s="1" t="s">
        <v>596</v>
      </c>
      <c r="E45" s="1" t="s">
        <v>599</v>
      </c>
      <c r="F45" s="1" t="s">
        <v>298</v>
      </c>
      <c r="G45" s="1">
        <f>IF(ISNA(VLOOKUP(F45,Monster!B:E,4,FALSE)),0,VLOOKUP(F45,Monster!B:E,4,FALSE))</f>
        <v>43</v>
      </c>
      <c r="I45" s="1" t="s">
        <v>882</v>
      </c>
      <c r="J45" s="1">
        <v>2198</v>
      </c>
      <c r="K45" s="1">
        <v>-10</v>
      </c>
      <c r="L45" s="1">
        <v>0</v>
      </c>
      <c r="M45" s="1" t="s">
        <v>107</v>
      </c>
      <c r="O45" s="1">
        <f>((NOT(ISNA(VLOOKUP(M45,Monster!$H$2:$I$6,2,FALSE)))*L45)+J45)*(1+K45/100*0.25)</f>
        <v>2143.0499999999997</v>
      </c>
      <c r="P45" s="1" t="s">
        <v>28</v>
      </c>
      <c r="Q45" s="1">
        <v>5</v>
      </c>
    </row>
    <row r="46" spans="2:18" ht="12.75" hidden="1" x14ac:dyDescent="0.2">
      <c r="B46" s="1" t="s">
        <v>884</v>
      </c>
      <c r="C46" s="1" t="s">
        <v>885</v>
      </c>
      <c r="D46" s="1" t="s">
        <v>596</v>
      </c>
      <c r="E46" s="1" t="s">
        <v>599</v>
      </c>
      <c r="F46" s="1" t="s">
        <v>302</v>
      </c>
      <c r="G46" s="1">
        <f>IF(ISNA(VLOOKUP(F46,Monster!B:E,4,FALSE)),0,VLOOKUP(F46,Monster!B:E,4,FALSE))</f>
        <v>44</v>
      </c>
      <c r="I46" s="1" t="s">
        <v>884</v>
      </c>
      <c r="J46" s="1">
        <v>1205</v>
      </c>
      <c r="K46" s="1">
        <v>0</v>
      </c>
      <c r="L46" s="1">
        <v>1305</v>
      </c>
      <c r="M46" s="1" t="s">
        <v>58</v>
      </c>
      <c r="O46" s="1">
        <f>((NOT(ISNA(VLOOKUP(M46,Monster!$H$2:$I$6,2,FALSE)))*L46)+J46)*(1+K46/100*0.25)</f>
        <v>2510</v>
      </c>
      <c r="P46" s="1" t="s">
        <v>400</v>
      </c>
      <c r="Q46" s="1">
        <v>1</v>
      </c>
      <c r="R46" s="1" t="s">
        <v>372</v>
      </c>
    </row>
    <row r="47" spans="2:18" ht="12.75" x14ac:dyDescent="0.2">
      <c r="B47" s="1"/>
      <c r="C47" s="1" t="s">
        <v>888</v>
      </c>
      <c r="D47" s="1" t="s">
        <v>596</v>
      </c>
      <c r="E47" s="1" t="s">
        <v>599</v>
      </c>
      <c r="F47" s="1" t="s">
        <v>305</v>
      </c>
      <c r="G47" s="1">
        <f>IF(ISNA(VLOOKUP(F47,Monster!B:E,4,FALSE)),0,VLOOKUP(F47,Monster!B:E,4,FALSE))</f>
        <v>45</v>
      </c>
      <c r="L47" s="1">
        <v>0</v>
      </c>
      <c r="M47" s="1" t="s">
        <v>107</v>
      </c>
      <c r="O47" s="1">
        <f>((NOT(ISNA(VLOOKUP(M47,Monster!$H$2:$I$6,2,FALSE)))*L47)+J47)*(1+K47/100*0.25)</f>
        <v>0</v>
      </c>
      <c r="P47" s="1" t="s">
        <v>194</v>
      </c>
      <c r="Q47" s="1">
        <v>1</v>
      </c>
    </row>
    <row r="48" spans="2:18" ht="12.75" hidden="1" x14ac:dyDescent="0.2">
      <c r="B48" s="1" t="s">
        <v>891</v>
      </c>
      <c r="C48" s="1" t="s">
        <v>892</v>
      </c>
      <c r="D48" s="1" t="s">
        <v>596</v>
      </c>
      <c r="E48" s="1" t="s">
        <v>599</v>
      </c>
      <c r="F48" s="1" t="s">
        <v>310</v>
      </c>
      <c r="G48" s="1">
        <f>IF(ISNA(VLOOKUP(F48,Monster!B:E,4,FALSE)),0,VLOOKUP(F48,Monster!B:E,4,FALSE))</f>
        <v>46</v>
      </c>
      <c r="I48" s="1" t="s">
        <v>894</v>
      </c>
      <c r="J48" s="1">
        <v>1834</v>
      </c>
      <c r="K48" s="1">
        <v>10</v>
      </c>
      <c r="L48" s="1">
        <v>0</v>
      </c>
      <c r="M48" s="1" t="s">
        <v>107</v>
      </c>
      <c r="O48" s="1">
        <f>((NOT(ISNA(VLOOKUP(M48,Monster!$H$2:$I$6,2,FALSE)))*L48)+J48)*(1+K48/100*0.25)</f>
        <v>1879.85</v>
      </c>
      <c r="P48" s="1" t="s">
        <v>407</v>
      </c>
      <c r="Q48" s="1">
        <v>1</v>
      </c>
    </row>
    <row r="49" spans="2:35" ht="12.75" hidden="1" x14ac:dyDescent="0.2">
      <c r="B49" s="1"/>
      <c r="C49" s="1" t="s">
        <v>896</v>
      </c>
      <c r="D49" s="1" t="s">
        <v>596</v>
      </c>
      <c r="E49" s="1" t="s">
        <v>599</v>
      </c>
      <c r="F49" s="1" t="s">
        <v>316</v>
      </c>
      <c r="G49" s="1">
        <f>IF(ISNA(VLOOKUP(F49,Monster!B:E,4,FALSE)),0,VLOOKUP(F49,Monster!B:E,4,FALSE))</f>
        <v>47</v>
      </c>
      <c r="L49" s="1">
        <v>0</v>
      </c>
      <c r="M49" s="1" t="s">
        <v>107</v>
      </c>
      <c r="O49" s="1">
        <f>((NOT(ISNA(VLOOKUP(M49,Monster!$H$2:$I$6,2,FALSE)))*L49)+J49)*(1+K49/100*0.25)</f>
        <v>0</v>
      </c>
      <c r="P49" s="1" t="s">
        <v>602</v>
      </c>
      <c r="Q49" s="1">
        <v>2</v>
      </c>
    </row>
    <row r="50" spans="2:35" ht="12.75" x14ac:dyDescent="0.2">
      <c r="B50" s="1" t="s">
        <v>899</v>
      </c>
      <c r="C50" s="1" t="s">
        <v>900</v>
      </c>
      <c r="D50" s="1" t="s">
        <v>596</v>
      </c>
      <c r="E50" s="1" t="s">
        <v>599</v>
      </c>
      <c r="F50" s="1" t="s">
        <v>320</v>
      </c>
      <c r="G50" s="1">
        <f>IF(ISNA(VLOOKUP(F50,Monster!B:E,4,FALSE)),0,VLOOKUP(F50,Monster!B:E,4,FALSE))</f>
        <v>48</v>
      </c>
      <c r="I50" s="1" t="s">
        <v>899</v>
      </c>
      <c r="J50" s="1">
        <v>1318</v>
      </c>
      <c r="K50" s="1">
        <v>-30</v>
      </c>
      <c r="L50" s="1">
        <v>1261</v>
      </c>
      <c r="M50" s="1" t="s">
        <v>41</v>
      </c>
      <c r="O50" s="1">
        <f>((NOT(ISNA(VLOOKUP(M50,Monster!$H$2:$I$6,2,FALSE)))*L50)+J50)*(1+K50/100*0.25)</f>
        <v>2385.5750000000003</v>
      </c>
      <c r="P50" s="1" t="s">
        <v>194</v>
      </c>
      <c r="Q50" s="1">
        <v>1</v>
      </c>
    </row>
    <row r="51" spans="2:35" ht="12.75" hidden="1" x14ac:dyDescent="0.2">
      <c r="B51" s="1"/>
      <c r="C51" s="1" t="s">
        <v>904</v>
      </c>
      <c r="D51" s="1" t="s">
        <v>596</v>
      </c>
      <c r="E51" s="1" t="s">
        <v>599</v>
      </c>
      <c r="F51" s="1" t="s">
        <v>328</v>
      </c>
      <c r="G51" s="1">
        <f>IF(ISNA(VLOOKUP(F51,Monster!B:E,4,FALSE)),0,VLOOKUP(F51,Monster!B:E,4,FALSE))</f>
        <v>49</v>
      </c>
      <c r="I51" s="1"/>
      <c r="J51" s="1"/>
      <c r="K51" s="1"/>
      <c r="L51" s="1"/>
      <c r="M51" s="1"/>
      <c r="O51" s="1">
        <f>((NOT(ISNA(VLOOKUP(M51,Monster!$H$2:$I$6,2,FALSE)))*L51)+J51)*(1+K51/100*0.25)</f>
        <v>0</v>
      </c>
      <c r="P51" s="1" t="s">
        <v>624</v>
      </c>
      <c r="Q51" s="1">
        <v>2</v>
      </c>
      <c r="R51" s="1" t="s">
        <v>372</v>
      </c>
    </row>
    <row r="52" spans="2:35" ht="12.75" hidden="1" x14ac:dyDescent="0.2">
      <c r="B52" s="1" t="s">
        <v>907</v>
      </c>
      <c r="C52" s="1" t="s">
        <v>908</v>
      </c>
      <c r="D52" s="1" t="s">
        <v>596</v>
      </c>
      <c r="E52" s="1" t="s">
        <v>599</v>
      </c>
      <c r="F52" s="1" t="s">
        <v>334</v>
      </c>
      <c r="G52" s="1">
        <f>IF(ISNA(VLOOKUP(F52,Monster!B:E,4,FALSE)),0,VLOOKUP(F52,Monster!B:E,4,FALSE))</f>
        <v>50</v>
      </c>
      <c r="I52" s="1" t="s">
        <v>910</v>
      </c>
      <c r="J52" s="1">
        <v>1647</v>
      </c>
      <c r="K52" s="1">
        <v>10</v>
      </c>
      <c r="L52" s="1">
        <v>307</v>
      </c>
      <c r="M52" s="1" t="s">
        <v>79</v>
      </c>
      <c r="O52" s="1">
        <f>((NOT(ISNA(VLOOKUP(M52,Monster!$H$2:$I$6,2,FALSE)))*L52)+J52)*(1+K52/100*0.25)</f>
        <v>1688.175</v>
      </c>
      <c r="P52" s="1" t="s">
        <v>412</v>
      </c>
      <c r="Q52" s="1">
        <v>1</v>
      </c>
    </row>
    <row r="53" spans="2:35" ht="12.75" hidden="1" x14ac:dyDescent="0.2">
      <c r="B53" s="1" t="s">
        <v>912</v>
      </c>
      <c r="C53" s="1" t="s">
        <v>913</v>
      </c>
      <c r="D53" s="1" t="s">
        <v>596</v>
      </c>
      <c r="E53" s="1" t="s">
        <v>599</v>
      </c>
      <c r="F53" s="1" t="s">
        <v>339</v>
      </c>
      <c r="G53" s="1">
        <f>IF(ISNA(VLOOKUP(F53,Monster!B:E,4,FALSE)),0,VLOOKUP(F53,Monster!B:E,4,FALSE))</f>
        <v>51</v>
      </c>
      <c r="I53" s="1" t="s">
        <v>915</v>
      </c>
      <c r="J53" s="1">
        <v>1764</v>
      </c>
      <c r="K53" s="1">
        <v>0</v>
      </c>
      <c r="L53" s="1">
        <v>0</v>
      </c>
      <c r="M53" s="1" t="s">
        <v>107</v>
      </c>
      <c r="O53" s="1">
        <f>((NOT(ISNA(VLOOKUP(M53,Monster!$H$2:$I$6,2,FALSE)))*L53)+J53)*(1+K53/100*0.25)</f>
        <v>1764</v>
      </c>
      <c r="P53" s="1" t="s">
        <v>560</v>
      </c>
      <c r="Q53" s="1">
        <v>2</v>
      </c>
    </row>
    <row r="54" spans="2:35" ht="12.75" hidden="1" x14ac:dyDescent="0.2">
      <c r="B54" s="1"/>
      <c r="C54" s="1" t="s">
        <v>917</v>
      </c>
      <c r="D54" s="1" t="s">
        <v>596</v>
      </c>
      <c r="E54" s="1" t="s">
        <v>599</v>
      </c>
      <c r="F54" s="1" t="s">
        <v>343</v>
      </c>
      <c r="G54" s="1">
        <f>IF(ISNA(VLOOKUP(F54,Monster!B:E,4,FALSE)),0,VLOOKUP(F54,Monster!B:E,4,FALSE))</f>
        <v>52</v>
      </c>
      <c r="K54" s="1">
        <v>0</v>
      </c>
      <c r="L54" s="1">
        <v>0</v>
      </c>
      <c r="M54" s="1"/>
      <c r="O54" s="1">
        <f>((NOT(ISNA(VLOOKUP(M54,Monster!$H$2:$I$6,2,FALSE)))*L54)+J54)*(1+K54/100*0.25)</f>
        <v>0</v>
      </c>
      <c r="P54" s="1" t="s">
        <v>648</v>
      </c>
      <c r="Q54" s="1">
        <v>1</v>
      </c>
    </row>
    <row r="55" spans="2:35" ht="12.75" hidden="1" x14ac:dyDescent="0.2">
      <c r="B55" s="1" t="s">
        <v>921</v>
      </c>
      <c r="C55" s="1" t="s">
        <v>922</v>
      </c>
      <c r="D55" s="1" t="s">
        <v>596</v>
      </c>
      <c r="E55" s="1" t="s">
        <v>599</v>
      </c>
      <c r="F55" s="1" t="s">
        <v>349</v>
      </c>
      <c r="G55" s="1">
        <f>IF(ISNA(VLOOKUP(F55,Monster!B:E,4,FALSE)),0,VLOOKUP(F55,Monster!B:E,4,FALSE))</f>
        <v>53</v>
      </c>
      <c r="I55" s="1" t="s">
        <v>921</v>
      </c>
      <c r="J55" s="1">
        <v>1738</v>
      </c>
      <c r="K55" s="1">
        <v>40</v>
      </c>
      <c r="L55" s="1">
        <v>0</v>
      </c>
      <c r="M55" s="1" t="s">
        <v>107</v>
      </c>
      <c r="O55" s="1">
        <f>((NOT(ISNA(VLOOKUP(M55,Monster!$H$2:$I$6,2,FALSE)))*L55)+J55)*(1+K55/100*0.25)</f>
        <v>1911.8000000000002</v>
      </c>
      <c r="P55" s="1" t="s">
        <v>535</v>
      </c>
      <c r="Q55" s="1">
        <v>2</v>
      </c>
    </row>
    <row r="56" spans="2:35" ht="12.75" hidden="1" x14ac:dyDescent="0.2">
      <c r="B56" s="1" t="s">
        <v>925</v>
      </c>
      <c r="C56" s="1" t="s">
        <v>926</v>
      </c>
      <c r="D56" s="1" t="s">
        <v>596</v>
      </c>
      <c r="E56" s="1" t="s">
        <v>599</v>
      </c>
      <c r="F56" s="1" t="s">
        <v>354</v>
      </c>
      <c r="G56" s="1">
        <f>IF(ISNA(VLOOKUP(F56,Monster!B:E,4,FALSE)),0,VLOOKUP(F56,Monster!B:E,4,FALSE))</f>
        <v>54</v>
      </c>
      <c r="I56" s="1" t="s">
        <v>925</v>
      </c>
      <c r="J56" s="1">
        <v>1328</v>
      </c>
      <c r="K56" s="1">
        <v>20</v>
      </c>
      <c r="L56" s="1">
        <v>1074</v>
      </c>
      <c r="M56" s="1" t="s">
        <v>50</v>
      </c>
      <c r="O56" s="1">
        <f>((NOT(ISNA(VLOOKUP(M56,Monster!$H$2:$I$6,2,FALSE)))*L56)+J56)*(1+K56/100*0.25)</f>
        <v>2522.1</v>
      </c>
      <c r="P56" s="1" t="s">
        <v>677</v>
      </c>
      <c r="Q56" s="1">
        <v>1</v>
      </c>
      <c r="R56" s="1" t="s">
        <v>372</v>
      </c>
    </row>
    <row r="57" spans="2:35" ht="12.75" hidden="1" x14ac:dyDescent="0.2">
      <c r="B57" s="1" t="s">
        <v>929</v>
      </c>
      <c r="C57" s="1" t="s">
        <v>930</v>
      </c>
      <c r="D57" s="1" t="s">
        <v>596</v>
      </c>
      <c r="E57" s="1" t="s">
        <v>599</v>
      </c>
      <c r="F57" s="1" t="s">
        <v>360</v>
      </c>
      <c r="G57" s="1">
        <f>IF(ISNA(VLOOKUP(F57,Monster!B:E,4,FALSE)),0,VLOOKUP(F57,Monster!B:E,4,FALSE))</f>
        <v>55</v>
      </c>
      <c r="I57" s="1" t="s">
        <v>929</v>
      </c>
      <c r="J57" s="1">
        <v>1979</v>
      </c>
      <c r="K57" s="1">
        <v>0</v>
      </c>
      <c r="L57" s="1">
        <v>0</v>
      </c>
      <c r="M57" s="1" t="s">
        <v>107</v>
      </c>
      <c r="O57" s="1">
        <f>((NOT(ISNA(VLOOKUP(M57,Monster!$H$2:$I$6,2,FALSE)))*L57)+J57)*(1+K57/100*0.25)</f>
        <v>1979</v>
      </c>
      <c r="P57" s="1" t="s">
        <v>515</v>
      </c>
      <c r="Q57" s="1">
        <v>1</v>
      </c>
    </row>
    <row r="58" spans="2:35" ht="12.75" hidden="1" x14ac:dyDescent="0.2">
      <c r="B58" s="1" t="s">
        <v>933</v>
      </c>
      <c r="C58" s="1" t="s">
        <v>934</v>
      </c>
      <c r="D58" s="1" t="s">
        <v>596</v>
      </c>
      <c r="E58" s="1" t="s">
        <v>599</v>
      </c>
      <c r="F58" s="1" t="s">
        <v>365</v>
      </c>
      <c r="G58" s="1">
        <f>IF(ISNA(VLOOKUP(F58,Monster!B:E,4,FALSE)),0,VLOOKUP(F58,Monster!B:E,4,FALSE))</f>
        <v>56</v>
      </c>
      <c r="I58" s="1" t="s">
        <v>933</v>
      </c>
      <c r="J58" s="1">
        <v>1020</v>
      </c>
      <c r="K58" s="1">
        <v>0</v>
      </c>
      <c r="L58" s="1">
        <v>1173</v>
      </c>
      <c r="M58" s="1" t="s">
        <v>66</v>
      </c>
      <c r="O58" s="1">
        <f>((NOT(ISNA(VLOOKUP(M58,Monster!$H$2:$I$6,2,FALSE)))*L58)+J58)*(1+K58/100*0.25)</f>
        <v>2193</v>
      </c>
      <c r="P58" s="1" t="s">
        <v>659</v>
      </c>
      <c r="Q58" s="1">
        <v>1</v>
      </c>
    </row>
    <row r="59" spans="2:35" ht="12.75" hidden="1" x14ac:dyDescent="0.2">
      <c r="B59" s="1" t="s">
        <v>938</v>
      </c>
      <c r="C59" s="1" t="s">
        <v>939</v>
      </c>
      <c r="D59" s="1" t="s">
        <v>596</v>
      </c>
      <c r="E59" s="1" t="s">
        <v>599</v>
      </c>
      <c r="F59" s="1" t="s">
        <v>370</v>
      </c>
      <c r="G59" s="1">
        <f>IF(ISNA(VLOOKUP(F59,Monster!B:E,4,FALSE)),0,VLOOKUP(F59,Monster!B:E,4,FALSE))</f>
        <v>57</v>
      </c>
      <c r="I59" s="1" t="s">
        <v>938</v>
      </c>
      <c r="J59" s="1">
        <v>1197</v>
      </c>
      <c r="K59" s="1">
        <v>20</v>
      </c>
      <c r="L59" s="1">
        <v>1154</v>
      </c>
      <c r="M59" s="1" t="s">
        <v>41</v>
      </c>
      <c r="O59" s="1">
        <f>((NOT(ISNA(VLOOKUP(M59,Monster!$H$2:$I$6,2,FALSE)))*L59)+J59)*(1+K59/100*0.25)</f>
        <v>2468.5500000000002</v>
      </c>
      <c r="P59" s="1" t="s">
        <v>615</v>
      </c>
      <c r="Q59" s="1">
        <v>2</v>
      </c>
    </row>
    <row r="60" spans="2:35" ht="12.75" hidden="1" x14ac:dyDescent="0.2">
      <c r="B60" s="3" t="s">
        <v>942</v>
      </c>
      <c r="C60" s="3" t="s">
        <v>943</v>
      </c>
      <c r="D60" s="3" t="s">
        <v>596</v>
      </c>
      <c r="E60" s="1" t="s">
        <v>599</v>
      </c>
      <c r="F60" s="3" t="s">
        <v>374</v>
      </c>
      <c r="G60" s="4">
        <f>IF(ISNA(VLOOKUP(F60,Monster!B:E,4,FALSE)),0,VLOOKUP(F60,Monster!B:E,4,FALSE))</f>
        <v>58</v>
      </c>
      <c r="H60" s="3"/>
      <c r="I60" s="3" t="s">
        <v>942</v>
      </c>
      <c r="J60" s="4">
        <v>1205</v>
      </c>
      <c r="K60" s="4">
        <v>0</v>
      </c>
      <c r="L60" s="4">
        <v>1305</v>
      </c>
      <c r="M60" s="3" t="s">
        <v>71</v>
      </c>
      <c r="N60" s="3"/>
      <c r="O60" s="4">
        <f>((NOT(ISNA(VLOOKUP(M60,Monster!$H$2:$I$6,2,FALSE)))*L60)+J60)*(1+K60/100*0.25)</f>
        <v>2510</v>
      </c>
      <c r="P60" s="3" t="s">
        <v>689</v>
      </c>
      <c r="Q60" s="4">
        <v>1</v>
      </c>
      <c r="R60" s="3" t="s">
        <v>372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</row>
    <row r="61" spans="2:35" ht="12.75" hidden="1" x14ac:dyDescent="0.2">
      <c r="B61" s="1" t="s">
        <v>947</v>
      </c>
      <c r="C61" s="1" t="s">
        <v>949</v>
      </c>
      <c r="D61" s="1" t="s">
        <v>596</v>
      </c>
      <c r="E61" s="1" t="s">
        <v>599</v>
      </c>
      <c r="F61" s="1"/>
      <c r="G61" s="1">
        <f>IF(ISNA(VLOOKUP(F61,Monster!B:E,4,FALSE)),0,VLOOKUP(F61,Monster!B:E,4,FALSE))</f>
        <v>0</v>
      </c>
      <c r="I61" s="1" t="s">
        <v>950</v>
      </c>
      <c r="J61" s="1">
        <v>1596</v>
      </c>
      <c r="K61" s="1">
        <v>0</v>
      </c>
      <c r="L61" s="1">
        <v>0</v>
      </c>
      <c r="M61" s="1" t="s">
        <v>107</v>
      </c>
      <c r="O61" s="1">
        <f>((NOT(ISNA(VLOOKUP(M61,Monster!$H$2:$I$6,2,FALSE)))*L61)+J61)*(1+K61/100*0.25)</f>
        <v>1596</v>
      </c>
      <c r="P61" s="1" t="s">
        <v>158</v>
      </c>
      <c r="Q61" s="1">
        <v>1</v>
      </c>
    </row>
    <row r="62" spans="2:35" ht="12.75" hidden="1" x14ac:dyDescent="0.2">
      <c r="B62" s="1" t="s">
        <v>953</v>
      </c>
      <c r="C62" s="1" t="s">
        <v>954</v>
      </c>
      <c r="D62" s="1" t="s">
        <v>596</v>
      </c>
      <c r="E62" s="1" t="s">
        <v>599</v>
      </c>
      <c r="F62" s="1"/>
      <c r="G62" s="1">
        <f>IF(ISNA(VLOOKUP(F62,Monster!B:E,4,FALSE)),0,VLOOKUP(F62,Monster!B:E,4,FALSE))</f>
        <v>0</v>
      </c>
      <c r="I62" s="1" t="s">
        <v>953</v>
      </c>
      <c r="J62" s="1">
        <v>1821</v>
      </c>
      <c r="K62" s="1">
        <v>30</v>
      </c>
      <c r="L62" s="1">
        <v>0</v>
      </c>
      <c r="M62" s="1" t="s">
        <v>107</v>
      </c>
      <c r="O62" s="1">
        <f>((NOT(ISNA(VLOOKUP(M62,Monster!$H$2:$I$6,2,FALSE)))*L62)+J62)*(1+K62/100*0.25)</f>
        <v>1957.5749999999998</v>
      </c>
      <c r="P62" s="1" t="s">
        <v>421</v>
      </c>
      <c r="Q62" s="1">
        <v>1</v>
      </c>
    </row>
    <row r="63" spans="2:35" ht="12.75" hidden="1" x14ac:dyDescent="0.2">
      <c r="B63" s="1" t="s">
        <v>957</v>
      </c>
      <c r="C63" s="1" t="s">
        <v>958</v>
      </c>
      <c r="D63" s="1" t="s">
        <v>596</v>
      </c>
      <c r="E63" s="1" t="s">
        <v>599</v>
      </c>
      <c r="F63" s="1"/>
      <c r="G63" s="1">
        <f>IF(ISNA(VLOOKUP(F63,Monster!B:E,4,FALSE)),0,VLOOKUP(F63,Monster!B:E,4,FALSE))</f>
        <v>0</v>
      </c>
      <c r="I63" s="1" t="s">
        <v>959</v>
      </c>
      <c r="J63" s="1">
        <v>1878</v>
      </c>
      <c r="K63" s="1">
        <v>0</v>
      </c>
      <c r="L63" s="1">
        <v>0</v>
      </c>
      <c r="M63" s="1" t="s">
        <v>107</v>
      </c>
      <c r="O63" s="1">
        <f>((NOT(ISNA(VLOOKUP(M63,Monster!$H$2:$I$6,2,FALSE)))*L63)+J63)*(1+K63/100*0.25)</f>
        <v>1878</v>
      </c>
      <c r="P63" s="1" t="s">
        <v>412</v>
      </c>
      <c r="Q63" s="1">
        <v>1</v>
      </c>
    </row>
    <row r="64" spans="2:35" ht="12.75" hidden="1" x14ac:dyDescent="0.2">
      <c r="B64" s="1" t="s">
        <v>961</v>
      </c>
      <c r="C64" s="1" t="s">
        <v>34</v>
      </c>
      <c r="D64" s="1" t="s">
        <v>596</v>
      </c>
      <c r="E64" s="1" t="s">
        <v>963</v>
      </c>
      <c r="F64" s="1"/>
      <c r="G64" s="1">
        <f>IF(ISNA(VLOOKUP(F64,Monster!B:E,4,FALSE)),0,VLOOKUP(F64,Monster!B:E,4,FALSE))</f>
        <v>0</v>
      </c>
      <c r="I64" s="1" t="s">
        <v>964</v>
      </c>
      <c r="J64" s="1">
        <v>1596</v>
      </c>
      <c r="K64" s="1">
        <v>0</v>
      </c>
      <c r="L64" s="1">
        <v>0</v>
      </c>
      <c r="M64" s="1" t="s">
        <v>107</v>
      </c>
      <c r="O64" s="1">
        <f>((NOT(ISNA(VLOOKUP(M64,Monster!$H$2:$I$6,2,FALSE)))*L64)+J64)*(1+K64/100*0.25)</f>
        <v>1596</v>
      </c>
      <c r="P64" s="1" t="s">
        <v>410</v>
      </c>
      <c r="Q64" s="1">
        <v>2</v>
      </c>
    </row>
    <row r="65" spans="2:17" ht="12.75" hidden="1" x14ac:dyDescent="0.2">
      <c r="C65" s="1" t="s">
        <v>324</v>
      </c>
      <c r="D65" s="1" t="s">
        <v>596</v>
      </c>
      <c r="E65" s="1" t="s">
        <v>963</v>
      </c>
      <c r="F65" s="1" t="s">
        <v>11</v>
      </c>
      <c r="G65" s="1">
        <f>IF(ISNA(VLOOKUP(F65,Monster!B:E,4,FALSE)),0,VLOOKUP(F65,Monster!B:E,4,FALSE))</f>
        <v>1</v>
      </c>
      <c r="J65" s="1">
        <v>1373</v>
      </c>
      <c r="K65" s="1">
        <v>0</v>
      </c>
      <c r="L65" s="1">
        <v>607</v>
      </c>
      <c r="M65" s="1" t="s">
        <v>50</v>
      </c>
      <c r="O65" s="1">
        <f>((NOT(ISNA(VLOOKUP(M65,Monster!$H$2:$I$6,2,FALSE)))*L65)+J65)*(1+K65/100*0.25)</f>
        <v>1980</v>
      </c>
      <c r="P65" s="1" t="s">
        <v>348</v>
      </c>
      <c r="Q65" s="1">
        <v>2</v>
      </c>
    </row>
    <row r="66" spans="2:17" ht="12.75" hidden="1" x14ac:dyDescent="0.2">
      <c r="B66" s="1" t="s">
        <v>968</v>
      </c>
      <c r="C66" s="1" t="s">
        <v>439</v>
      </c>
      <c r="D66" s="1" t="s">
        <v>596</v>
      </c>
      <c r="E66" s="1" t="s">
        <v>963</v>
      </c>
      <c r="F66" s="1" t="s">
        <v>47</v>
      </c>
      <c r="G66" s="1">
        <f>IF(ISNA(VLOOKUP(F66,Monster!B:E,4,FALSE)),0,VLOOKUP(F66,Monster!B:E,4,FALSE))</f>
        <v>2</v>
      </c>
      <c r="I66" s="1" t="s">
        <v>970</v>
      </c>
      <c r="J66" s="1">
        <v>1596</v>
      </c>
      <c r="K66" s="1">
        <v>30</v>
      </c>
      <c r="L66" s="1">
        <v>0</v>
      </c>
      <c r="M66" s="1" t="s">
        <v>107</v>
      </c>
      <c r="O66" s="1">
        <f>((NOT(ISNA(VLOOKUP(M66,Monster!$H$2:$I$6,2,FALSE)))*L66)+J66)*(1+K66/100*0.25)</f>
        <v>1715.6999999999998</v>
      </c>
      <c r="P66" s="1" t="s">
        <v>319</v>
      </c>
      <c r="Q66" s="1">
        <v>2</v>
      </c>
    </row>
    <row r="67" spans="2:17" ht="12.75" hidden="1" x14ac:dyDescent="0.2">
      <c r="C67" s="1" t="s">
        <v>541</v>
      </c>
      <c r="D67" s="1" t="s">
        <v>596</v>
      </c>
      <c r="E67" s="1" t="s">
        <v>963</v>
      </c>
      <c r="F67" s="1" t="s">
        <v>52</v>
      </c>
      <c r="G67" s="1">
        <f>IF(ISNA(VLOOKUP(F67,Monster!B:E,4,FALSE)),0,VLOOKUP(F67,Monster!B:E,4,FALSE))</f>
        <v>3</v>
      </c>
      <c r="J67" s="1">
        <v>1596</v>
      </c>
      <c r="K67" s="1">
        <v>0</v>
      </c>
      <c r="L67" s="1">
        <v>400</v>
      </c>
      <c r="M67" s="1" t="s">
        <v>79</v>
      </c>
      <c r="O67" s="1">
        <f>((NOT(ISNA(VLOOKUP(M67,Monster!$H$2:$I$6,2,FALSE)))*L67)+J67)*(1+K67/100*0.25)</f>
        <v>1596</v>
      </c>
      <c r="P67" s="1" t="s">
        <v>590</v>
      </c>
      <c r="Q67" s="1">
        <v>1</v>
      </c>
    </row>
    <row r="68" spans="2:17" ht="12.75" hidden="1" x14ac:dyDescent="0.2">
      <c r="C68" s="1" t="s">
        <v>617</v>
      </c>
      <c r="D68" s="1" t="s">
        <v>596</v>
      </c>
      <c r="E68" s="1" t="s">
        <v>963</v>
      </c>
      <c r="F68" s="1" t="s">
        <v>60</v>
      </c>
      <c r="G68" s="1">
        <f>IF(ISNA(VLOOKUP(F68,Monster!B:E,4,FALSE)),0,VLOOKUP(F68,Monster!B:E,4,FALSE))</f>
        <v>4</v>
      </c>
      <c r="J68" s="1">
        <v>1221</v>
      </c>
      <c r="K68" s="1">
        <v>0</v>
      </c>
      <c r="L68" s="1">
        <v>1142</v>
      </c>
      <c r="M68" s="1" t="s">
        <v>50</v>
      </c>
      <c r="O68" s="1">
        <f>((NOT(ISNA(VLOOKUP(M68,Monster!$H$2:$I$6,2,FALSE)))*L68)+J68)*(1+K68/100*0.25)</f>
        <v>2363</v>
      </c>
      <c r="P68" s="1" t="s">
        <v>244</v>
      </c>
      <c r="Q68" s="1">
        <v>1</v>
      </c>
    </row>
    <row r="69" spans="2:17" ht="12.75" hidden="1" x14ac:dyDescent="0.2">
      <c r="C69" s="1" t="s">
        <v>696</v>
      </c>
      <c r="D69" s="1" t="s">
        <v>596</v>
      </c>
      <c r="E69" s="1" t="s">
        <v>963</v>
      </c>
      <c r="F69" s="1" t="s">
        <v>69</v>
      </c>
      <c r="G69" s="1">
        <f>IF(ISNA(VLOOKUP(F69,Monster!B:E,4,FALSE)),0,VLOOKUP(F69,Monster!B:E,4,FALSE))</f>
        <v>5</v>
      </c>
      <c r="J69" s="1">
        <v>1756</v>
      </c>
      <c r="K69" s="1">
        <v>0</v>
      </c>
      <c r="L69" s="1">
        <v>0</v>
      </c>
      <c r="M69" s="1" t="s">
        <v>107</v>
      </c>
      <c r="O69" s="1">
        <f>((NOT(ISNA(VLOOKUP(M69,Monster!$H$2:$I$6,2,FALSE)))*L69)+J69)*(1+K69/100*0.25)</f>
        <v>1756</v>
      </c>
      <c r="P69" s="1" t="s">
        <v>213</v>
      </c>
      <c r="Q69" s="1">
        <v>2</v>
      </c>
    </row>
    <row r="70" spans="2:17" ht="12.75" hidden="1" x14ac:dyDescent="0.2">
      <c r="C70" s="1" t="s">
        <v>719</v>
      </c>
      <c r="D70" s="1" t="s">
        <v>596</v>
      </c>
      <c r="E70" s="1" t="s">
        <v>963</v>
      </c>
      <c r="F70" s="1" t="s">
        <v>75</v>
      </c>
      <c r="G70" s="1">
        <f>IF(ISNA(VLOOKUP(F70,Monster!B:E,4,FALSE)),0,VLOOKUP(F70,Monster!B:E,4,FALSE))</f>
        <v>6</v>
      </c>
      <c r="J70" s="1">
        <v>1596</v>
      </c>
      <c r="K70" s="1">
        <v>0</v>
      </c>
      <c r="L70" s="1">
        <v>400</v>
      </c>
      <c r="M70" s="1" t="s">
        <v>87</v>
      </c>
      <c r="O70" s="1">
        <f>((NOT(ISNA(VLOOKUP(M70,Monster!$H$2:$I$6,2,FALSE)))*L70)+J70)*(1+K70/100*0.25)</f>
        <v>1596</v>
      </c>
      <c r="P70" s="1" t="s">
        <v>590</v>
      </c>
      <c r="Q70" s="1">
        <v>1</v>
      </c>
    </row>
    <row r="71" spans="2:17" ht="12.75" hidden="1" x14ac:dyDescent="0.2">
      <c r="B71" s="1" t="s">
        <v>981</v>
      </c>
      <c r="C71" s="1" t="s">
        <v>729</v>
      </c>
      <c r="D71" s="1" t="s">
        <v>596</v>
      </c>
      <c r="E71" s="1" t="s">
        <v>963</v>
      </c>
      <c r="F71" s="1" t="s">
        <v>81</v>
      </c>
      <c r="G71" s="1">
        <f>IF(ISNA(VLOOKUP(F71,Monster!B:E,4,FALSE)),0,VLOOKUP(F71,Monster!B:E,4,FALSE))</f>
        <v>7</v>
      </c>
      <c r="I71" s="1" t="s">
        <v>982</v>
      </c>
      <c r="J71" s="1">
        <v>1293</v>
      </c>
      <c r="K71" s="1">
        <v>0</v>
      </c>
      <c r="L71" s="1">
        <v>910</v>
      </c>
      <c r="M71" s="1" t="s">
        <v>58</v>
      </c>
      <c r="O71" s="1">
        <f>((NOT(ISNA(VLOOKUP(M71,Monster!$H$2:$I$6,2,FALSE)))*L71)+J71)*(1+K71/100*0.25)</f>
        <v>2203</v>
      </c>
      <c r="P71" s="1" t="s">
        <v>253</v>
      </c>
      <c r="Q71" s="1">
        <v>1</v>
      </c>
    </row>
    <row r="72" spans="2:17" ht="12.75" hidden="1" x14ac:dyDescent="0.2">
      <c r="C72" s="1" t="s">
        <v>735</v>
      </c>
      <c r="D72" s="1" t="s">
        <v>596</v>
      </c>
      <c r="E72" s="1" t="s">
        <v>963</v>
      </c>
      <c r="F72" s="1" t="s">
        <v>91</v>
      </c>
      <c r="G72" s="1">
        <f>IF(ISNA(VLOOKUP(F72,Monster!B:E,4,FALSE)),0,VLOOKUP(F72,Monster!B:E,4,FALSE))</f>
        <v>8</v>
      </c>
      <c r="J72" s="1">
        <v>1764</v>
      </c>
      <c r="K72" s="1">
        <v>0</v>
      </c>
      <c r="L72" s="1">
        <v>0</v>
      </c>
      <c r="M72" s="1" t="s">
        <v>107</v>
      </c>
      <c r="O72" s="1">
        <f>((NOT(ISNA(VLOOKUP(M72,Monster!$H$2:$I$6,2,FALSE)))*L72)+J72)*(1+K72/100*0.25)</f>
        <v>1764</v>
      </c>
      <c r="P72" s="1" t="s">
        <v>228</v>
      </c>
      <c r="Q72" s="1">
        <v>2</v>
      </c>
    </row>
    <row r="73" spans="2:17" ht="12.75" hidden="1" x14ac:dyDescent="0.2">
      <c r="C73" s="1" t="s">
        <v>740</v>
      </c>
      <c r="D73" s="1" t="s">
        <v>596</v>
      </c>
      <c r="E73" s="1" t="s">
        <v>963</v>
      </c>
      <c r="F73" s="1" t="s">
        <v>97</v>
      </c>
      <c r="G73" s="1">
        <f>IF(ISNA(VLOOKUP(F73,Monster!B:E,4,FALSE)),0,VLOOKUP(F73,Monster!B:E,4,FALSE))</f>
        <v>9</v>
      </c>
      <c r="J73" s="1">
        <v>1756</v>
      </c>
      <c r="K73" s="1">
        <v>0</v>
      </c>
      <c r="L73" s="1">
        <v>300</v>
      </c>
      <c r="M73" s="1" t="s">
        <v>95</v>
      </c>
      <c r="O73" s="1">
        <f>((NOT(ISNA(VLOOKUP(M73,Monster!$H$2:$I$6,2,FALSE)))*L73)+J73)*(1+K73/100*0.25)</f>
        <v>1756</v>
      </c>
      <c r="P73" s="1" t="s">
        <v>590</v>
      </c>
      <c r="Q73" s="1">
        <v>1</v>
      </c>
    </row>
    <row r="74" spans="2:17" ht="12.75" hidden="1" x14ac:dyDescent="0.2">
      <c r="B74" s="1" t="s">
        <v>993</v>
      </c>
      <c r="C74" s="1" t="s">
        <v>745</v>
      </c>
      <c r="D74" s="1" t="s">
        <v>596</v>
      </c>
      <c r="E74" s="1" t="s">
        <v>963</v>
      </c>
      <c r="F74" s="1" t="s">
        <v>102</v>
      </c>
      <c r="G74" s="1">
        <f>IF(ISNA(VLOOKUP(F74,Monster!B:E,4,FALSE)),0,VLOOKUP(F74,Monster!B:E,4,FALSE))</f>
        <v>10</v>
      </c>
      <c r="I74" s="1" t="s">
        <v>995</v>
      </c>
      <c r="J74" s="1">
        <v>1293</v>
      </c>
      <c r="K74" s="1">
        <v>0</v>
      </c>
      <c r="L74" s="1">
        <v>910</v>
      </c>
      <c r="M74" s="1" t="s">
        <v>50</v>
      </c>
      <c r="O74" s="1">
        <f>((NOT(ISNA(VLOOKUP(M74,Monster!$H$2:$I$6,2,FALSE)))*L74)+J74)*(1+K74/100*0.25)</f>
        <v>2203</v>
      </c>
      <c r="P74" s="1" t="s">
        <v>394</v>
      </c>
      <c r="Q74" s="1">
        <v>1</v>
      </c>
    </row>
    <row r="75" spans="2:17" ht="12.75" hidden="1" x14ac:dyDescent="0.2">
      <c r="B75" s="1" t="s">
        <v>997</v>
      </c>
      <c r="C75" s="1" t="s">
        <v>750</v>
      </c>
      <c r="D75" s="1" t="s">
        <v>596</v>
      </c>
      <c r="E75" s="1" t="s">
        <v>963</v>
      </c>
      <c r="F75" s="1" t="s">
        <v>109</v>
      </c>
      <c r="G75" s="1">
        <f>IF(ISNA(VLOOKUP(F75,Monster!B:E,4,FALSE)),0,VLOOKUP(F75,Monster!B:E,4,FALSE))</f>
        <v>11</v>
      </c>
      <c r="I75" s="1" t="s">
        <v>999</v>
      </c>
      <c r="J75" s="1">
        <v>1293</v>
      </c>
      <c r="K75" s="1">
        <v>0</v>
      </c>
      <c r="L75" s="1">
        <v>910</v>
      </c>
      <c r="M75" s="1" t="s">
        <v>41</v>
      </c>
      <c r="O75" s="1">
        <f>((NOT(ISNA(VLOOKUP(M75,Monster!$H$2:$I$6,2,FALSE)))*L75)+J75)*(1+K75/100*0.25)</f>
        <v>2203</v>
      </c>
      <c r="P75" s="1" t="s">
        <v>543</v>
      </c>
      <c r="Q75" s="1">
        <v>1</v>
      </c>
    </row>
    <row r="76" spans="2:17" ht="12.75" hidden="1" x14ac:dyDescent="0.2">
      <c r="B76" s="1" t="s">
        <v>1001</v>
      </c>
      <c r="C76" s="1" t="s">
        <v>756</v>
      </c>
      <c r="D76" s="1" t="s">
        <v>596</v>
      </c>
      <c r="E76" s="1" t="s">
        <v>963</v>
      </c>
      <c r="F76" s="1" t="s">
        <v>119</v>
      </c>
      <c r="G76" s="1">
        <f>IF(ISNA(VLOOKUP(F76,Monster!B:E,4,FALSE)),0,VLOOKUP(F76,Monster!B:E,4,FALSE))</f>
        <v>12</v>
      </c>
      <c r="I76" s="1" t="s">
        <v>1001</v>
      </c>
      <c r="J76" s="1">
        <v>1197</v>
      </c>
      <c r="K76" s="1">
        <v>20</v>
      </c>
      <c r="L76" s="1">
        <v>1154</v>
      </c>
      <c r="M76" s="1" t="s">
        <v>58</v>
      </c>
      <c r="O76" s="1">
        <f>((NOT(ISNA(VLOOKUP(M76,Monster!$H$2:$I$6,2,FALSE)))*L76)+J76)*(1+K76/100*0.25)</f>
        <v>2468.5500000000002</v>
      </c>
      <c r="P76" s="1" t="s">
        <v>175</v>
      </c>
      <c r="Q76" s="1">
        <v>1</v>
      </c>
    </row>
    <row r="77" spans="2:17" ht="12.75" hidden="1" x14ac:dyDescent="0.2">
      <c r="C77" s="1" t="s">
        <v>761</v>
      </c>
      <c r="D77" s="1" t="s">
        <v>596</v>
      </c>
      <c r="E77" s="1" t="s">
        <v>963</v>
      </c>
      <c r="F77" s="1" t="s">
        <v>125</v>
      </c>
      <c r="G77" s="1">
        <f>IF(ISNA(VLOOKUP(F77,Monster!B:E,4,FALSE)),0,VLOOKUP(F77,Monster!B:E,4,FALSE))</f>
        <v>13</v>
      </c>
      <c r="J77" s="1">
        <v>1516</v>
      </c>
      <c r="K77" s="1">
        <v>0</v>
      </c>
      <c r="L77" s="1">
        <v>496</v>
      </c>
      <c r="M77" s="1" t="s">
        <v>79</v>
      </c>
      <c r="O77" s="1">
        <f>((NOT(ISNA(VLOOKUP(M77,Monster!$H$2:$I$6,2,FALSE)))*L77)+J77)*(1+K77/100*0.25)</f>
        <v>1516</v>
      </c>
      <c r="P77" s="1" t="s">
        <v>348</v>
      </c>
      <c r="Q77" s="1">
        <v>2</v>
      </c>
    </row>
    <row r="78" spans="2:17" ht="12.75" hidden="1" x14ac:dyDescent="0.2">
      <c r="C78" s="1" t="s">
        <v>766</v>
      </c>
      <c r="D78" s="1" t="s">
        <v>596</v>
      </c>
      <c r="E78" s="1" t="s">
        <v>963</v>
      </c>
      <c r="F78" s="1" t="s">
        <v>131</v>
      </c>
      <c r="G78" s="1">
        <f>IF(ISNA(VLOOKUP(F78,Monster!B:E,4,FALSE)),0,VLOOKUP(F78,Monster!B:E,4,FALSE))</f>
        <v>14</v>
      </c>
      <c r="J78" s="1">
        <v>1756</v>
      </c>
      <c r="K78" s="1">
        <v>0</v>
      </c>
      <c r="L78" s="1">
        <v>300</v>
      </c>
      <c r="M78" s="1" t="s">
        <v>79</v>
      </c>
      <c r="O78" s="1">
        <f>((NOT(ISNA(VLOOKUP(M78,Monster!$H$2:$I$6,2,FALSE)))*L78)+J78)*(1+K78/100*0.25)</f>
        <v>1756</v>
      </c>
      <c r="P78" s="1" t="s">
        <v>253</v>
      </c>
      <c r="Q78" s="1">
        <v>1</v>
      </c>
    </row>
    <row r="79" spans="2:17" ht="12.75" hidden="1" x14ac:dyDescent="0.2">
      <c r="C79" s="1" t="s">
        <v>771</v>
      </c>
      <c r="D79" s="1" t="s">
        <v>596</v>
      </c>
      <c r="E79" s="1" t="s">
        <v>963</v>
      </c>
      <c r="F79" s="1" t="s">
        <v>137</v>
      </c>
      <c r="G79" s="1">
        <f>IF(ISNA(VLOOKUP(F79,Monster!B:E,4,FALSE)),0,VLOOKUP(F79,Monster!B:E,4,FALSE))</f>
        <v>15</v>
      </c>
      <c r="J79" s="1">
        <v>1675</v>
      </c>
      <c r="K79" s="1">
        <v>30</v>
      </c>
      <c r="L79" s="1">
        <v>399</v>
      </c>
      <c r="M79" s="1" t="s">
        <v>79</v>
      </c>
      <c r="O79" s="1">
        <f>((NOT(ISNA(VLOOKUP(M79,Monster!$H$2:$I$6,2,FALSE)))*L79)+J79)*(1+K79/100*0.25)</f>
        <v>1800.625</v>
      </c>
      <c r="P79" s="1" t="s">
        <v>483</v>
      </c>
      <c r="Q79" s="1">
        <v>2</v>
      </c>
    </row>
    <row r="80" spans="2:17" ht="12.75" hidden="1" x14ac:dyDescent="0.2">
      <c r="B80" s="1" t="s">
        <v>1010</v>
      </c>
      <c r="C80" s="1" t="s">
        <v>775</v>
      </c>
      <c r="D80" s="1" t="s">
        <v>596</v>
      </c>
      <c r="E80" s="1" t="s">
        <v>963</v>
      </c>
      <c r="F80" s="1" t="s">
        <v>146</v>
      </c>
      <c r="G80" s="1">
        <f>IF(ISNA(VLOOKUP(F80,Monster!B:E,4,FALSE)),0,VLOOKUP(F80,Monster!B:E,4,FALSE))</f>
        <v>16</v>
      </c>
      <c r="I80" s="1" t="s">
        <v>1012</v>
      </c>
      <c r="J80" s="1">
        <v>1221</v>
      </c>
      <c r="K80" s="1">
        <v>0</v>
      </c>
      <c r="L80" s="1">
        <v>1142</v>
      </c>
      <c r="M80" s="1" t="s">
        <v>66</v>
      </c>
      <c r="O80" s="1">
        <f>((NOT(ISNA(VLOOKUP(M80,Monster!$H$2:$I$6,2,FALSE)))*L80)+J80)*(1+K80/100*0.25)</f>
        <v>2363</v>
      </c>
      <c r="P80" s="1" t="s">
        <v>228</v>
      </c>
      <c r="Q80" s="1">
        <v>2</v>
      </c>
    </row>
    <row r="81" spans="2:17" ht="12.75" hidden="1" x14ac:dyDescent="0.2">
      <c r="B81" s="1" t="s">
        <v>1014</v>
      </c>
      <c r="C81" s="1" t="s">
        <v>779</v>
      </c>
      <c r="D81" s="1" t="s">
        <v>596</v>
      </c>
      <c r="E81" s="1" t="s">
        <v>963</v>
      </c>
      <c r="F81" s="1" t="s">
        <v>151</v>
      </c>
      <c r="G81" s="1">
        <f>IF(ISNA(VLOOKUP(F81,Monster!B:E,4,FALSE)),0,VLOOKUP(F81,Monster!B:E,4,FALSE))</f>
        <v>17</v>
      </c>
      <c r="I81" s="1" t="s">
        <v>1016</v>
      </c>
      <c r="J81" s="1">
        <v>1979</v>
      </c>
      <c r="K81" s="1">
        <v>0</v>
      </c>
      <c r="L81" s="1">
        <v>0</v>
      </c>
      <c r="M81" s="1" t="s">
        <v>107</v>
      </c>
      <c r="O81" s="1">
        <f>((NOT(ISNA(VLOOKUP(M81,Monster!$H$2:$I$6,2,FALSE)))*L81)+J81)*(1+K81/100*0.25)</f>
        <v>1979</v>
      </c>
      <c r="P81" s="1" t="s">
        <v>364</v>
      </c>
      <c r="Q81" s="1">
        <v>1</v>
      </c>
    </row>
    <row r="82" spans="2:17" ht="12.75" hidden="1" x14ac:dyDescent="0.2">
      <c r="B82" s="1" t="s">
        <v>1018</v>
      </c>
      <c r="C82" s="1" t="s">
        <v>782</v>
      </c>
      <c r="D82" s="1" t="s">
        <v>596</v>
      </c>
      <c r="E82" s="1" t="s">
        <v>963</v>
      </c>
      <c r="F82" s="1" t="s">
        <v>155</v>
      </c>
      <c r="G82" s="1">
        <f>IF(ISNA(VLOOKUP(F82,Monster!B:E,4,FALSE)),0,VLOOKUP(F82,Monster!B:E,4,FALSE))</f>
        <v>18</v>
      </c>
      <c r="I82" s="1" t="s">
        <v>1018</v>
      </c>
      <c r="J82" s="1">
        <v>2218</v>
      </c>
      <c r="K82" s="1">
        <v>-30</v>
      </c>
      <c r="L82" s="1">
        <v>0</v>
      </c>
      <c r="M82" s="1" t="s">
        <v>107</v>
      </c>
      <c r="O82" s="1">
        <f>((NOT(ISNA(VLOOKUP(M82,Monster!$H$2:$I$6,2,FALSE)))*L82)+J82)*(1+K82/100*0.25)</f>
        <v>2051.65</v>
      </c>
      <c r="P82" s="1" t="s">
        <v>463</v>
      </c>
      <c r="Q82" s="1">
        <v>1</v>
      </c>
    </row>
    <row r="83" spans="2:17" ht="12.75" hidden="1" x14ac:dyDescent="0.2">
      <c r="C83" s="1" t="s">
        <v>786</v>
      </c>
      <c r="D83" s="1" t="s">
        <v>596</v>
      </c>
      <c r="E83" s="1" t="s">
        <v>963</v>
      </c>
      <c r="F83" s="1" t="s">
        <v>160</v>
      </c>
      <c r="G83" s="1">
        <f>IF(ISNA(VLOOKUP(F83,Monster!B:E,4,FALSE)),0,VLOOKUP(F83,Monster!B:E,4,FALSE))</f>
        <v>19</v>
      </c>
      <c r="J83" s="1">
        <v>1221</v>
      </c>
      <c r="K83" s="1">
        <v>0</v>
      </c>
      <c r="L83" s="1">
        <v>1142</v>
      </c>
      <c r="M83" s="1" t="s">
        <v>41</v>
      </c>
      <c r="O83" s="1">
        <f>((NOT(ISNA(VLOOKUP(M83,Monster!$H$2:$I$6,2,FALSE)))*L83)+J83)*(1+K83/100*0.25)</f>
        <v>2363</v>
      </c>
      <c r="P83" s="1" t="s">
        <v>244</v>
      </c>
      <c r="Q83" s="1">
        <v>1</v>
      </c>
    </row>
    <row r="84" spans="2:17" ht="12.75" hidden="1" x14ac:dyDescent="0.2">
      <c r="C84" s="1" t="s">
        <v>790</v>
      </c>
      <c r="D84" s="1" t="s">
        <v>596</v>
      </c>
      <c r="E84" s="1" t="s">
        <v>963</v>
      </c>
      <c r="F84" s="1" t="s">
        <v>165</v>
      </c>
      <c r="G84" s="1">
        <f>IF(ISNA(VLOOKUP(F84,Monster!B:E,4,FALSE)),0,VLOOKUP(F84,Monster!B:E,4,FALSE))</f>
        <v>20</v>
      </c>
      <c r="J84" s="1">
        <v>1682</v>
      </c>
      <c r="K84" s="1">
        <v>0</v>
      </c>
      <c r="L84" s="1">
        <v>605</v>
      </c>
      <c r="M84" s="1" t="s">
        <v>41</v>
      </c>
      <c r="O84" s="1">
        <f>((NOT(ISNA(VLOOKUP(M84,Monster!$H$2:$I$6,2,FALSE)))*L84)+J84)*(1+K84/100*0.25)</f>
        <v>2287</v>
      </c>
      <c r="P84" s="1" t="s">
        <v>602</v>
      </c>
      <c r="Q84" s="1">
        <v>1</v>
      </c>
    </row>
    <row r="85" spans="2:17" ht="12.75" hidden="1" x14ac:dyDescent="0.2">
      <c r="B85" s="1" t="s">
        <v>1029</v>
      </c>
      <c r="C85" s="1" t="s">
        <v>794</v>
      </c>
      <c r="D85" s="1" t="s">
        <v>596</v>
      </c>
      <c r="E85" s="1" t="s">
        <v>963</v>
      </c>
      <c r="F85" s="1" t="s">
        <v>171</v>
      </c>
      <c r="G85" s="1">
        <f>IF(ISNA(VLOOKUP(F85,Monster!B:E,4,FALSE)),0,VLOOKUP(F85,Monster!B:E,4,FALSE))</f>
        <v>21</v>
      </c>
      <c r="I85" s="1" t="s">
        <v>1029</v>
      </c>
      <c r="J85" s="1">
        <v>1258</v>
      </c>
      <c r="K85" s="1">
        <v>30</v>
      </c>
      <c r="L85" s="1">
        <v>1082</v>
      </c>
      <c r="M85" s="1" t="s">
        <v>41</v>
      </c>
      <c r="O85" s="1">
        <f>((NOT(ISNA(VLOOKUP(M85,Monster!$H$2:$I$6,2,FALSE)))*L85)+J85)*(1+K85/100*0.25)</f>
        <v>2515.5</v>
      </c>
      <c r="P85" s="1" t="s">
        <v>175</v>
      </c>
      <c r="Q85" s="1">
        <v>2</v>
      </c>
    </row>
    <row r="86" spans="2:17" ht="12.75" hidden="1" x14ac:dyDescent="0.2">
      <c r="C86" s="1" t="s">
        <v>797</v>
      </c>
      <c r="D86" s="1" t="s">
        <v>596</v>
      </c>
      <c r="E86" s="1" t="s">
        <v>963</v>
      </c>
      <c r="F86" s="1" t="s">
        <v>176</v>
      </c>
      <c r="G86" s="1">
        <f>IF(ISNA(VLOOKUP(F86,Monster!B:E,4,FALSE)),0,VLOOKUP(F86,Monster!B:E,4,FALSE))</f>
        <v>22</v>
      </c>
      <c r="J86" s="1">
        <v>1596</v>
      </c>
      <c r="K86" s="1">
        <v>0</v>
      </c>
      <c r="L86" s="1">
        <v>400</v>
      </c>
      <c r="M86" s="1" t="s">
        <v>95</v>
      </c>
      <c r="O86" s="1">
        <f>((NOT(ISNA(VLOOKUP(M86,Monster!$H$2:$I$6,2,FALSE)))*L86)+J86)*(1+K86/100*0.25)</f>
        <v>1596</v>
      </c>
      <c r="P86" s="1" t="s">
        <v>213</v>
      </c>
      <c r="Q86" s="1">
        <v>2</v>
      </c>
    </row>
    <row r="87" spans="2:17" ht="12.75" hidden="1" x14ac:dyDescent="0.2">
      <c r="B87" s="1" t="s">
        <v>1037</v>
      </c>
      <c r="C87" s="1" t="s">
        <v>800</v>
      </c>
      <c r="D87" s="1" t="s">
        <v>596</v>
      </c>
      <c r="E87" s="1" t="s">
        <v>963</v>
      </c>
      <c r="F87" s="1" t="s">
        <v>184</v>
      </c>
      <c r="G87" s="1">
        <f>IF(ISNA(VLOOKUP(F87,Monster!B:E,4,FALSE)),0,VLOOKUP(F87,Monster!B:E,4,FALSE))</f>
        <v>23</v>
      </c>
      <c r="I87" s="1" t="s">
        <v>1037</v>
      </c>
      <c r="J87" s="1">
        <v>1764</v>
      </c>
      <c r="K87" s="1">
        <v>0</v>
      </c>
      <c r="L87" s="1">
        <v>0</v>
      </c>
      <c r="M87" s="1" t="s">
        <v>107</v>
      </c>
      <c r="O87" s="1">
        <f>((NOT(ISNA(VLOOKUP(M87,Monster!$H$2:$I$6,2,FALSE)))*L87)+J87)*(1+K87/100*0.25)</f>
        <v>1764</v>
      </c>
      <c r="P87" s="1" t="s">
        <v>306</v>
      </c>
      <c r="Q87" s="1">
        <v>2</v>
      </c>
    </row>
    <row r="88" spans="2:17" ht="12.75" hidden="1" x14ac:dyDescent="0.2">
      <c r="B88" s="1" t="s">
        <v>1041</v>
      </c>
      <c r="C88" s="1" t="s">
        <v>803</v>
      </c>
      <c r="D88" s="1" t="s">
        <v>596</v>
      </c>
      <c r="E88" s="1" t="s">
        <v>963</v>
      </c>
      <c r="F88" s="1" t="s">
        <v>190</v>
      </c>
      <c r="G88" s="1">
        <f>IF(ISNA(VLOOKUP(F88,Monster!B:E,4,FALSE)),0,VLOOKUP(F88,Monster!B:E,4,FALSE))</f>
        <v>24</v>
      </c>
      <c r="I88" s="1" t="s">
        <v>1042</v>
      </c>
      <c r="J88" s="1">
        <v>1191</v>
      </c>
      <c r="K88" s="1">
        <v>20</v>
      </c>
      <c r="L88" s="1">
        <v>910</v>
      </c>
      <c r="M88" s="1" t="s">
        <v>66</v>
      </c>
      <c r="O88" s="1">
        <f>((NOT(ISNA(VLOOKUP(M88,Monster!$H$2:$I$6,2,FALSE)))*L88)+J88)*(1+K88/100*0.25)</f>
        <v>2206.0500000000002</v>
      </c>
      <c r="P88" s="1" t="s">
        <v>253</v>
      </c>
      <c r="Q88" s="1">
        <v>1</v>
      </c>
    </row>
    <row r="89" spans="2:17" ht="12.75" hidden="1" x14ac:dyDescent="0.2">
      <c r="B89" s="1" t="s">
        <v>1045</v>
      </c>
      <c r="C89" s="1" t="s">
        <v>807</v>
      </c>
      <c r="D89" s="1" t="s">
        <v>596</v>
      </c>
      <c r="E89" s="1" t="s">
        <v>963</v>
      </c>
      <c r="F89" s="1" t="s">
        <v>193</v>
      </c>
      <c r="G89" s="1">
        <f>IF(ISNA(VLOOKUP(F89,Monster!B:E,4,FALSE)),0,VLOOKUP(F89,Monster!B:E,4,FALSE))</f>
        <v>25</v>
      </c>
      <c r="I89" s="1" t="s">
        <v>1046</v>
      </c>
      <c r="J89" s="1">
        <v>1221</v>
      </c>
      <c r="K89" s="1">
        <v>0</v>
      </c>
      <c r="L89" s="1">
        <v>1142</v>
      </c>
      <c r="M89" s="1" t="s">
        <v>58</v>
      </c>
      <c r="O89" s="1">
        <f>((NOT(ISNA(VLOOKUP(M89,Monster!$H$2:$I$6,2,FALSE)))*L89)+J89)*(1+K89/100*0.25)</f>
        <v>2363</v>
      </c>
      <c r="P89" s="1" t="s">
        <v>38</v>
      </c>
      <c r="Q89" s="1">
        <v>1</v>
      </c>
    </row>
    <row r="90" spans="2:17" ht="12.75" hidden="1" x14ac:dyDescent="0.2">
      <c r="B90" s="1" t="s">
        <v>1048</v>
      </c>
      <c r="C90" s="1" t="s">
        <v>810</v>
      </c>
      <c r="D90" s="1" t="s">
        <v>596</v>
      </c>
      <c r="E90" s="1" t="s">
        <v>963</v>
      </c>
      <c r="F90" s="1" t="s">
        <v>197</v>
      </c>
      <c r="G90" s="1">
        <f>IF(ISNA(VLOOKUP(F90,Monster!B:E,4,FALSE)),0,VLOOKUP(F90,Monster!B:E,4,FALSE))</f>
        <v>26</v>
      </c>
      <c r="I90" s="1" t="s">
        <v>1050</v>
      </c>
      <c r="J90" s="1">
        <v>1588</v>
      </c>
      <c r="K90" s="1">
        <v>0</v>
      </c>
      <c r="L90" s="1">
        <v>632</v>
      </c>
      <c r="M90" s="1" t="s">
        <v>58</v>
      </c>
      <c r="O90" s="1">
        <f>((NOT(ISNA(VLOOKUP(M90,Monster!$H$2:$I$6,2,FALSE)))*L90)+J90)*(1+K90/100*0.25)</f>
        <v>2220</v>
      </c>
      <c r="P90" s="1" t="s">
        <v>412</v>
      </c>
      <c r="Q90" s="1">
        <v>1</v>
      </c>
    </row>
    <row r="91" spans="2:17" ht="12.75" hidden="1" x14ac:dyDescent="0.2">
      <c r="B91" s="1" t="s">
        <v>1052</v>
      </c>
      <c r="C91" s="1" t="s">
        <v>813</v>
      </c>
      <c r="D91" s="1" t="s">
        <v>596</v>
      </c>
      <c r="E91" s="1" t="s">
        <v>963</v>
      </c>
      <c r="F91" s="1" t="s">
        <v>205</v>
      </c>
      <c r="G91" s="1">
        <f>IF(ISNA(VLOOKUP(F91,Monster!B:E,4,FALSE)),0,VLOOKUP(F91,Monster!B:E,4,FALSE))</f>
        <v>27</v>
      </c>
      <c r="I91" s="1" t="s">
        <v>1055</v>
      </c>
      <c r="J91" s="1">
        <v>1719</v>
      </c>
      <c r="K91" s="1">
        <v>20</v>
      </c>
      <c r="L91" s="1">
        <v>0</v>
      </c>
      <c r="M91" s="1" t="s">
        <v>107</v>
      </c>
      <c r="O91" s="1">
        <f>((NOT(ISNA(VLOOKUP(M91,Monster!$H$2:$I$6,2,FALSE)))*L91)+J91)*(1+K91/100*0.25)</f>
        <v>1804.95</v>
      </c>
      <c r="P91" s="1" t="s">
        <v>269</v>
      </c>
      <c r="Q91" s="1">
        <v>1</v>
      </c>
    </row>
    <row r="92" spans="2:17" ht="12.75" hidden="1" x14ac:dyDescent="0.2">
      <c r="B92" s="1" t="s">
        <v>1057</v>
      </c>
      <c r="C92" s="1" t="s">
        <v>816</v>
      </c>
      <c r="D92" s="1" t="s">
        <v>596</v>
      </c>
      <c r="E92" s="1" t="s">
        <v>963</v>
      </c>
      <c r="F92" s="1" t="s">
        <v>210</v>
      </c>
      <c r="G92" s="1">
        <f>IF(ISNA(VLOOKUP(F92,Monster!B:E,4,FALSE)),0,VLOOKUP(F92,Monster!B:E,4,FALSE))</f>
        <v>28</v>
      </c>
      <c r="I92" s="1" t="s">
        <v>1059</v>
      </c>
      <c r="J92" s="1">
        <v>1138</v>
      </c>
      <c r="K92" s="1">
        <v>20</v>
      </c>
      <c r="L92" s="1">
        <v>1156</v>
      </c>
      <c r="M92" s="1" t="s">
        <v>71</v>
      </c>
      <c r="O92" s="1">
        <f>((NOT(ISNA(VLOOKUP(M92,Monster!$H$2:$I$6,2,FALSE)))*L92)+J92)*(1+K92/100*0.25)</f>
        <v>2408.7000000000003</v>
      </c>
      <c r="P92" s="1" t="s">
        <v>166</v>
      </c>
      <c r="Q92" s="1">
        <v>1</v>
      </c>
    </row>
    <row r="93" spans="2:17" ht="12.75" hidden="1" x14ac:dyDescent="0.2">
      <c r="B93" s="1" t="s">
        <v>1061</v>
      </c>
      <c r="C93" s="1" t="s">
        <v>821</v>
      </c>
      <c r="D93" s="1" t="s">
        <v>596</v>
      </c>
      <c r="E93" s="1" t="s">
        <v>963</v>
      </c>
      <c r="F93" s="1" t="s">
        <v>216</v>
      </c>
      <c r="G93" s="1">
        <f>IF(ISNA(VLOOKUP(F93,Monster!B:E,4,FALSE)),0,VLOOKUP(F93,Monster!B:E,4,FALSE))</f>
        <v>29</v>
      </c>
      <c r="I93" s="1" t="s">
        <v>1063</v>
      </c>
      <c r="J93" s="1">
        <v>1318</v>
      </c>
      <c r="K93" s="1">
        <v>-30</v>
      </c>
      <c r="L93" s="1">
        <v>1261</v>
      </c>
      <c r="M93" s="1" t="s">
        <v>71</v>
      </c>
      <c r="O93" s="1">
        <f>((NOT(ISNA(VLOOKUP(M93,Monster!$H$2:$I$6,2,FALSE)))*L93)+J93)*(1+K93/100*0.25)</f>
        <v>2385.5750000000003</v>
      </c>
      <c r="P93" s="1" t="s">
        <v>583</v>
      </c>
      <c r="Q93" s="1">
        <v>1</v>
      </c>
    </row>
    <row r="94" spans="2:17" ht="12.75" hidden="1" x14ac:dyDescent="0.2">
      <c r="C94" s="1" t="s">
        <v>825</v>
      </c>
      <c r="D94" s="1" t="s">
        <v>596</v>
      </c>
      <c r="E94" s="1" t="s">
        <v>963</v>
      </c>
      <c r="F94" s="1" t="s">
        <v>223</v>
      </c>
      <c r="G94" s="1">
        <f>IF(ISNA(VLOOKUP(F94,Monster!B:E,4,FALSE)),0,VLOOKUP(F94,Monster!B:E,4,FALSE))</f>
        <v>30</v>
      </c>
      <c r="J94" s="1">
        <v>1666</v>
      </c>
      <c r="K94" s="1">
        <v>-15</v>
      </c>
      <c r="L94" s="1">
        <v>527</v>
      </c>
      <c r="M94" s="1" t="s">
        <v>41</v>
      </c>
      <c r="O94" s="1">
        <f>((NOT(ISNA(VLOOKUP(M94,Monster!$H$2:$I$6,2,FALSE)))*L94)+J94)*(1+K94/100*0.25)</f>
        <v>2110.7625000000003</v>
      </c>
      <c r="P94" s="1" t="s">
        <v>364</v>
      </c>
      <c r="Q94" s="1">
        <v>1</v>
      </c>
    </row>
    <row r="95" spans="2:17" ht="12.75" hidden="1" x14ac:dyDescent="0.2">
      <c r="C95" s="1" t="s">
        <v>829</v>
      </c>
      <c r="D95" s="1" t="s">
        <v>596</v>
      </c>
      <c r="E95" s="1" t="s">
        <v>963</v>
      </c>
      <c r="F95" s="1" t="s">
        <v>229</v>
      </c>
      <c r="G95" s="1">
        <f>IF(ISNA(VLOOKUP(F95,Monster!B:E,4,FALSE)),0,VLOOKUP(F95,Monster!B:E,4,FALSE))</f>
        <v>31</v>
      </c>
      <c r="J95" s="1">
        <v>1194</v>
      </c>
      <c r="K95" s="1">
        <v>20</v>
      </c>
      <c r="L95" s="1">
        <v>913</v>
      </c>
      <c r="M95" s="1" t="s">
        <v>58</v>
      </c>
      <c r="O95" s="1">
        <f>((NOT(ISNA(VLOOKUP(M95,Monster!$H$2:$I$6,2,FALSE)))*L95)+J95)*(1+K95/100*0.25)</f>
        <v>2212.35</v>
      </c>
      <c r="P95" s="1" t="s">
        <v>470</v>
      </c>
      <c r="Q95" s="1">
        <v>1</v>
      </c>
    </row>
    <row r="96" spans="2:17" ht="12.75" hidden="1" x14ac:dyDescent="0.2">
      <c r="B96" s="1" t="s">
        <v>1068</v>
      </c>
      <c r="C96" s="1" t="s">
        <v>834</v>
      </c>
      <c r="D96" s="1" t="s">
        <v>596</v>
      </c>
      <c r="E96" s="1" t="s">
        <v>963</v>
      </c>
      <c r="F96" s="1" t="s">
        <v>234</v>
      </c>
      <c r="G96" s="1">
        <f>IF(ISNA(VLOOKUP(F96,Monster!B:E,4,FALSE)),0,VLOOKUP(F96,Monster!B:E,4,FALSE))</f>
        <v>32</v>
      </c>
      <c r="I96" s="1" t="s">
        <v>1068</v>
      </c>
      <c r="J96" s="1">
        <v>1553</v>
      </c>
      <c r="K96" s="1">
        <v>0</v>
      </c>
      <c r="L96" s="1">
        <v>974</v>
      </c>
      <c r="M96" s="1" t="s">
        <v>66</v>
      </c>
      <c r="O96" s="1">
        <f>((NOT(ISNA(VLOOKUP(M96,Monster!$H$2:$I$6,2,FALSE)))*L96)+J96)*(1+K96/100*0.25)</f>
        <v>2527</v>
      </c>
      <c r="P96" s="1" t="s">
        <v>528</v>
      </c>
      <c r="Q96" s="1">
        <v>2</v>
      </c>
    </row>
    <row r="97" spans="2:17" ht="12.75" hidden="1" x14ac:dyDescent="0.2">
      <c r="B97" s="1" t="s">
        <v>1072</v>
      </c>
      <c r="C97" s="1" t="s">
        <v>839</v>
      </c>
      <c r="D97" s="1" t="s">
        <v>596</v>
      </c>
      <c r="E97" s="1" t="s">
        <v>963</v>
      </c>
      <c r="F97" s="1" t="s">
        <v>239</v>
      </c>
      <c r="G97" s="1">
        <f>IF(ISNA(VLOOKUP(F97,Monster!B:E,4,FALSE)),0,VLOOKUP(F97,Monster!B:E,4,FALSE))</f>
        <v>33</v>
      </c>
      <c r="I97" s="1" t="s">
        <v>1074</v>
      </c>
      <c r="J97" s="1">
        <v>1138</v>
      </c>
      <c r="K97" s="1">
        <v>20</v>
      </c>
      <c r="L97" s="1">
        <v>1156</v>
      </c>
      <c r="M97" s="1" t="s">
        <v>50</v>
      </c>
      <c r="O97" s="1">
        <f>((NOT(ISNA(VLOOKUP(M97,Monster!$H$2:$I$6,2,FALSE)))*L97)+J97)*(1+K97/100*0.25)</f>
        <v>2408.7000000000003</v>
      </c>
      <c r="P97" s="1" t="s">
        <v>38</v>
      </c>
      <c r="Q97" s="1">
        <v>1</v>
      </c>
    </row>
    <row r="98" spans="2:17" ht="12.75" hidden="1" x14ac:dyDescent="0.2">
      <c r="C98" s="1" t="s">
        <v>845</v>
      </c>
      <c r="D98" s="1" t="s">
        <v>596</v>
      </c>
      <c r="E98" s="1" t="s">
        <v>963</v>
      </c>
      <c r="F98" s="1" t="s">
        <v>245</v>
      </c>
      <c r="G98" s="1">
        <f>IF(ISNA(VLOOKUP(F98,Monster!B:E,4,FALSE)),0,VLOOKUP(F98,Monster!B:E,4,FALSE))</f>
        <v>34</v>
      </c>
      <c r="J98" s="1">
        <v>1684</v>
      </c>
      <c r="K98" s="1">
        <v>0</v>
      </c>
      <c r="L98" s="1">
        <v>502</v>
      </c>
      <c r="M98" s="1" t="s">
        <v>100</v>
      </c>
      <c r="O98" s="1">
        <f>((NOT(ISNA(VLOOKUP(M98,Monster!$H$2:$I$6,2,FALSE)))*L98)+J98)*(1+K98/100*0.25)</f>
        <v>1684</v>
      </c>
      <c r="P98" s="1" t="s">
        <v>364</v>
      </c>
      <c r="Q98" s="1">
        <v>2</v>
      </c>
    </row>
    <row r="99" spans="2:17" ht="12.75" hidden="1" x14ac:dyDescent="0.2">
      <c r="B99" s="1" t="s">
        <v>1078</v>
      </c>
      <c r="C99" s="1" t="s">
        <v>849</v>
      </c>
      <c r="D99" s="1" t="s">
        <v>596</v>
      </c>
      <c r="E99" s="1" t="s">
        <v>963</v>
      </c>
      <c r="F99" s="1" t="s">
        <v>251</v>
      </c>
      <c r="G99" s="1">
        <f>IF(ISNA(VLOOKUP(F99,Monster!B:E,4,FALSE)),0,VLOOKUP(F99,Monster!B:E,4,FALSE))</f>
        <v>35</v>
      </c>
      <c r="I99" s="1" t="s">
        <v>1080</v>
      </c>
      <c r="J99" s="1">
        <v>1588</v>
      </c>
      <c r="K99" s="1">
        <v>0</v>
      </c>
      <c r="L99" s="1">
        <v>632</v>
      </c>
      <c r="M99" s="1" t="s">
        <v>41</v>
      </c>
      <c r="O99" s="1">
        <f>((NOT(ISNA(VLOOKUP(M99,Monster!$H$2:$I$6,2,FALSE)))*L99)+J99)*(1+K99/100*0.25)</f>
        <v>2220</v>
      </c>
      <c r="P99" s="1" t="s">
        <v>412</v>
      </c>
      <c r="Q99" s="1">
        <v>1</v>
      </c>
    </row>
    <row r="100" spans="2:17" ht="12.75" hidden="1" x14ac:dyDescent="0.2">
      <c r="B100" s="1" t="s">
        <v>1082</v>
      </c>
      <c r="C100" s="1" t="s">
        <v>853</v>
      </c>
      <c r="D100" s="1" t="s">
        <v>596</v>
      </c>
      <c r="E100" s="1" t="s">
        <v>963</v>
      </c>
      <c r="F100" s="1" t="s">
        <v>256</v>
      </c>
      <c r="G100" s="1">
        <f>IF(ISNA(VLOOKUP(F100,Monster!B:E,4,FALSE)),0,VLOOKUP(F100,Monster!B:E,4,FALSE))</f>
        <v>36</v>
      </c>
      <c r="I100" s="1" t="s">
        <v>1083</v>
      </c>
      <c r="J100" s="1">
        <v>1516</v>
      </c>
      <c r="K100" s="1">
        <v>0</v>
      </c>
      <c r="L100" s="1">
        <v>496</v>
      </c>
      <c r="M100" s="1" t="s">
        <v>100</v>
      </c>
      <c r="O100" s="1">
        <f>((NOT(ISNA(VLOOKUP(M100,Monster!$H$2:$I$6,2,FALSE)))*L100)+J100)*(1+K100/100*0.25)</f>
        <v>1516</v>
      </c>
      <c r="P100" s="1" t="s">
        <v>463</v>
      </c>
      <c r="Q100" s="1">
        <v>1</v>
      </c>
    </row>
    <row r="101" spans="2:17" ht="12.75" hidden="1" x14ac:dyDescent="0.2">
      <c r="B101" s="1" t="s">
        <v>1084</v>
      </c>
      <c r="C101" s="1" t="s">
        <v>857</v>
      </c>
      <c r="D101" s="1" t="s">
        <v>596</v>
      </c>
      <c r="E101" s="1" t="s">
        <v>963</v>
      </c>
      <c r="F101" s="1" t="s">
        <v>263</v>
      </c>
      <c r="G101" s="1">
        <f>IF(ISNA(VLOOKUP(F101,Monster!B:E,4,FALSE)),0,VLOOKUP(F101,Monster!B:E,4,FALSE))</f>
        <v>37</v>
      </c>
      <c r="I101" s="1" t="s">
        <v>1086</v>
      </c>
      <c r="J101" s="1">
        <v>1318</v>
      </c>
      <c r="K101" s="1">
        <v>-30</v>
      </c>
      <c r="L101" s="1">
        <v>1261</v>
      </c>
      <c r="M101" s="1" t="s">
        <v>58</v>
      </c>
      <c r="O101" s="1">
        <f>((NOT(ISNA(VLOOKUP(M101,Monster!$H$2:$I$6,2,FALSE)))*L101)+J101)*(1+K101/100*0.25)</f>
        <v>2385.5750000000003</v>
      </c>
      <c r="P101" s="1" t="s">
        <v>463</v>
      </c>
      <c r="Q101" s="1">
        <v>1</v>
      </c>
    </row>
    <row r="102" spans="2:17" ht="12.75" hidden="1" x14ac:dyDescent="0.2">
      <c r="B102" s="1" t="s">
        <v>1087</v>
      </c>
      <c r="C102" s="1" t="s">
        <v>863</v>
      </c>
      <c r="D102" s="1" t="s">
        <v>596</v>
      </c>
      <c r="E102" s="1" t="s">
        <v>963</v>
      </c>
      <c r="F102" s="1" t="s">
        <v>268</v>
      </c>
      <c r="G102" s="1">
        <f>IF(ISNA(VLOOKUP(F102,Monster!B:E,4,FALSE)),0,VLOOKUP(F102,Monster!B:E,4,FALSE))</f>
        <v>38</v>
      </c>
      <c r="I102" s="1" t="s">
        <v>1087</v>
      </c>
      <c r="J102" s="1">
        <v>1553</v>
      </c>
      <c r="K102" s="1">
        <v>0</v>
      </c>
      <c r="L102" s="1">
        <v>974</v>
      </c>
      <c r="M102" s="1" t="s">
        <v>71</v>
      </c>
      <c r="O102" s="1">
        <f>((NOT(ISNA(VLOOKUP(M102,Monster!$H$2:$I$6,2,FALSE)))*L102)+J102)*(1+K102/100*0.25)</f>
        <v>2527</v>
      </c>
      <c r="P102" s="1" t="s">
        <v>463</v>
      </c>
      <c r="Q102" s="1">
        <v>2</v>
      </c>
    </row>
    <row r="103" spans="2:17" ht="12.75" hidden="1" x14ac:dyDescent="0.2">
      <c r="B103" s="1" t="s">
        <v>1089</v>
      </c>
      <c r="C103" s="1" t="s">
        <v>866</v>
      </c>
      <c r="D103" s="1" t="s">
        <v>596</v>
      </c>
      <c r="E103" s="1" t="s">
        <v>963</v>
      </c>
      <c r="F103" s="1" t="s">
        <v>273</v>
      </c>
      <c r="G103" s="1">
        <f>IF(ISNA(VLOOKUP(F103,Monster!B:E,4,FALSE)),0,VLOOKUP(F103,Monster!B:E,4,FALSE))</f>
        <v>39</v>
      </c>
      <c r="I103" s="1" t="s">
        <v>1091</v>
      </c>
      <c r="J103" s="1">
        <v>1588</v>
      </c>
      <c r="K103" s="1">
        <v>0</v>
      </c>
      <c r="L103" s="1">
        <v>632</v>
      </c>
      <c r="M103" s="1" t="s">
        <v>66</v>
      </c>
      <c r="O103" s="1">
        <f>((NOT(ISNA(VLOOKUP(M103,Monster!$H$2:$I$6,2,FALSE)))*L103)+J103)*(1+K103/100*0.25)</f>
        <v>2220</v>
      </c>
      <c r="P103" s="1" t="s">
        <v>412</v>
      </c>
      <c r="Q103" s="1">
        <v>1</v>
      </c>
    </row>
    <row r="104" spans="2:17" ht="12.75" hidden="1" x14ac:dyDescent="0.2">
      <c r="C104" s="1" t="s">
        <v>869</v>
      </c>
      <c r="D104" s="1" t="s">
        <v>596</v>
      </c>
      <c r="E104" s="1" t="s">
        <v>963</v>
      </c>
      <c r="F104" s="1" t="s">
        <v>278</v>
      </c>
      <c r="G104" s="1">
        <f>IF(ISNA(VLOOKUP(F104,Monster!B:E,4,FALSE)),0,VLOOKUP(F104,Monster!B:E,4,FALSE))</f>
        <v>40</v>
      </c>
      <c r="J104" s="1">
        <v>1878</v>
      </c>
      <c r="K104" s="1">
        <v>0</v>
      </c>
      <c r="L104" s="1">
        <v>0</v>
      </c>
      <c r="M104" s="1" t="s">
        <v>107</v>
      </c>
      <c r="O104" s="1">
        <f>((NOT(ISNA(VLOOKUP(M104,Monster!$H$2:$I$6,2,FALSE)))*L104)+J104)*(1+K104/100*0.25)</f>
        <v>1878</v>
      </c>
      <c r="P104" s="1" t="s">
        <v>253</v>
      </c>
      <c r="Q104" s="1">
        <v>1</v>
      </c>
    </row>
    <row r="105" spans="2:17" ht="12.75" hidden="1" x14ac:dyDescent="0.2">
      <c r="B105" s="1" t="s">
        <v>1093</v>
      </c>
      <c r="C105" s="1" t="s">
        <v>872</v>
      </c>
      <c r="D105" s="1" t="s">
        <v>596</v>
      </c>
      <c r="E105" s="1" t="s">
        <v>963</v>
      </c>
      <c r="F105" s="1" t="s">
        <v>288</v>
      </c>
      <c r="G105" s="1">
        <f>IF(ISNA(VLOOKUP(F105,Monster!B:E,4,FALSE)),0,VLOOKUP(F105,Monster!B:E,4,FALSE))</f>
        <v>41</v>
      </c>
      <c r="I105" s="1" t="s">
        <v>1094</v>
      </c>
      <c r="J105" s="1">
        <v>1567</v>
      </c>
      <c r="K105" s="1">
        <v>-15</v>
      </c>
      <c r="L105" s="1">
        <v>496</v>
      </c>
      <c r="M105" s="1" t="s">
        <v>95</v>
      </c>
      <c r="O105" s="1">
        <f>((NOT(ISNA(VLOOKUP(M105,Monster!$H$2:$I$6,2,FALSE)))*L105)+J105)*(1+K105/100*0.25)</f>
        <v>1508.2375</v>
      </c>
      <c r="P105" s="1" t="s">
        <v>253</v>
      </c>
      <c r="Q105" s="1">
        <v>1</v>
      </c>
    </row>
    <row r="106" spans="2:17" ht="12.75" x14ac:dyDescent="0.2">
      <c r="B106" s="1" t="s">
        <v>1095</v>
      </c>
      <c r="C106" s="1" t="s">
        <v>875</v>
      </c>
      <c r="D106" s="1" t="s">
        <v>596</v>
      </c>
      <c r="E106" s="1" t="s">
        <v>963</v>
      </c>
      <c r="F106" s="1" t="s">
        <v>293</v>
      </c>
      <c r="G106" s="1">
        <f>IF(ISNA(VLOOKUP(F106,Monster!B:E,4,FALSE)),0,VLOOKUP(F106,Monster!B:E,4,FALSE))</f>
        <v>42</v>
      </c>
      <c r="I106" s="1" t="s">
        <v>1095</v>
      </c>
      <c r="J106" s="1">
        <v>2198</v>
      </c>
      <c r="K106" s="1">
        <v>-40</v>
      </c>
      <c r="L106" s="1">
        <v>0</v>
      </c>
      <c r="M106" s="1" t="s">
        <v>107</v>
      </c>
      <c r="O106" s="1">
        <f>((NOT(ISNA(VLOOKUP(M106,Monster!$H$2:$I$6,2,FALSE)))*L106)+J106)*(1+K106/100*0.25)</f>
        <v>1978.2</v>
      </c>
      <c r="P106" s="1" t="s">
        <v>194</v>
      </c>
      <c r="Q106" s="1">
        <v>1</v>
      </c>
    </row>
    <row r="107" spans="2:17" ht="12.75" hidden="1" x14ac:dyDescent="0.2">
      <c r="B107" s="1" t="s">
        <v>1100</v>
      </c>
      <c r="C107" s="1" t="s">
        <v>880</v>
      </c>
      <c r="D107" s="1" t="s">
        <v>596</v>
      </c>
      <c r="E107" s="1" t="s">
        <v>963</v>
      </c>
      <c r="F107" s="1" t="s">
        <v>298</v>
      </c>
      <c r="G107" s="1">
        <f>IF(ISNA(VLOOKUP(F107,Monster!B:E,4,FALSE)),0,VLOOKUP(F107,Monster!B:E,4,FALSE))</f>
        <v>43</v>
      </c>
      <c r="I107" s="1" t="s">
        <v>1100</v>
      </c>
      <c r="J107" s="1">
        <v>2198</v>
      </c>
      <c r="K107" s="1">
        <v>-10</v>
      </c>
      <c r="L107" s="1">
        <v>0</v>
      </c>
      <c r="M107" s="1" t="s">
        <v>107</v>
      </c>
      <c r="O107" s="1">
        <f>((NOT(ISNA(VLOOKUP(M107,Monster!$H$2:$I$6,2,FALSE)))*L107)+J107)*(1+K107/100*0.25)</f>
        <v>2143.0499999999997</v>
      </c>
      <c r="P107" s="1" t="s">
        <v>28</v>
      </c>
      <c r="Q107" s="1">
        <v>5</v>
      </c>
    </row>
    <row r="108" spans="2:17" ht="12.75" hidden="1" x14ac:dyDescent="0.2">
      <c r="B108" s="1" t="s">
        <v>1103</v>
      </c>
      <c r="C108" s="1" t="s">
        <v>885</v>
      </c>
      <c r="D108" s="1" t="s">
        <v>596</v>
      </c>
      <c r="E108" s="1" t="s">
        <v>963</v>
      </c>
      <c r="F108" s="1" t="s">
        <v>302</v>
      </c>
      <c r="G108" s="1">
        <f>IF(ISNA(VLOOKUP(F108,Monster!B:E,4,FALSE)),0,VLOOKUP(F108,Monster!B:E,4,FALSE))</f>
        <v>44</v>
      </c>
      <c r="I108" s="1" t="s">
        <v>1103</v>
      </c>
      <c r="J108" s="1">
        <v>1205</v>
      </c>
      <c r="K108" s="1">
        <v>0</v>
      </c>
      <c r="L108" s="1">
        <v>1305</v>
      </c>
      <c r="M108" s="1" t="s">
        <v>58</v>
      </c>
      <c r="O108" s="1">
        <f>((NOT(ISNA(VLOOKUP(M108,Monster!$H$2:$I$6,2,FALSE)))*L108)+J108)*(1+K108/100*0.25)</f>
        <v>2510</v>
      </c>
      <c r="P108" s="1" t="s">
        <v>400</v>
      </c>
      <c r="Q108" s="1">
        <v>1</v>
      </c>
    </row>
    <row r="109" spans="2:17" ht="12.75" x14ac:dyDescent="0.2">
      <c r="B109" s="1" t="s">
        <v>1108</v>
      </c>
      <c r="C109" s="1" t="s">
        <v>888</v>
      </c>
      <c r="D109" s="1" t="s">
        <v>596</v>
      </c>
      <c r="E109" s="1" t="s">
        <v>963</v>
      </c>
      <c r="F109" s="1" t="s">
        <v>305</v>
      </c>
      <c r="G109" s="1">
        <f>IF(ISNA(VLOOKUP(F109,Monster!B:E,4,FALSE)),0,VLOOKUP(F109,Monster!B:E,4,FALSE))</f>
        <v>45</v>
      </c>
      <c r="I109" s="1" t="s">
        <v>1109</v>
      </c>
      <c r="J109" s="1">
        <v>1942</v>
      </c>
      <c r="K109" s="1">
        <v>-30</v>
      </c>
      <c r="L109" s="1">
        <v>297</v>
      </c>
      <c r="M109" s="1" t="s">
        <v>100</v>
      </c>
      <c r="O109" s="1">
        <f>((NOT(ISNA(VLOOKUP(M109,Monster!$H$2:$I$6,2,FALSE)))*L109)+J109)*(1+K109/100*0.25)</f>
        <v>1796.3500000000001</v>
      </c>
      <c r="P109" s="1" t="s">
        <v>194</v>
      </c>
      <c r="Q109" s="1">
        <v>1</v>
      </c>
    </row>
    <row r="110" spans="2:17" ht="12.75" hidden="1" x14ac:dyDescent="0.2">
      <c r="C110" s="1" t="s">
        <v>892</v>
      </c>
      <c r="D110" s="1" t="s">
        <v>596</v>
      </c>
      <c r="E110" s="1" t="s">
        <v>963</v>
      </c>
      <c r="F110" s="1" t="s">
        <v>310</v>
      </c>
      <c r="G110" s="1">
        <f>IF(ISNA(VLOOKUP(F110,Monster!B:E,4,FALSE)),0,VLOOKUP(F110,Monster!B:E,4,FALSE))</f>
        <v>46</v>
      </c>
      <c r="J110" s="1">
        <v>1834</v>
      </c>
      <c r="K110" s="1">
        <v>10</v>
      </c>
      <c r="L110" s="1">
        <v>0</v>
      </c>
      <c r="M110" s="1" t="s">
        <v>107</v>
      </c>
      <c r="O110" s="1">
        <f>((NOT(ISNA(VLOOKUP(M110,Monster!$H$2:$I$6,2,FALSE)))*L110)+J110)*(1+K110/100*0.25)</f>
        <v>1879.85</v>
      </c>
      <c r="P110" s="1" t="s">
        <v>407</v>
      </c>
      <c r="Q110" s="1">
        <v>1</v>
      </c>
    </row>
    <row r="111" spans="2:17" ht="12.75" hidden="1" x14ac:dyDescent="0.2">
      <c r="B111" s="1" t="s">
        <v>1113</v>
      </c>
      <c r="C111" s="1" t="s">
        <v>896</v>
      </c>
      <c r="D111" s="1" t="s">
        <v>596</v>
      </c>
      <c r="E111" s="1" t="s">
        <v>963</v>
      </c>
      <c r="F111" s="1" t="s">
        <v>316</v>
      </c>
      <c r="G111" s="1">
        <f>IF(ISNA(VLOOKUP(F111,Monster!B:E,4,FALSE)),0,VLOOKUP(F111,Monster!B:E,4,FALSE))</f>
        <v>47</v>
      </c>
      <c r="I111" s="1" t="s">
        <v>1114</v>
      </c>
      <c r="J111" s="1">
        <v>1971</v>
      </c>
      <c r="K111" s="1">
        <v>-20</v>
      </c>
      <c r="L111" s="1">
        <v>0</v>
      </c>
      <c r="M111" s="1" t="s">
        <v>107</v>
      </c>
      <c r="O111" s="1">
        <f>((NOT(ISNA(VLOOKUP(M111,Monster!$H$2:$I$6,2,FALSE)))*L111)+J111)*(1+K111/100*0.25)</f>
        <v>1872.4499999999998</v>
      </c>
      <c r="P111" s="1" t="s">
        <v>602</v>
      </c>
      <c r="Q111" s="1">
        <v>2</v>
      </c>
    </row>
    <row r="112" spans="2:17" ht="12.75" x14ac:dyDescent="0.2">
      <c r="B112" s="1" t="s">
        <v>1116</v>
      </c>
      <c r="C112" s="1" t="s">
        <v>900</v>
      </c>
      <c r="D112" s="1" t="s">
        <v>596</v>
      </c>
      <c r="E112" s="1" t="s">
        <v>963</v>
      </c>
      <c r="F112" s="1" t="s">
        <v>320</v>
      </c>
      <c r="G112" s="1">
        <f>IF(ISNA(VLOOKUP(F112,Monster!B:E,4,FALSE)),0,VLOOKUP(F112,Monster!B:E,4,FALSE))</f>
        <v>48</v>
      </c>
      <c r="I112" s="1" t="s">
        <v>1118</v>
      </c>
      <c r="J112" s="1">
        <v>1318</v>
      </c>
      <c r="K112" s="1">
        <v>-30</v>
      </c>
      <c r="L112" s="1">
        <v>1261</v>
      </c>
      <c r="M112" s="1" t="s">
        <v>41</v>
      </c>
      <c r="O112" s="1">
        <f>((NOT(ISNA(VLOOKUP(M112,Monster!$H$2:$I$6,2,FALSE)))*L112)+J112)*(1+K112/100*0.25)</f>
        <v>2385.5750000000003</v>
      </c>
      <c r="P112" s="1" t="s">
        <v>194</v>
      </c>
      <c r="Q112" s="1">
        <v>1</v>
      </c>
    </row>
    <row r="113" spans="2:35" ht="12.75" hidden="1" x14ac:dyDescent="0.2">
      <c r="B113" s="1" t="s">
        <v>1119</v>
      </c>
      <c r="C113" s="1" t="s">
        <v>904</v>
      </c>
      <c r="D113" s="1" t="s">
        <v>596</v>
      </c>
      <c r="E113" s="1" t="s">
        <v>963</v>
      </c>
      <c r="F113" s="1" t="s">
        <v>328</v>
      </c>
      <c r="G113" s="1">
        <f>IF(ISNA(VLOOKUP(F113,Monster!B:E,4,FALSE)),0,VLOOKUP(F113,Monster!B:E,4,FALSE))</f>
        <v>49</v>
      </c>
      <c r="I113" s="1" t="s">
        <v>1119</v>
      </c>
      <c r="J113" s="1">
        <v>1741</v>
      </c>
      <c r="K113" s="1">
        <v>0</v>
      </c>
      <c r="L113" s="1">
        <v>505</v>
      </c>
      <c r="M113" s="1" t="s">
        <v>79</v>
      </c>
      <c r="O113" s="1">
        <f>((NOT(ISNA(VLOOKUP(M113,Monster!$H$2:$I$6,2,FALSE)))*L113)+J113)*(1+K113/100*0.25)</f>
        <v>1741</v>
      </c>
      <c r="P113" s="1" t="s">
        <v>624</v>
      </c>
      <c r="Q113" s="1">
        <v>2</v>
      </c>
    </row>
    <row r="114" spans="2:35" ht="12.75" hidden="1" x14ac:dyDescent="0.2">
      <c r="B114" s="1" t="s">
        <v>1122</v>
      </c>
      <c r="C114" s="1" t="s">
        <v>908</v>
      </c>
      <c r="D114" s="1" t="s">
        <v>596</v>
      </c>
      <c r="E114" s="1" t="s">
        <v>963</v>
      </c>
      <c r="F114" s="1" t="s">
        <v>334</v>
      </c>
      <c r="G114" s="1">
        <f>IF(ISNA(VLOOKUP(F114,Monster!B:E,4,FALSE)),0,VLOOKUP(F114,Monster!B:E,4,FALSE))</f>
        <v>50</v>
      </c>
      <c r="I114" s="1" t="s">
        <v>1124</v>
      </c>
      <c r="J114" s="1">
        <v>1647</v>
      </c>
      <c r="K114" s="1">
        <v>10</v>
      </c>
      <c r="L114" s="1">
        <v>307</v>
      </c>
      <c r="M114" s="1" t="s">
        <v>79</v>
      </c>
      <c r="O114" s="1">
        <f>((NOT(ISNA(VLOOKUP(M114,Monster!$H$2:$I$6,2,FALSE)))*L114)+J114)*(1+K114/100*0.25)</f>
        <v>1688.175</v>
      </c>
      <c r="P114" s="1" t="s">
        <v>412</v>
      </c>
      <c r="Q114" s="1">
        <v>1</v>
      </c>
    </row>
    <row r="115" spans="2:35" ht="12.75" hidden="1" x14ac:dyDescent="0.2">
      <c r="B115" s="1"/>
      <c r="C115" s="1" t="s">
        <v>913</v>
      </c>
      <c r="D115" s="1" t="s">
        <v>596</v>
      </c>
      <c r="E115" s="1" t="s">
        <v>963</v>
      </c>
      <c r="F115" s="1" t="s">
        <v>339</v>
      </c>
      <c r="G115" s="1">
        <f>IF(ISNA(VLOOKUP(F115,Monster!B:E,4,FALSE)),0,VLOOKUP(F115,Monster!B:E,4,FALSE))</f>
        <v>51</v>
      </c>
      <c r="I115" s="1"/>
      <c r="M115" s="1"/>
      <c r="O115" s="1">
        <f>((NOT(ISNA(VLOOKUP(M115,Monster!$H$2:$I$6,2,FALSE)))*L115)+J115)*(1+K115/100*0.25)</f>
        <v>0</v>
      </c>
      <c r="P115" s="1" t="s">
        <v>560</v>
      </c>
      <c r="Q115" s="1">
        <v>2</v>
      </c>
    </row>
    <row r="116" spans="2:35" ht="12.75" hidden="1" x14ac:dyDescent="0.2">
      <c r="B116" s="1" t="s">
        <v>1126</v>
      </c>
      <c r="C116" s="1" t="s">
        <v>917</v>
      </c>
      <c r="D116" s="1" t="s">
        <v>596</v>
      </c>
      <c r="E116" s="1" t="s">
        <v>963</v>
      </c>
      <c r="F116" s="1" t="s">
        <v>343</v>
      </c>
      <c r="G116" s="1">
        <f>IF(ISNA(VLOOKUP(F116,Monster!B:E,4,FALSE)),0,VLOOKUP(F116,Monster!B:E,4,FALSE))</f>
        <v>52</v>
      </c>
      <c r="I116" s="1" t="s">
        <v>1126</v>
      </c>
      <c r="J116" s="1">
        <v>1293</v>
      </c>
      <c r="K116" s="1">
        <v>0</v>
      </c>
      <c r="L116" s="1">
        <v>910</v>
      </c>
      <c r="M116" s="1" t="s">
        <v>66</v>
      </c>
      <c r="O116" s="1">
        <f>((NOT(ISNA(VLOOKUP(M116,Monster!$H$2:$I$6,2,FALSE)))*L116)+J116)*(1+K116/100*0.25)</f>
        <v>2203</v>
      </c>
      <c r="P116" s="1" t="s">
        <v>648</v>
      </c>
      <c r="Q116" s="1">
        <v>1</v>
      </c>
    </row>
    <row r="117" spans="2:35" ht="12.75" hidden="1" x14ac:dyDescent="0.2">
      <c r="B117" s="1" t="s">
        <v>1129</v>
      </c>
      <c r="C117" s="1" t="s">
        <v>922</v>
      </c>
      <c r="D117" s="1" t="s">
        <v>596</v>
      </c>
      <c r="E117" s="1" t="s">
        <v>963</v>
      </c>
      <c r="F117" s="1" t="s">
        <v>349</v>
      </c>
      <c r="G117" s="1">
        <f>IF(ISNA(VLOOKUP(F117,Monster!B:E,4,FALSE)),0,VLOOKUP(F117,Monster!B:E,4,FALSE))</f>
        <v>53</v>
      </c>
      <c r="I117" s="1" t="s">
        <v>1129</v>
      </c>
      <c r="J117" s="1">
        <v>1738</v>
      </c>
      <c r="K117" s="1">
        <v>40</v>
      </c>
      <c r="L117" s="1">
        <v>0</v>
      </c>
      <c r="M117" s="1" t="s">
        <v>107</v>
      </c>
      <c r="O117" s="1">
        <f>((NOT(ISNA(VLOOKUP(M117,Monster!$H$2:$I$6,2,FALSE)))*L117)+J117)*(1+K117/100*0.25)</f>
        <v>1911.8000000000002</v>
      </c>
      <c r="P117" s="1" t="s">
        <v>535</v>
      </c>
      <c r="Q117" s="1">
        <v>2</v>
      </c>
    </row>
    <row r="118" spans="2:35" ht="12.75" hidden="1" x14ac:dyDescent="0.2">
      <c r="B118" s="1"/>
      <c r="C118" s="1" t="s">
        <v>926</v>
      </c>
      <c r="D118" s="1" t="s">
        <v>596</v>
      </c>
      <c r="E118" s="1" t="s">
        <v>963</v>
      </c>
      <c r="F118" s="1" t="s">
        <v>354</v>
      </c>
      <c r="G118" s="1">
        <f>IF(ISNA(VLOOKUP(F118,Monster!B:E,4,FALSE)),0,VLOOKUP(F118,Monster!B:E,4,FALSE))</f>
        <v>54</v>
      </c>
      <c r="I118" s="1"/>
      <c r="J118" s="1"/>
      <c r="K118" s="1"/>
      <c r="L118" s="1"/>
      <c r="M118" s="1"/>
      <c r="O118" s="1">
        <f>((NOT(ISNA(VLOOKUP(M118,Monster!$H$2:$I$6,2,FALSE)))*L118)+J118)*(1+K118/100*0.25)</f>
        <v>0</v>
      </c>
      <c r="P118" s="1" t="s">
        <v>677</v>
      </c>
      <c r="Q118" s="1">
        <v>1</v>
      </c>
    </row>
    <row r="119" spans="2:35" ht="12.75" hidden="1" x14ac:dyDescent="0.2">
      <c r="B119" s="1" t="s">
        <v>1133</v>
      </c>
      <c r="C119" s="1" t="s">
        <v>930</v>
      </c>
      <c r="D119" s="1" t="s">
        <v>596</v>
      </c>
      <c r="E119" s="1" t="s">
        <v>963</v>
      </c>
      <c r="F119" s="1" t="s">
        <v>360</v>
      </c>
      <c r="G119" s="1">
        <f>IF(ISNA(VLOOKUP(F119,Monster!B:E,4,FALSE)),0,VLOOKUP(F119,Monster!B:E,4,FALSE))</f>
        <v>55</v>
      </c>
      <c r="I119" s="1" t="s">
        <v>1133</v>
      </c>
      <c r="J119" s="1">
        <v>1979</v>
      </c>
      <c r="K119" s="1">
        <v>0</v>
      </c>
      <c r="L119" s="1">
        <v>0</v>
      </c>
      <c r="M119" s="1" t="s">
        <v>107</v>
      </c>
      <c r="O119" s="1">
        <f>((NOT(ISNA(VLOOKUP(M119,Monster!$H$2:$I$6,2,FALSE)))*L119)+J119)*(1+K119/100*0.25)</f>
        <v>1979</v>
      </c>
      <c r="P119" s="1" t="s">
        <v>515</v>
      </c>
      <c r="Q119" s="1">
        <v>1</v>
      </c>
    </row>
    <row r="120" spans="2:35" ht="12.75" hidden="1" x14ac:dyDescent="0.2">
      <c r="B120" s="1" t="s">
        <v>1135</v>
      </c>
      <c r="C120" s="1" t="s">
        <v>934</v>
      </c>
      <c r="D120" s="1" t="s">
        <v>596</v>
      </c>
      <c r="E120" s="1" t="s">
        <v>963</v>
      </c>
      <c r="F120" s="1" t="s">
        <v>365</v>
      </c>
      <c r="G120" s="1">
        <f>IF(ISNA(VLOOKUP(F120,Monster!B:E,4,FALSE)),0,VLOOKUP(F120,Monster!B:E,4,FALSE))</f>
        <v>56</v>
      </c>
      <c r="I120" s="1" t="s">
        <v>1137</v>
      </c>
      <c r="J120" s="1">
        <v>1020</v>
      </c>
      <c r="K120" s="1">
        <v>0</v>
      </c>
      <c r="L120" s="1">
        <v>1173</v>
      </c>
      <c r="M120" s="1" t="s">
        <v>66</v>
      </c>
      <c r="O120" s="1">
        <f>((NOT(ISNA(VLOOKUP(M120,Monster!$H$2:$I$6,2,FALSE)))*L120)+J120)*(1+K120/100*0.25)</f>
        <v>2193</v>
      </c>
      <c r="P120" s="1" t="s">
        <v>659</v>
      </c>
      <c r="Q120" s="1">
        <v>1</v>
      </c>
    </row>
    <row r="121" spans="2:35" ht="12.75" hidden="1" x14ac:dyDescent="0.2">
      <c r="B121" s="1" t="s">
        <v>1139</v>
      </c>
      <c r="C121" s="1" t="s">
        <v>939</v>
      </c>
      <c r="D121" s="1" t="s">
        <v>596</v>
      </c>
      <c r="E121" s="1" t="s">
        <v>963</v>
      </c>
      <c r="F121" s="1" t="s">
        <v>370</v>
      </c>
      <c r="G121" s="1">
        <f>IF(ISNA(VLOOKUP(F121,Monster!B:E,4,FALSE)),0,VLOOKUP(F121,Monster!B:E,4,FALSE))</f>
        <v>57</v>
      </c>
      <c r="I121" s="1" t="s">
        <v>1141</v>
      </c>
      <c r="J121" s="1">
        <v>1197</v>
      </c>
      <c r="K121" s="1">
        <v>20</v>
      </c>
      <c r="L121" s="1">
        <v>1154</v>
      </c>
      <c r="M121" s="1" t="s">
        <v>41</v>
      </c>
      <c r="O121" s="1">
        <f>((NOT(ISNA(VLOOKUP(M121,Monster!$H$2:$I$6,2,FALSE)))*L121)+J121)*(1+K121/100*0.25)</f>
        <v>2468.5500000000002</v>
      </c>
      <c r="P121" s="1" t="s">
        <v>615</v>
      </c>
      <c r="Q121" s="1">
        <v>2</v>
      </c>
    </row>
    <row r="122" spans="2:35" ht="12.75" hidden="1" x14ac:dyDescent="0.2">
      <c r="B122" s="3" t="s">
        <v>1143</v>
      </c>
      <c r="C122" s="3" t="s">
        <v>943</v>
      </c>
      <c r="D122" s="3" t="s">
        <v>596</v>
      </c>
      <c r="E122" s="1" t="s">
        <v>963</v>
      </c>
      <c r="F122" s="3" t="s">
        <v>374</v>
      </c>
      <c r="G122" s="4">
        <f>IF(ISNA(VLOOKUP(F122,Monster!B:E,4,FALSE)),0,VLOOKUP(F122,Monster!B:E,4,FALSE))</f>
        <v>58</v>
      </c>
      <c r="H122" s="3"/>
      <c r="I122" s="3" t="s">
        <v>1143</v>
      </c>
      <c r="J122" s="4">
        <v>1205</v>
      </c>
      <c r="K122" s="4">
        <v>0</v>
      </c>
      <c r="L122" s="4">
        <v>1305</v>
      </c>
      <c r="M122" s="3" t="s">
        <v>71</v>
      </c>
      <c r="N122" s="3"/>
      <c r="O122" s="4">
        <f>((NOT(ISNA(VLOOKUP(M122,Monster!$H$2:$I$6,2,FALSE)))*L122)+J122)*(1+K122/100*0.25)</f>
        <v>2510</v>
      </c>
      <c r="P122" s="3" t="s">
        <v>689</v>
      </c>
      <c r="Q122" s="4">
        <v>1</v>
      </c>
      <c r="R122" s="3" t="s">
        <v>372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</row>
    <row r="123" spans="2:35" ht="12.75" hidden="1" x14ac:dyDescent="0.2">
      <c r="B123" s="1" t="s">
        <v>1147</v>
      </c>
      <c r="C123" s="1" t="s">
        <v>949</v>
      </c>
      <c r="D123" s="1" t="s">
        <v>596</v>
      </c>
      <c r="E123" s="1" t="s">
        <v>963</v>
      </c>
      <c r="F123" s="1"/>
      <c r="G123" s="1">
        <f>IF(ISNA(VLOOKUP(F123,Monster!B:E,4,FALSE)),0,VLOOKUP(F123,Monster!B:E,4,FALSE))</f>
        <v>0</v>
      </c>
      <c r="I123" s="1" t="s">
        <v>1148</v>
      </c>
      <c r="J123" s="1">
        <v>1596</v>
      </c>
      <c r="K123" s="1">
        <v>0</v>
      </c>
      <c r="L123" s="1">
        <v>0</v>
      </c>
      <c r="M123" s="1" t="s">
        <v>107</v>
      </c>
      <c r="O123" s="1">
        <f>((NOT(ISNA(VLOOKUP(M123,Monster!$H$2:$I$6,2,FALSE)))*L123)+J123)*(1+K123/100*0.25)</f>
        <v>1596</v>
      </c>
      <c r="P123" s="1" t="s">
        <v>158</v>
      </c>
      <c r="Q123" s="1">
        <v>1</v>
      </c>
    </row>
    <row r="124" spans="2:35" ht="12.75" hidden="1" x14ac:dyDescent="0.2">
      <c r="B124" s="1" t="s">
        <v>1151</v>
      </c>
      <c r="C124" s="1" t="s">
        <v>1152</v>
      </c>
      <c r="D124" s="1" t="s">
        <v>596</v>
      </c>
      <c r="E124" s="1" t="s">
        <v>963</v>
      </c>
      <c r="F124" s="1" t="s">
        <v>131</v>
      </c>
      <c r="G124" s="1">
        <f>IF(ISNA(VLOOKUP(F124,Monster!B:E,4,FALSE)),0,VLOOKUP(F124,Monster!B:E,4,FALSE))</f>
        <v>14</v>
      </c>
      <c r="I124" s="1" t="s">
        <v>1151</v>
      </c>
      <c r="J124" s="1">
        <v>1293</v>
      </c>
      <c r="K124" s="1">
        <v>0</v>
      </c>
      <c r="L124" s="1">
        <v>910</v>
      </c>
      <c r="M124" s="1" t="s">
        <v>71</v>
      </c>
      <c r="O124" s="1">
        <f>((NOT(ISNA(VLOOKUP(M124,Monster!$H$2:$I$6,2,FALSE)))*L124)+J124)*(1+K124/100*0.25)</f>
        <v>2203</v>
      </c>
      <c r="P124" s="1" t="s">
        <v>228</v>
      </c>
      <c r="Q124" s="1">
        <v>2</v>
      </c>
    </row>
    <row r="125" spans="2:35" ht="12.75" hidden="1" x14ac:dyDescent="0.2">
      <c r="B125" s="1" t="s">
        <v>1155</v>
      </c>
      <c r="C125" s="1" t="s">
        <v>958</v>
      </c>
      <c r="D125" s="1" t="s">
        <v>596</v>
      </c>
      <c r="E125" s="1" t="s">
        <v>963</v>
      </c>
      <c r="F125" s="1"/>
      <c r="G125" s="1">
        <f>IF(ISNA(VLOOKUP(F125,Monster!B:E,4,FALSE)),0,VLOOKUP(F125,Monster!B:E,4,FALSE))</f>
        <v>0</v>
      </c>
      <c r="I125" s="1" t="s">
        <v>1158</v>
      </c>
      <c r="J125" s="1">
        <v>1878</v>
      </c>
      <c r="K125" s="1">
        <v>0</v>
      </c>
      <c r="L125" s="1">
        <v>0</v>
      </c>
      <c r="M125" s="1" t="s">
        <v>107</v>
      </c>
      <c r="O125" s="1">
        <f>((NOT(ISNA(VLOOKUP(M125,Monster!$H$2:$I$6,2,FALSE)))*L125)+J125)*(1+K125/100*0.25)</f>
        <v>1878</v>
      </c>
      <c r="P125" s="1" t="s">
        <v>412</v>
      </c>
      <c r="Q125" s="1">
        <v>1</v>
      </c>
    </row>
    <row r="126" spans="2:35" ht="12.75" hidden="1" x14ac:dyDescent="0.2">
      <c r="B126" s="1" t="s">
        <v>1159</v>
      </c>
      <c r="C126" s="1" t="s">
        <v>34</v>
      </c>
      <c r="D126" s="1" t="s">
        <v>596</v>
      </c>
      <c r="E126" s="1" t="s">
        <v>1160</v>
      </c>
      <c r="F126" s="1"/>
      <c r="G126" s="1">
        <f>IF(ISNA(VLOOKUP(F126,Monster!B:E,4,FALSE)),0,VLOOKUP(F126,Monster!B:E,4,FALSE))</f>
        <v>0</v>
      </c>
      <c r="I126" s="1" t="s">
        <v>1163</v>
      </c>
      <c r="J126" s="1">
        <v>1596</v>
      </c>
      <c r="K126" s="1">
        <v>0</v>
      </c>
      <c r="L126" s="1">
        <v>0</v>
      </c>
      <c r="M126" s="1" t="s">
        <v>107</v>
      </c>
      <c r="O126" s="1">
        <f>((NOT(ISNA(VLOOKUP(M126,Monster!$H$2:$I$6,2,FALSE)))*L126)+J126)*(1+K126/100*0.25)</f>
        <v>1596</v>
      </c>
      <c r="P126" s="1" t="s">
        <v>410</v>
      </c>
      <c r="Q126" s="1">
        <v>2</v>
      </c>
    </row>
    <row r="127" spans="2:35" ht="12.75" hidden="1" x14ac:dyDescent="0.2">
      <c r="B127" s="1" t="s">
        <v>1165</v>
      </c>
      <c r="C127" s="1" t="s">
        <v>324</v>
      </c>
      <c r="D127" s="1" t="s">
        <v>596</v>
      </c>
      <c r="E127" s="1" t="s">
        <v>1160</v>
      </c>
      <c r="F127" s="1" t="s">
        <v>11</v>
      </c>
      <c r="G127" s="1">
        <f>IF(ISNA(VLOOKUP(F127,Monster!B:E,4,FALSE)),0,VLOOKUP(F127,Monster!B:E,4,FALSE))</f>
        <v>1</v>
      </c>
      <c r="I127" s="1" t="s">
        <v>1166</v>
      </c>
      <c r="J127" s="1">
        <v>1373</v>
      </c>
      <c r="K127" s="1">
        <v>0</v>
      </c>
      <c r="L127" s="1">
        <v>607</v>
      </c>
      <c r="M127" s="1" t="s">
        <v>50</v>
      </c>
      <c r="O127" s="1">
        <f>((NOT(ISNA(VLOOKUP(M127,Monster!$H$2:$I$6,2,FALSE)))*L127)+J127)*(1+K127/100*0.25)</f>
        <v>1980</v>
      </c>
      <c r="P127" s="1" t="s">
        <v>348</v>
      </c>
      <c r="Q127" s="1">
        <v>2</v>
      </c>
    </row>
    <row r="128" spans="2:35" ht="12.75" hidden="1" x14ac:dyDescent="0.2">
      <c r="C128" s="1" t="s">
        <v>439</v>
      </c>
      <c r="D128" s="1" t="s">
        <v>596</v>
      </c>
      <c r="E128" s="1" t="s">
        <v>1160</v>
      </c>
      <c r="F128" s="1" t="s">
        <v>47</v>
      </c>
      <c r="G128" s="1">
        <f>IF(ISNA(VLOOKUP(F128,Monster!B:E,4,FALSE)),0,VLOOKUP(F128,Monster!B:E,4,FALSE))</f>
        <v>2</v>
      </c>
      <c r="J128" s="1">
        <v>1596</v>
      </c>
      <c r="K128" s="1">
        <v>30</v>
      </c>
      <c r="L128" s="1">
        <v>0</v>
      </c>
      <c r="M128" s="1" t="s">
        <v>107</v>
      </c>
      <c r="O128" s="1">
        <f>((NOT(ISNA(VLOOKUP(M128,Monster!$H$2:$I$6,2,FALSE)))*L128)+J128)*(1+K128/100*0.25)</f>
        <v>1715.6999999999998</v>
      </c>
      <c r="P128" s="1" t="s">
        <v>319</v>
      </c>
      <c r="Q128" s="1">
        <v>2</v>
      </c>
    </row>
    <row r="129" spans="2:17" ht="12.75" hidden="1" x14ac:dyDescent="0.2">
      <c r="B129" s="1" t="s">
        <v>1169</v>
      </c>
      <c r="C129" s="1" t="s">
        <v>541</v>
      </c>
      <c r="D129" s="1" t="s">
        <v>596</v>
      </c>
      <c r="E129" s="1" t="s">
        <v>1160</v>
      </c>
      <c r="F129" s="1" t="s">
        <v>52</v>
      </c>
      <c r="G129" s="1">
        <f>IF(ISNA(VLOOKUP(F129,Monster!B:E,4,FALSE)),0,VLOOKUP(F129,Monster!B:E,4,FALSE))</f>
        <v>3</v>
      </c>
      <c r="I129" s="1" t="s">
        <v>1170</v>
      </c>
      <c r="J129" s="1">
        <v>1596</v>
      </c>
      <c r="K129" s="1">
        <v>0</v>
      </c>
      <c r="L129" s="1">
        <v>400</v>
      </c>
      <c r="M129" s="1" t="s">
        <v>79</v>
      </c>
      <c r="O129" s="1">
        <f>((NOT(ISNA(VLOOKUP(M129,Monster!$H$2:$I$6,2,FALSE)))*L129)+J129)*(1+K129/100*0.25)</f>
        <v>1596</v>
      </c>
      <c r="P129" s="1" t="s">
        <v>590</v>
      </c>
      <c r="Q129" s="1">
        <v>1</v>
      </c>
    </row>
    <row r="130" spans="2:17" ht="12.75" hidden="1" x14ac:dyDescent="0.2">
      <c r="B130" s="1" t="s">
        <v>1172</v>
      </c>
      <c r="C130" s="1" t="s">
        <v>617</v>
      </c>
      <c r="D130" s="1" t="s">
        <v>596</v>
      </c>
      <c r="E130" s="1" t="s">
        <v>1160</v>
      </c>
      <c r="F130" s="1" t="s">
        <v>60</v>
      </c>
      <c r="G130" s="1">
        <f>IF(ISNA(VLOOKUP(F130,Monster!B:E,4,FALSE)),0,VLOOKUP(F130,Monster!B:E,4,FALSE))</f>
        <v>4</v>
      </c>
      <c r="I130" s="1" t="s">
        <v>1172</v>
      </c>
      <c r="J130" s="1">
        <v>1221</v>
      </c>
      <c r="K130" s="1">
        <v>0</v>
      </c>
      <c r="L130" s="1">
        <v>1142</v>
      </c>
      <c r="M130" s="1" t="s">
        <v>50</v>
      </c>
      <c r="O130" s="1">
        <f>((NOT(ISNA(VLOOKUP(M130,Monster!$H$2:$I$6,2,FALSE)))*L130)+J130)*(1+K130/100*0.25)</f>
        <v>2363</v>
      </c>
      <c r="P130" s="1" t="s">
        <v>244</v>
      </c>
      <c r="Q130" s="1">
        <v>1</v>
      </c>
    </row>
    <row r="131" spans="2:17" ht="12.75" hidden="1" x14ac:dyDescent="0.2">
      <c r="B131" s="1" t="s">
        <v>1174</v>
      </c>
      <c r="C131" s="1" t="s">
        <v>696</v>
      </c>
      <c r="D131" s="1" t="s">
        <v>596</v>
      </c>
      <c r="E131" s="1" t="s">
        <v>1160</v>
      </c>
      <c r="F131" s="1" t="s">
        <v>69</v>
      </c>
      <c r="G131" s="1">
        <f>IF(ISNA(VLOOKUP(F131,Monster!B:E,4,FALSE)),0,VLOOKUP(F131,Monster!B:E,4,FALSE))</f>
        <v>5</v>
      </c>
      <c r="I131" s="1" t="s">
        <v>1176</v>
      </c>
      <c r="J131" s="1">
        <v>1756</v>
      </c>
      <c r="K131" s="1">
        <v>0</v>
      </c>
      <c r="L131" s="1">
        <v>0</v>
      </c>
      <c r="M131" s="1" t="s">
        <v>107</v>
      </c>
      <c r="O131" s="1">
        <f>((NOT(ISNA(VLOOKUP(M131,Monster!$H$2:$I$6,2,FALSE)))*L131)+J131)*(1+K131/100*0.25)</f>
        <v>1756</v>
      </c>
      <c r="P131" s="1" t="s">
        <v>213</v>
      </c>
      <c r="Q131" s="1">
        <v>2</v>
      </c>
    </row>
    <row r="132" spans="2:17" ht="12.75" hidden="1" x14ac:dyDescent="0.2">
      <c r="B132" s="1" t="s">
        <v>1177</v>
      </c>
      <c r="C132" s="1" t="s">
        <v>719</v>
      </c>
      <c r="D132" s="1" t="s">
        <v>596</v>
      </c>
      <c r="E132" s="1" t="s">
        <v>1160</v>
      </c>
      <c r="F132" s="1" t="s">
        <v>75</v>
      </c>
      <c r="G132" s="1">
        <f>IF(ISNA(VLOOKUP(F132,Monster!B:E,4,FALSE)),0,VLOOKUP(F132,Monster!B:E,4,FALSE))</f>
        <v>6</v>
      </c>
      <c r="I132" s="1" t="s">
        <v>1178</v>
      </c>
      <c r="J132" s="1">
        <v>1596</v>
      </c>
      <c r="K132" s="1">
        <v>0</v>
      </c>
      <c r="L132" s="1">
        <v>400</v>
      </c>
      <c r="M132" s="1" t="s">
        <v>87</v>
      </c>
      <c r="O132" s="1">
        <f>((NOT(ISNA(VLOOKUP(M132,Monster!$H$2:$I$6,2,FALSE)))*L132)+J132)*(1+K132/100*0.25)</f>
        <v>1596</v>
      </c>
      <c r="P132" s="1" t="s">
        <v>590</v>
      </c>
      <c r="Q132" s="1">
        <v>1</v>
      </c>
    </row>
    <row r="133" spans="2:17" ht="12.75" hidden="1" x14ac:dyDescent="0.2">
      <c r="B133" s="1" t="s">
        <v>1180</v>
      </c>
      <c r="C133" s="1" t="s">
        <v>729</v>
      </c>
      <c r="D133" s="1" t="s">
        <v>596</v>
      </c>
      <c r="E133" s="1" t="s">
        <v>1160</v>
      </c>
      <c r="F133" s="1" t="s">
        <v>81</v>
      </c>
      <c r="G133" s="1">
        <f>IF(ISNA(VLOOKUP(F133,Monster!B:E,4,FALSE)),0,VLOOKUP(F133,Monster!B:E,4,FALSE))</f>
        <v>7</v>
      </c>
      <c r="I133" s="1" t="s">
        <v>1181</v>
      </c>
      <c r="J133" s="1">
        <v>1293</v>
      </c>
      <c r="K133" s="1">
        <v>0</v>
      </c>
      <c r="L133" s="1">
        <v>910</v>
      </c>
      <c r="M133" s="1" t="s">
        <v>58</v>
      </c>
      <c r="O133" s="1">
        <f>((NOT(ISNA(VLOOKUP(M133,Monster!$H$2:$I$6,2,FALSE)))*L133)+J133)*(1+K133/100*0.25)</f>
        <v>2203</v>
      </c>
      <c r="P133" s="1" t="s">
        <v>253</v>
      </c>
      <c r="Q133" s="1">
        <v>1</v>
      </c>
    </row>
    <row r="134" spans="2:17" ht="12.75" hidden="1" x14ac:dyDescent="0.2">
      <c r="C134" s="1" t="s">
        <v>735</v>
      </c>
      <c r="D134" s="1" t="s">
        <v>596</v>
      </c>
      <c r="E134" s="1" t="s">
        <v>1160</v>
      </c>
      <c r="F134" s="1" t="s">
        <v>91</v>
      </c>
      <c r="G134" s="1">
        <f>IF(ISNA(VLOOKUP(F134,Monster!B:E,4,FALSE)),0,VLOOKUP(F134,Monster!B:E,4,FALSE))</f>
        <v>8</v>
      </c>
      <c r="J134" s="1">
        <v>1764</v>
      </c>
      <c r="K134" s="1">
        <v>0</v>
      </c>
      <c r="L134" s="1">
        <v>0</v>
      </c>
      <c r="M134" s="1" t="s">
        <v>107</v>
      </c>
      <c r="O134" s="1">
        <f>((NOT(ISNA(VLOOKUP(M134,Monster!$H$2:$I$6,2,FALSE)))*L134)+J134)*(1+K134/100*0.25)</f>
        <v>1764</v>
      </c>
      <c r="P134" s="1" t="s">
        <v>228</v>
      </c>
      <c r="Q134" s="1">
        <v>2</v>
      </c>
    </row>
    <row r="135" spans="2:17" ht="12.75" hidden="1" x14ac:dyDescent="0.2">
      <c r="B135" s="1" t="s">
        <v>1184</v>
      </c>
      <c r="C135" s="1" t="s">
        <v>740</v>
      </c>
      <c r="D135" s="1" t="s">
        <v>596</v>
      </c>
      <c r="E135" s="1" t="s">
        <v>1160</v>
      </c>
      <c r="F135" s="1" t="s">
        <v>97</v>
      </c>
      <c r="G135" s="1">
        <f>IF(ISNA(VLOOKUP(F135,Monster!B:E,4,FALSE)),0,VLOOKUP(F135,Monster!B:E,4,FALSE))</f>
        <v>9</v>
      </c>
      <c r="I135" s="1" t="s">
        <v>1184</v>
      </c>
      <c r="J135" s="1">
        <v>1756</v>
      </c>
      <c r="K135" s="1">
        <v>0</v>
      </c>
      <c r="L135" s="1">
        <v>300</v>
      </c>
      <c r="M135" s="1" t="s">
        <v>95</v>
      </c>
      <c r="O135" s="1">
        <f>((NOT(ISNA(VLOOKUP(M135,Monster!$H$2:$I$6,2,FALSE)))*L135)+J135)*(1+K135/100*0.25)</f>
        <v>1756</v>
      </c>
      <c r="P135" s="1" t="s">
        <v>590</v>
      </c>
      <c r="Q135" s="1">
        <v>1</v>
      </c>
    </row>
    <row r="136" spans="2:17" ht="12.75" hidden="1" x14ac:dyDescent="0.2">
      <c r="B136" s="1" t="s">
        <v>1185</v>
      </c>
      <c r="C136" s="1" t="s">
        <v>745</v>
      </c>
      <c r="D136" s="1" t="s">
        <v>596</v>
      </c>
      <c r="E136" s="1" t="s">
        <v>1160</v>
      </c>
      <c r="F136" s="1" t="s">
        <v>102</v>
      </c>
      <c r="G136" s="1">
        <f>IF(ISNA(VLOOKUP(F136,Monster!B:E,4,FALSE)),0,VLOOKUP(F136,Monster!B:E,4,FALSE))</f>
        <v>10</v>
      </c>
      <c r="I136" s="1" t="s">
        <v>1187</v>
      </c>
      <c r="J136" s="1">
        <v>1293</v>
      </c>
      <c r="K136" s="1">
        <v>0</v>
      </c>
      <c r="L136" s="1">
        <v>910</v>
      </c>
      <c r="M136" s="1" t="s">
        <v>50</v>
      </c>
      <c r="O136" s="1">
        <f>((NOT(ISNA(VLOOKUP(M136,Monster!$H$2:$I$6,2,FALSE)))*L136)+J136)*(1+K136/100*0.25)</f>
        <v>2203</v>
      </c>
      <c r="P136" s="1" t="s">
        <v>394</v>
      </c>
      <c r="Q136" s="1">
        <v>1</v>
      </c>
    </row>
    <row r="137" spans="2:17" ht="12.75" hidden="1" x14ac:dyDescent="0.2">
      <c r="B137" s="1" t="s">
        <v>1188</v>
      </c>
      <c r="C137" s="1" t="s">
        <v>750</v>
      </c>
      <c r="D137" s="1" t="s">
        <v>596</v>
      </c>
      <c r="E137" s="1" t="s">
        <v>1160</v>
      </c>
      <c r="F137" s="1" t="s">
        <v>109</v>
      </c>
      <c r="G137" s="1">
        <f>IF(ISNA(VLOOKUP(F137,Monster!B:E,4,FALSE)),0,VLOOKUP(F137,Monster!B:E,4,FALSE))</f>
        <v>11</v>
      </c>
      <c r="I137" s="1" t="s">
        <v>1189</v>
      </c>
      <c r="J137" s="1">
        <v>1293</v>
      </c>
      <c r="K137" s="1">
        <v>0</v>
      </c>
      <c r="L137" s="1">
        <v>910</v>
      </c>
      <c r="M137" s="1" t="s">
        <v>41</v>
      </c>
      <c r="O137" s="1">
        <f>((NOT(ISNA(VLOOKUP(M137,Monster!$H$2:$I$6,2,FALSE)))*L137)+J137)*(1+K137/100*0.25)</f>
        <v>2203</v>
      </c>
      <c r="P137" s="1" t="s">
        <v>543</v>
      </c>
      <c r="Q137" s="1">
        <v>1</v>
      </c>
    </row>
    <row r="138" spans="2:17" ht="12.75" hidden="1" x14ac:dyDescent="0.2">
      <c r="B138" s="1" t="s">
        <v>1191</v>
      </c>
      <c r="C138" s="1" t="s">
        <v>756</v>
      </c>
      <c r="D138" s="1" t="s">
        <v>596</v>
      </c>
      <c r="E138" s="1" t="s">
        <v>1160</v>
      </c>
      <c r="F138" s="1" t="s">
        <v>119</v>
      </c>
      <c r="G138" s="1">
        <f>IF(ISNA(VLOOKUP(F138,Monster!B:E,4,FALSE)),0,VLOOKUP(F138,Monster!B:E,4,FALSE))</f>
        <v>12</v>
      </c>
      <c r="I138" s="1" t="s">
        <v>1192</v>
      </c>
      <c r="J138" s="1">
        <v>1197</v>
      </c>
      <c r="K138" s="1">
        <v>20</v>
      </c>
      <c r="L138" s="1">
        <v>1154</v>
      </c>
      <c r="M138" s="1" t="s">
        <v>58</v>
      </c>
      <c r="O138" s="1">
        <f>((NOT(ISNA(VLOOKUP(M138,Monster!$H$2:$I$6,2,FALSE)))*L138)+J138)*(1+K138/100*0.25)</f>
        <v>2468.5500000000002</v>
      </c>
      <c r="P138" s="1" t="s">
        <v>175</v>
      </c>
      <c r="Q138" s="1">
        <v>1</v>
      </c>
    </row>
    <row r="139" spans="2:17" ht="12.75" hidden="1" x14ac:dyDescent="0.2">
      <c r="C139" s="1" t="s">
        <v>761</v>
      </c>
      <c r="D139" s="1" t="s">
        <v>596</v>
      </c>
      <c r="E139" s="1" t="s">
        <v>1160</v>
      </c>
      <c r="F139" s="1" t="s">
        <v>125</v>
      </c>
      <c r="G139" s="1">
        <f>IF(ISNA(VLOOKUP(F139,Monster!B:E,4,FALSE)),0,VLOOKUP(F139,Monster!B:E,4,FALSE))</f>
        <v>13</v>
      </c>
      <c r="J139" s="1">
        <v>1516</v>
      </c>
      <c r="K139" s="1">
        <v>0</v>
      </c>
      <c r="L139" s="1">
        <v>496</v>
      </c>
      <c r="M139" s="1" t="s">
        <v>79</v>
      </c>
      <c r="O139" s="1">
        <f>((NOT(ISNA(VLOOKUP(M139,Monster!$H$2:$I$6,2,FALSE)))*L139)+J139)*(1+K139/100*0.25)</f>
        <v>1516</v>
      </c>
      <c r="P139" s="1" t="s">
        <v>348</v>
      </c>
      <c r="Q139" s="1">
        <v>2</v>
      </c>
    </row>
    <row r="140" spans="2:17" ht="12.75" hidden="1" x14ac:dyDescent="0.2">
      <c r="C140" s="1" t="s">
        <v>766</v>
      </c>
      <c r="D140" s="1" t="s">
        <v>596</v>
      </c>
      <c r="E140" s="1" t="s">
        <v>1160</v>
      </c>
      <c r="F140" s="1" t="s">
        <v>131</v>
      </c>
      <c r="G140" s="1">
        <f>IF(ISNA(VLOOKUP(F140,Monster!B:E,4,FALSE)),0,VLOOKUP(F140,Monster!B:E,4,FALSE))</f>
        <v>14</v>
      </c>
      <c r="J140" s="1">
        <v>1756</v>
      </c>
      <c r="K140" s="1">
        <v>0</v>
      </c>
      <c r="L140" s="1">
        <v>300</v>
      </c>
      <c r="M140" s="1" t="s">
        <v>79</v>
      </c>
      <c r="O140" s="1">
        <f>((NOT(ISNA(VLOOKUP(M140,Monster!$H$2:$I$6,2,FALSE)))*L140)+J140)*(1+K140/100*0.25)</f>
        <v>1756</v>
      </c>
      <c r="P140" s="1" t="s">
        <v>253</v>
      </c>
      <c r="Q140" s="1">
        <v>1</v>
      </c>
    </row>
    <row r="141" spans="2:17" ht="12.75" hidden="1" x14ac:dyDescent="0.2">
      <c r="C141" s="1" t="s">
        <v>771</v>
      </c>
      <c r="D141" s="1" t="s">
        <v>596</v>
      </c>
      <c r="E141" s="1" t="s">
        <v>1160</v>
      </c>
      <c r="F141" s="1" t="s">
        <v>137</v>
      </c>
      <c r="G141" s="1">
        <f>IF(ISNA(VLOOKUP(F141,Monster!B:E,4,FALSE)),0,VLOOKUP(F141,Monster!B:E,4,FALSE))</f>
        <v>15</v>
      </c>
      <c r="J141" s="1">
        <v>1675</v>
      </c>
      <c r="K141" s="1">
        <v>30</v>
      </c>
      <c r="L141" s="1">
        <v>399</v>
      </c>
      <c r="M141" s="1" t="s">
        <v>79</v>
      </c>
      <c r="O141" s="1">
        <f>((NOT(ISNA(VLOOKUP(M141,Monster!$H$2:$I$6,2,FALSE)))*L141)+J141)*(1+K141/100*0.25)</f>
        <v>1800.625</v>
      </c>
      <c r="P141" s="1" t="s">
        <v>483</v>
      </c>
      <c r="Q141" s="1">
        <v>2</v>
      </c>
    </row>
    <row r="142" spans="2:17" ht="12.75" hidden="1" x14ac:dyDescent="0.2">
      <c r="B142" s="1" t="s">
        <v>1196</v>
      </c>
      <c r="C142" s="1" t="s">
        <v>775</v>
      </c>
      <c r="D142" s="1" t="s">
        <v>596</v>
      </c>
      <c r="E142" s="1" t="s">
        <v>1160</v>
      </c>
      <c r="F142" s="1" t="s">
        <v>146</v>
      </c>
      <c r="G142" s="1">
        <f>IF(ISNA(VLOOKUP(F142,Monster!B:E,4,FALSE)),0,VLOOKUP(F142,Monster!B:E,4,FALSE))</f>
        <v>16</v>
      </c>
      <c r="I142" s="1" t="s">
        <v>1197</v>
      </c>
      <c r="J142" s="1">
        <v>1221</v>
      </c>
      <c r="K142" s="1">
        <v>0</v>
      </c>
      <c r="L142" s="1">
        <v>1142</v>
      </c>
      <c r="M142" s="1" t="s">
        <v>66</v>
      </c>
      <c r="O142" s="1">
        <f>((NOT(ISNA(VLOOKUP(M142,Monster!$H$2:$I$6,2,FALSE)))*L142)+J142)*(1+K142/100*0.25)</f>
        <v>2363</v>
      </c>
      <c r="P142" s="1" t="s">
        <v>228</v>
      </c>
      <c r="Q142" s="1">
        <v>2</v>
      </c>
    </row>
    <row r="143" spans="2:17" ht="12.75" hidden="1" x14ac:dyDescent="0.2">
      <c r="C143" s="1" t="s">
        <v>779</v>
      </c>
      <c r="D143" s="1" t="s">
        <v>596</v>
      </c>
      <c r="E143" s="1" t="s">
        <v>1160</v>
      </c>
      <c r="F143" s="1" t="s">
        <v>151</v>
      </c>
      <c r="G143" s="1">
        <f>IF(ISNA(VLOOKUP(F143,Monster!B:E,4,FALSE)),0,VLOOKUP(F143,Monster!B:E,4,FALSE))</f>
        <v>17</v>
      </c>
      <c r="J143" s="1">
        <v>1979</v>
      </c>
      <c r="K143" s="1">
        <v>0</v>
      </c>
      <c r="L143" s="1">
        <v>0</v>
      </c>
      <c r="M143" s="1" t="s">
        <v>107</v>
      </c>
      <c r="O143" s="1">
        <f>((NOT(ISNA(VLOOKUP(M143,Monster!$H$2:$I$6,2,FALSE)))*L143)+J143)*(1+K143/100*0.25)</f>
        <v>1979</v>
      </c>
      <c r="P143" s="1" t="s">
        <v>364</v>
      </c>
      <c r="Q143" s="1">
        <v>1</v>
      </c>
    </row>
    <row r="144" spans="2:17" ht="12.75" hidden="1" x14ac:dyDescent="0.2">
      <c r="C144" s="1" t="s">
        <v>782</v>
      </c>
      <c r="D144" s="1" t="s">
        <v>596</v>
      </c>
      <c r="E144" s="1" t="s">
        <v>1160</v>
      </c>
      <c r="F144" s="1" t="s">
        <v>155</v>
      </c>
      <c r="G144" s="1">
        <f>IF(ISNA(VLOOKUP(F144,Monster!B:E,4,FALSE)),0,VLOOKUP(F144,Monster!B:E,4,FALSE))</f>
        <v>18</v>
      </c>
      <c r="J144" s="1">
        <v>2218</v>
      </c>
      <c r="K144" s="1">
        <v>-30</v>
      </c>
      <c r="L144" s="1">
        <v>0</v>
      </c>
      <c r="M144" s="1" t="s">
        <v>107</v>
      </c>
      <c r="O144" s="1">
        <f>((NOT(ISNA(VLOOKUP(M144,Monster!$H$2:$I$6,2,FALSE)))*L144)+J144)*(1+K144/100*0.25)</f>
        <v>2051.65</v>
      </c>
      <c r="P144" s="1" t="s">
        <v>463</v>
      </c>
      <c r="Q144" s="1">
        <v>1</v>
      </c>
    </row>
    <row r="145" spans="2:17" ht="12.75" hidden="1" x14ac:dyDescent="0.2">
      <c r="B145" s="1" t="s">
        <v>1201</v>
      </c>
      <c r="C145" s="1" t="s">
        <v>786</v>
      </c>
      <c r="D145" s="1" t="s">
        <v>596</v>
      </c>
      <c r="E145" s="1" t="s">
        <v>1160</v>
      </c>
      <c r="F145" s="1" t="s">
        <v>160</v>
      </c>
      <c r="G145" s="1">
        <f>IF(ISNA(VLOOKUP(F145,Monster!B:E,4,FALSE)),0,VLOOKUP(F145,Monster!B:E,4,FALSE))</f>
        <v>19</v>
      </c>
      <c r="I145" s="1" t="s">
        <v>1202</v>
      </c>
      <c r="J145" s="1">
        <v>1221</v>
      </c>
      <c r="K145" s="1">
        <v>0</v>
      </c>
      <c r="L145" s="1">
        <v>1142</v>
      </c>
      <c r="M145" s="1" t="s">
        <v>41</v>
      </c>
      <c r="O145" s="1">
        <f>((NOT(ISNA(VLOOKUP(M145,Monster!$H$2:$I$6,2,FALSE)))*L145)+J145)*(1+K145/100*0.25)</f>
        <v>2363</v>
      </c>
      <c r="P145" s="1" t="s">
        <v>244</v>
      </c>
      <c r="Q145" s="1">
        <v>1</v>
      </c>
    </row>
    <row r="146" spans="2:17" ht="12.75" hidden="1" x14ac:dyDescent="0.2">
      <c r="B146" s="1" t="s">
        <v>1204</v>
      </c>
      <c r="C146" s="1" t="s">
        <v>790</v>
      </c>
      <c r="D146" s="1" t="s">
        <v>596</v>
      </c>
      <c r="E146" s="1" t="s">
        <v>1160</v>
      </c>
      <c r="F146" s="1" t="s">
        <v>165</v>
      </c>
      <c r="G146" s="1">
        <f>IF(ISNA(VLOOKUP(F146,Monster!B:E,4,FALSE)),0,VLOOKUP(F146,Monster!B:E,4,FALSE))</f>
        <v>20</v>
      </c>
      <c r="I146" s="1" t="s">
        <v>1205</v>
      </c>
      <c r="J146" s="1">
        <v>1682</v>
      </c>
      <c r="K146" s="1">
        <v>0</v>
      </c>
      <c r="L146" s="1">
        <v>605</v>
      </c>
      <c r="M146" s="1" t="s">
        <v>41</v>
      </c>
      <c r="O146" s="1">
        <f>((NOT(ISNA(VLOOKUP(M146,Monster!$H$2:$I$6,2,FALSE)))*L146)+J146)*(1+K146/100*0.25)</f>
        <v>2287</v>
      </c>
      <c r="P146" s="1" t="s">
        <v>602</v>
      </c>
      <c r="Q146" s="1">
        <v>1</v>
      </c>
    </row>
    <row r="147" spans="2:17" ht="12.75" hidden="1" x14ac:dyDescent="0.2">
      <c r="B147" s="1" t="s">
        <v>1207</v>
      </c>
      <c r="C147" s="1" t="s">
        <v>794</v>
      </c>
      <c r="D147" s="1" t="s">
        <v>596</v>
      </c>
      <c r="E147" s="1" t="s">
        <v>1160</v>
      </c>
      <c r="F147" s="1" t="s">
        <v>171</v>
      </c>
      <c r="G147" s="1">
        <f>IF(ISNA(VLOOKUP(F147,Monster!B:E,4,FALSE)),0,VLOOKUP(F147,Monster!B:E,4,FALSE))</f>
        <v>21</v>
      </c>
      <c r="I147" s="1" t="s">
        <v>1207</v>
      </c>
      <c r="J147" s="1">
        <v>1258</v>
      </c>
      <c r="K147" s="1">
        <v>30</v>
      </c>
      <c r="L147" s="1">
        <v>1082</v>
      </c>
      <c r="M147" s="1" t="s">
        <v>41</v>
      </c>
      <c r="O147" s="1">
        <f>((NOT(ISNA(VLOOKUP(M147,Monster!$H$2:$I$6,2,FALSE)))*L147)+J147)*(1+K147/100*0.25)</f>
        <v>2515.5</v>
      </c>
      <c r="P147" s="1" t="s">
        <v>175</v>
      </c>
      <c r="Q147" s="1">
        <v>2</v>
      </c>
    </row>
    <row r="148" spans="2:17" ht="12.75" hidden="1" x14ac:dyDescent="0.2">
      <c r="B148" s="1" t="s">
        <v>1208</v>
      </c>
      <c r="C148" s="1" t="s">
        <v>797</v>
      </c>
      <c r="D148" s="1" t="s">
        <v>596</v>
      </c>
      <c r="E148" s="1" t="s">
        <v>1160</v>
      </c>
      <c r="F148" s="1" t="s">
        <v>176</v>
      </c>
      <c r="G148" s="1">
        <f>IF(ISNA(VLOOKUP(F148,Monster!B:E,4,FALSE)),0,VLOOKUP(F148,Monster!B:E,4,FALSE))</f>
        <v>22</v>
      </c>
      <c r="I148" s="1" t="s">
        <v>1210</v>
      </c>
      <c r="J148" s="1">
        <v>1596</v>
      </c>
      <c r="K148" s="1">
        <v>0</v>
      </c>
      <c r="L148" s="1">
        <v>400</v>
      </c>
      <c r="M148" s="1" t="s">
        <v>95</v>
      </c>
      <c r="O148" s="1">
        <f>((NOT(ISNA(VLOOKUP(M148,Monster!$H$2:$I$6,2,FALSE)))*L148)+J148)*(1+K148/100*0.25)</f>
        <v>1596</v>
      </c>
      <c r="P148" s="1" t="s">
        <v>213</v>
      </c>
      <c r="Q148" s="1">
        <v>2</v>
      </c>
    </row>
    <row r="149" spans="2:17" ht="12.75" hidden="1" x14ac:dyDescent="0.2">
      <c r="B149" s="1" t="s">
        <v>1211</v>
      </c>
      <c r="C149" s="1" t="s">
        <v>800</v>
      </c>
      <c r="D149" s="1" t="s">
        <v>596</v>
      </c>
      <c r="E149" s="1" t="s">
        <v>1160</v>
      </c>
      <c r="F149" s="1" t="s">
        <v>184</v>
      </c>
      <c r="G149" s="1">
        <f>IF(ISNA(VLOOKUP(F149,Monster!B:E,4,FALSE)),0,VLOOKUP(F149,Monster!B:E,4,FALSE))</f>
        <v>23</v>
      </c>
      <c r="I149" s="1" t="s">
        <v>1211</v>
      </c>
      <c r="J149" s="1">
        <v>1764</v>
      </c>
      <c r="K149" s="1">
        <v>0</v>
      </c>
      <c r="L149" s="1">
        <v>0</v>
      </c>
      <c r="M149" s="1" t="s">
        <v>107</v>
      </c>
      <c r="O149" s="1">
        <f>((NOT(ISNA(VLOOKUP(M149,Monster!$H$2:$I$6,2,FALSE)))*L149)+J149)*(1+K149/100*0.25)</f>
        <v>1764</v>
      </c>
      <c r="P149" s="1" t="s">
        <v>306</v>
      </c>
      <c r="Q149" s="1">
        <v>2</v>
      </c>
    </row>
    <row r="150" spans="2:17" ht="12.75" hidden="1" x14ac:dyDescent="0.2">
      <c r="B150" s="1" t="s">
        <v>1214</v>
      </c>
      <c r="C150" s="1" t="s">
        <v>803</v>
      </c>
      <c r="D150" s="1" t="s">
        <v>596</v>
      </c>
      <c r="E150" s="1" t="s">
        <v>1160</v>
      </c>
      <c r="F150" s="1" t="s">
        <v>190</v>
      </c>
      <c r="G150" s="1">
        <f>IF(ISNA(VLOOKUP(F150,Monster!B:E,4,FALSE)),0,VLOOKUP(F150,Monster!B:E,4,FALSE))</f>
        <v>24</v>
      </c>
      <c r="I150" s="1" t="s">
        <v>1215</v>
      </c>
      <c r="J150" s="1">
        <v>1191</v>
      </c>
      <c r="K150" s="1">
        <v>20</v>
      </c>
      <c r="L150" s="1">
        <v>910</v>
      </c>
      <c r="M150" s="1" t="s">
        <v>66</v>
      </c>
      <c r="O150" s="1">
        <f>((NOT(ISNA(VLOOKUP(M150,Monster!$H$2:$I$6,2,FALSE)))*L150)+J150)*(1+K150/100*0.25)</f>
        <v>2206.0500000000002</v>
      </c>
      <c r="P150" s="1" t="s">
        <v>253</v>
      </c>
      <c r="Q150" s="1">
        <v>1</v>
      </c>
    </row>
    <row r="151" spans="2:17" ht="12.75" hidden="1" x14ac:dyDescent="0.2">
      <c r="B151" s="1" t="s">
        <v>1218</v>
      </c>
      <c r="C151" s="1" t="s">
        <v>807</v>
      </c>
      <c r="D151" s="1" t="s">
        <v>596</v>
      </c>
      <c r="E151" s="1" t="s">
        <v>1160</v>
      </c>
      <c r="F151" s="1" t="s">
        <v>193</v>
      </c>
      <c r="G151" s="1">
        <f>IF(ISNA(VLOOKUP(F151,Monster!B:E,4,FALSE)),0,VLOOKUP(F151,Monster!B:E,4,FALSE))</f>
        <v>25</v>
      </c>
      <c r="I151" s="1" t="s">
        <v>1218</v>
      </c>
      <c r="J151" s="1">
        <v>1221</v>
      </c>
      <c r="K151" s="1">
        <v>0</v>
      </c>
      <c r="L151" s="1">
        <v>1142</v>
      </c>
      <c r="M151" s="1" t="s">
        <v>58</v>
      </c>
      <c r="O151" s="1">
        <f>((NOT(ISNA(VLOOKUP(M151,Monster!$H$2:$I$6,2,FALSE)))*L151)+J151)*(1+K151/100*0.25)</f>
        <v>2363</v>
      </c>
      <c r="P151" s="1" t="s">
        <v>38</v>
      </c>
      <c r="Q151" s="1">
        <v>1</v>
      </c>
    </row>
    <row r="152" spans="2:17" ht="12.75" hidden="1" x14ac:dyDescent="0.2">
      <c r="C152" s="1" t="s">
        <v>810</v>
      </c>
      <c r="D152" s="1" t="s">
        <v>596</v>
      </c>
      <c r="E152" s="1" t="s">
        <v>1160</v>
      </c>
      <c r="F152" s="1" t="s">
        <v>197</v>
      </c>
      <c r="G152" s="1">
        <f>IF(ISNA(VLOOKUP(F152,Monster!B:E,4,FALSE)),0,VLOOKUP(F152,Monster!B:E,4,FALSE))</f>
        <v>26</v>
      </c>
      <c r="J152" s="1">
        <v>1588</v>
      </c>
      <c r="K152" s="1">
        <v>0</v>
      </c>
      <c r="L152" s="1">
        <v>632</v>
      </c>
      <c r="M152" s="1" t="s">
        <v>58</v>
      </c>
      <c r="O152" s="1">
        <f>((NOT(ISNA(VLOOKUP(M152,Monster!$H$2:$I$6,2,FALSE)))*L152)+J152)*(1+K152/100*0.25)</f>
        <v>2220</v>
      </c>
      <c r="P152" s="1" t="s">
        <v>412</v>
      </c>
      <c r="Q152" s="1">
        <v>1</v>
      </c>
    </row>
    <row r="153" spans="2:17" ht="12.75" hidden="1" x14ac:dyDescent="0.2">
      <c r="C153" s="1" t="s">
        <v>813</v>
      </c>
      <c r="D153" s="1" t="s">
        <v>596</v>
      </c>
      <c r="E153" s="1" t="s">
        <v>1160</v>
      </c>
      <c r="F153" s="1" t="s">
        <v>205</v>
      </c>
      <c r="G153" s="1">
        <f>IF(ISNA(VLOOKUP(F153,Monster!B:E,4,FALSE)),0,VLOOKUP(F153,Monster!B:E,4,FALSE))</f>
        <v>27</v>
      </c>
      <c r="J153" s="1">
        <v>1719</v>
      </c>
      <c r="K153" s="1">
        <v>20</v>
      </c>
      <c r="L153" s="1">
        <v>0</v>
      </c>
      <c r="M153" s="1" t="s">
        <v>107</v>
      </c>
      <c r="O153" s="1">
        <f>((NOT(ISNA(VLOOKUP(M153,Monster!$H$2:$I$6,2,FALSE)))*L153)+J153)*(1+K153/100*0.25)</f>
        <v>1804.95</v>
      </c>
      <c r="P153" s="1" t="s">
        <v>269</v>
      </c>
      <c r="Q153" s="1">
        <v>1</v>
      </c>
    </row>
    <row r="154" spans="2:17" ht="12.75" hidden="1" x14ac:dyDescent="0.2">
      <c r="C154" s="1" t="s">
        <v>816</v>
      </c>
      <c r="D154" s="1" t="s">
        <v>596</v>
      </c>
      <c r="E154" s="1" t="s">
        <v>1160</v>
      </c>
      <c r="F154" s="1" t="s">
        <v>210</v>
      </c>
      <c r="G154" s="1">
        <f>IF(ISNA(VLOOKUP(F154,Monster!B:E,4,FALSE)),0,VLOOKUP(F154,Monster!B:E,4,FALSE))</f>
        <v>28</v>
      </c>
      <c r="J154" s="1">
        <v>1138</v>
      </c>
      <c r="K154" s="1">
        <v>20</v>
      </c>
      <c r="L154" s="1">
        <v>1156</v>
      </c>
      <c r="M154" s="1" t="s">
        <v>71</v>
      </c>
      <c r="O154" s="1">
        <f>((NOT(ISNA(VLOOKUP(M154,Monster!$H$2:$I$6,2,FALSE)))*L154)+J154)*(1+K154/100*0.25)</f>
        <v>2408.7000000000003</v>
      </c>
      <c r="P154" s="1" t="s">
        <v>166</v>
      </c>
      <c r="Q154" s="1">
        <v>1</v>
      </c>
    </row>
    <row r="155" spans="2:17" ht="12.75" hidden="1" x14ac:dyDescent="0.2">
      <c r="B155" s="1" t="s">
        <v>1221</v>
      </c>
      <c r="C155" s="1" t="s">
        <v>821</v>
      </c>
      <c r="D155" s="1" t="s">
        <v>596</v>
      </c>
      <c r="E155" s="1" t="s">
        <v>1160</v>
      </c>
      <c r="F155" s="1" t="s">
        <v>216</v>
      </c>
      <c r="G155" s="1">
        <f>IF(ISNA(VLOOKUP(F155,Monster!B:E,4,FALSE)),0,VLOOKUP(F155,Monster!B:E,4,FALSE))</f>
        <v>29</v>
      </c>
      <c r="I155" s="1" t="s">
        <v>1222</v>
      </c>
      <c r="J155" s="1">
        <v>1318</v>
      </c>
      <c r="K155" s="1">
        <v>-30</v>
      </c>
      <c r="L155" s="1">
        <v>1261</v>
      </c>
      <c r="M155" s="1" t="s">
        <v>71</v>
      </c>
      <c r="O155" s="1">
        <f>((NOT(ISNA(VLOOKUP(M155,Monster!$H$2:$I$6,2,FALSE)))*L155)+J155)*(1+K155/100*0.25)</f>
        <v>2385.5750000000003</v>
      </c>
      <c r="P155" s="1" t="s">
        <v>583</v>
      </c>
      <c r="Q155" s="1">
        <v>1</v>
      </c>
    </row>
    <row r="156" spans="2:17" ht="12.75" hidden="1" x14ac:dyDescent="0.2">
      <c r="C156" s="1" t="s">
        <v>825</v>
      </c>
      <c r="D156" s="1" t="s">
        <v>596</v>
      </c>
      <c r="E156" s="1" t="s">
        <v>1160</v>
      </c>
      <c r="F156" s="1" t="s">
        <v>223</v>
      </c>
      <c r="G156" s="1">
        <f>IF(ISNA(VLOOKUP(F156,Monster!B:E,4,FALSE)),0,VLOOKUP(F156,Monster!B:E,4,FALSE))</f>
        <v>30</v>
      </c>
      <c r="J156" s="1">
        <v>1666</v>
      </c>
      <c r="K156" s="1">
        <v>-15</v>
      </c>
      <c r="L156" s="1">
        <v>527</v>
      </c>
      <c r="M156" s="1" t="s">
        <v>41</v>
      </c>
      <c r="O156" s="1">
        <f>((NOT(ISNA(VLOOKUP(M156,Monster!$H$2:$I$6,2,FALSE)))*L156)+J156)*(1+K156/100*0.25)</f>
        <v>2110.7625000000003</v>
      </c>
      <c r="P156" s="1" t="s">
        <v>364</v>
      </c>
      <c r="Q156" s="1">
        <v>1</v>
      </c>
    </row>
    <row r="157" spans="2:17" ht="12.75" hidden="1" x14ac:dyDescent="0.2">
      <c r="B157" s="1" t="s">
        <v>1224</v>
      </c>
      <c r="C157" s="1" t="s">
        <v>829</v>
      </c>
      <c r="D157" s="1" t="s">
        <v>596</v>
      </c>
      <c r="E157" s="1" t="s">
        <v>1160</v>
      </c>
      <c r="F157" s="1" t="s">
        <v>229</v>
      </c>
      <c r="G157" s="1">
        <f>IF(ISNA(VLOOKUP(F157,Monster!B:E,4,FALSE)),0,VLOOKUP(F157,Monster!B:E,4,FALSE))</f>
        <v>31</v>
      </c>
      <c r="I157" s="1" t="s">
        <v>1224</v>
      </c>
      <c r="J157" s="1">
        <v>1194</v>
      </c>
      <c r="K157" s="1">
        <v>20</v>
      </c>
      <c r="L157" s="1">
        <v>913</v>
      </c>
      <c r="M157" s="1" t="s">
        <v>58</v>
      </c>
      <c r="O157" s="1">
        <f>((NOT(ISNA(VLOOKUP(M157,Monster!$H$2:$I$6,2,FALSE)))*L157)+J157)*(1+K157/100*0.25)</f>
        <v>2212.35</v>
      </c>
      <c r="P157" s="1" t="s">
        <v>470</v>
      </c>
      <c r="Q157" s="1">
        <v>1</v>
      </c>
    </row>
    <row r="158" spans="2:17" ht="12.75" hidden="1" x14ac:dyDescent="0.2">
      <c r="B158" s="1" t="s">
        <v>1226</v>
      </c>
      <c r="C158" s="1" t="s">
        <v>834</v>
      </c>
      <c r="D158" s="1" t="s">
        <v>596</v>
      </c>
      <c r="E158" s="1" t="s">
        <v>1160</v>
      </c>
      <c r="F158" s="1" t="s">
        <v>234</v>
      </c>
      <c r="G158" s="1">
        <f>IF(ISNA(VLOOKUP(F158,Monster!B:E,4,FALSE)),0,VLOOKUP(F158,Monster!B:E,4,FALSE))</f>
        <v>32</v>
      </c>
      <c r="I158" s="1" t="s">
        <v>1226</v>
      </c>
      <c r="J158" s="1">
        <v>1553</v>
      </c>
      <c r="K158" s="1">
        <v>0</v>
      </c>
      <c r="L158" s="1">
        <v>974</v>
      </c>
      <c r="M158" s="1" t="s">
        <v>66</v>
      </c>
      <c r="O158" s="1">
        <f>((NOT(ISNA(VLOOKUP(M158,Monster!$H$2:$I$6,2,FALSE)))*L158)+J158)*(1+K158/100*0.25)</f>
        <v>2527</v>
      </c>
      <c r="P158" s="1" t="s">
        <v>528</v>
      </c>
      <c r="Q158" s="1">
        <v>2</v>
      </c>
    </row>
    <row r="159" spans="2:17" ht="12.75" hidden="1" x14ac:dyDescent="0.2">
      <c r="B159" s="1" t="s">
        <v>1228</v>
      </c>
      <c r="C159" s="1" t="s">
        <v>839</v>
      </c>
      <c r="D159" s="1" t="s">
        <v>596</v>
      </c>
      <c r="E159" s="1" t="s">
        <v>1160</v>
      </c>
      <c r="F159" s="1" t="s">
        <v>239</v>
      </c>
      <c r="G159" s="1">
        <f>IF(ISNA(VLOOKUP(F159,Monster!B:E,4,FALSE)),0,VLOOKUP(F159,Monster!B:E,4,FALSE))</f>
        <v>33</v>
      </c>
      <c r="I159" s="1" t="s">
        <v>1230</v>
      </c>
      <c r="J159" s="1">
        <v>1138</v>
      </c>
      <c r="K159" s="1">
        <v>20</v>
      </c>
      <c r="L159" s="1">
        <v>1156</v>
      </c>
      <c r="M159" s="1" t="s">
        <v>50</v>
      </c>
      <c r="O159" s="1">
        <f>((NOT(ISNA(VLOOKUP(M159,Monster!$H$2:$I$6,2,FALSE)))*L159)+J159)*(1+K159/100*0.25)</f>
        <v>2408.7000000000003</v>
      </c>
      <c r="P159" s="1" t="s">
        <v>38</v>
      </c>
      <c r="Q159" s="1">
        <v>1</v>
      </c>
    </row>
    <row r="160" spans="2:17" ht="12.75" hidden="1" x14ac:dyDescent="0.2">
      <c r="B160" s="1" t="s">
        <v>1231</v>
      </c>
      <c r="C160" s="1" t="s">
        <v>845</v>
      </c>
      <c r="D160" s="1" t="s">
        <v>596</v>
      </c>
      <c r="E160" s="1" t="s">
        <v>1160</v>
      </c>
      <c r="F160" s="1" t="s">
        <v>245</v>
      </c>
      <c r="G160" s="1">
        <f>IF(ISNA(VLOOKUP(F160,Monster!B:E,4,FALSE)),0,VLOOKUP(F160,Monster!B:E,4,FALSE))</f>
        <v>34</v>
      </c>
      <c r="I160" s="1" t="s">
        <v>1231</v>
      </c>
      <c r="J160" s="1">
        <v>1684</v>
      </c>
      <c r="K160" s="1">
        <v>0</v>
      </c>
      <c r="L160" s="1">
        <v>502</v>
      </c>
      <c r="M160" s="1" t="s">
        <v>100</v>
      </c>
      <c r="O160" s="1">
        <f>((NOT(ISNA(VLOOKUP(M160,Monster!$H$2:$I$6,2,FALSE)))*L160)+J160)*(1+K160/100*0.25)</f>
        <v>1684</v>
      </c>
      <c r="P160" s="1" t="s">
        <v>364</v>
      </c>
      <c r="Q160" s="1">
        <v>2</v>
      </c>
    </row>
    <row r="161" spans="2:17" ht="12.75" hidden="1" x14ac:dyDescent="0.2">
      <c r="B161" s="1" t="s">
        <v>1233</v>
      </c>
      <c r="C161" s="1" t="s">
        <v>849</v>
      </c>
      <c r="D161" s="1" t="s">
        <v>596</v>
      </c>
      <c r="E161" s="1" t="s">
        <v>1160</v>
      </c>
      <c r="F161" s="1" t="s">
        <v>251</v>
      </c>
      <c r="G161" s="1">
        <f>IF(ISNA(VLOOKUP(F161,Monster!B:E,4,FALSE)),0,VLOOKUP(F161,Monster!B:E,4,FALSE))</f>
        <v>35</v>
      </c>
      <c r="I161" s="1" t="s">
        <v>1234</v>
      </c>
      <c r="J161" s="1">
        <v>1588</v>
      </c>
      <c r="K161" s="1">
        <v>0</v>
      </c>
      <c r="L161" s="1">
        <v>632</v>
      </c>
      <c r="M161" s="1" t="s">
        <v>41</v>
      </c>
      <c r="O161" s="1">
        <f>((NOT(ISNA(VLOOKUP(M161,Monster!$H$2:$I$6,2,FALSE)))*L161)+J161)*(1+K161/100*0.25)</f>
        <v>2220</v>
      </c>
      <c r="P161" s="1" t="s">
        <v>412</v>
      </c>
      <c r="Q161" s="1">
        <v>1</v>
      </c>
    </row>
    <row r="162" spans="2:17" ht="12.75" hidden="1" x14ac:dyDescent="0.2">
      <c r="B162" s="1" t="s">
        <v>1235</v>
      </c>
      <c r="C162" s="1" t="s">
        <v>853</v>
      </c>
      <c r="D162" s="1" t="s">
        <v>596</v>
      </c>
      <c r="E162" s="1" t="s">
        <v>1160</v>
      </c>
      <c r="F162" s="1" t="s">
        <v>256</v>
      </c>
      <c r="G162" s="1">
        <f>IF(ISNA(VLOOKUP(F162,Monster!B:E,4,FALSE)),0,VLOOKUP(F162,Monster!B:E,4,FALSE))</f>
        <v>36</v>
      </c>
      <c r="I162" s="1" t="s">
        <v>1237</v>
      </c>
      <c r="J162" s="1">
        <v>1516</v>
      </c>
      <c r="K162" s="1">
        <v>0</v>
      </c>
      <c r="L162" s="1">
        <v>496</v>
      </c>
      <c r="M162" s="1" t="s">
        <v>100</v>
      </c>
      <c r="O162" s="1">
        <f>((NOT(ISNA(VLOOKUP(M162,Monster!$H$2:$I$6,2,FALSE)))*L162)+J162)*(1+K162/100*0.25)</f>
        <v>1516</v>
      </c>
      <c r="P162" s="1" t="s">
        <v>463</v>
      </c>
      <c r="Q162" s="1">
        <v>1</v>
      </c>
    </row>
    <row r="163" spans="2:17" ht="12.75" hidden="1" x14ac:dyDescent="0.2">
      <c r="B163" s="1" t="s">
        <v>1238</v>
      </c>
      <c r="C163" s="1" t="s">
        <v>857</v>
      </c>
      <c r="D163" s="1" t="s">
        <v>596</v>
      </c>
      <c r="E163" s="1" t="s">
        <v>1160</v>
      </c>
      <c r="F163" s="1" t="s">
        <v>263</v>
      </c>
      <c r="G163" s="1">
        <f>IF(ISNA(VLOOKUP(F163,Monster!B:E,4,FALSE)),0,VLOOKUP(F163,Monster!B:E,4,FALSE))</f>
        <v>37</v>
      </c>
      <c r="I163" s="1" t="s">
        <v>1240</v>
      </c>
      <c r="J163" s="1">
        <v>1318</v>
      </c>
      <c r="K163" s="1">
        <v>-30</v>
      </c>
      <c r="L163" s="1">
        <v>1261</v>
      </c>
      <c r="M163" s="1" t="s">
        <v>58</v>
      </c>
      <c r="O163" s="1">
        <f>((NOT(ISNA(VLOOKUP(M163,Monster!$H$2:$I$6,2,FALSE)))*L163)+J163)*(1+K163/100*0.25)</f>
        <v>2385.5750000000003</v>
      </c>
      <c r="P163" s="1" t="s">
        <v>463</v>
      </c>
      <c r="Q163" s="1">
        <v>1</v>
      </c>
    </row>
    <row r="164" spans="2:17" ht="12.75" hidden="1" x14ac:dyDescent="0.2">
      <c r="B164" s="1" t="s">
        <v>1241</v>
      </c>
      <c r="C164" s="1" t="s">
        <v>863</v>
      </c>
      <c r="D164" s="1" t="s">
        <v>596</v>
      </c>
      <c r="E164" s="1" t="s">
        <v>1160</v>
      </c>
      <c r="F164" s="1" t="s">
        <v>268</v>
      </c>
      <c r="G164" s="1">
        <f>IF(ISNA(VLOOKUP(F164,Monster!B:E,4,FALSE)),0,VLOOKUP(F164,Monster!B:E,4,FALSE))</f>
        <v>38</v>
      </c>
      <c r="I164" s="1" t="s">
        <v>1241</v>
      </c>
      <c r="J164" s="1">
        <v>1553</v>
      </c>
      <c r="K164" s="1">
        <v>0</v>
      </c>
      <c r="L164" s="1">
        <v>974</v>
      </c>
      <c r="M164" s="1" t="s">
        <v>71</v>
      </c>
      <c r="O164" s="1">
        <f>((NOT(ISNA(VLOOKUP(M164,Monster!$H$2:$I$6,2,FALSE)))*L164)+J164)*(1+K164/100*0.25)</f>
        <v>2527</v>
      </c>
      <c r="P164" s="1" t="s">
        <v>463</v>
      </c>
      <c r="Q164" s="1">
        <v>2</v>
      </c>
    </row>
    <row r="165" spans="2:17" ht="12.75" hidden="1" x14ac:dyDescent="0.2">
      <c r="B165" s="1" t="s">
        <v>1243</v>
      </c>
      <c r="C165" s="1" t="s">
        <v>866</v>
      </c>
      <c r="D165" s="1" t="s">
        <v>596</v>
      </c>
      <c r="E165" s="1" t="s">
        <v>1160</v>
      </c>
      <c r="F165" s="1" t="s">
        <v>273</v>
      </c>
      <c r="G165" s="1">
        <f>IF(ISNA(VLOOKUP(F165,Monster!B:E,4,FALSE)),0,VLOOKUP(F165,Monster!B:E,4,FALSE))</f>
        <v>39</v>
      </c>
      <c r="I165" s="1" t="s">
        <v>1244</v>
      </c>
      <c r="J165" s="1">
        <v>1588</v>
      </c>
      <c r="K165" s="1">
        <v>0</v>
      </c>
      <c r="L165" s="1">
        <v>632</v>
      </c>
      <c r="M165" s="1" t="s">
        <v>66</v>
      </c>
      <c r="O165" s="1">
        <f>((NOT(ISNA(VLOOKUP(M165,Monster!$H$2:$I$6,2,FALSE)))*L165)+J165)*(1+K165/100*0.25)</f>
        <v>2220</v>
      </c>
      <c r="P165" s="1" t="s">
        <v>412</v>
      </c>
      <c r="Q165" s="1">
        <v>1</v>
      </c>
    </row>
    <row r="166" spans="2:17" ht="12.75" hidden="1" x14ac:dyDescent="0.2">
      <c r="C166" s="1" t="s">
        <v>869</v>
      </c>
      <c r="D166" s="1" t="s">
        <v>596</v>
      </c>
      <c r="E166" s="1" t="s">
        <v>1160</v>
      </c>
      <c r="F166" s="1" t="s">
        <v>278</v>
      </c>
      <c r="G166" s="1">
        <f>IF(ISNA(VLOOKUP(F166,Monster!B:E,4,FALSE)),0,VLOOKUP(F166,Monster!B:E,4,FALSE))</f>
        <v>40</v>
      </c>
      <c r="J166" s="1">
        <v>1516</v>
      </c>
      <c r="K166" s="1">
        <v>0</v>
      </c>
      <c r="L166" s="1">
        <v>496</v>
      </c>
      <c r="M166" s="1" t="s">
        <v>87</v>
      </c>
      <c r="O166" s="1">
        <f>((NOT(ISNA(VLOOKUP(M166,Monster!$H$2:$I$6,2,FALSE)))*L166)+J166)*(1+K166/100*0.25)</f>
        <v>1516</v>
      </c>
      <c r="P166" s="1" t="s">
        <v>253</v>
      </c>
      <c r="Q166" s="1">
        <v>1</v>
      </c>
    </row>
    <row r="167" spans="2:17" ht="12.75" hidden="1" x14ac:dyDescent="0.2">
      <c r="B167" s="1" t="s">
        <v>1247</v>
      </c>
      <c r="C167" s="1" t="s">
        <v>872</v>
      </c>
      <c r="D167" s="1" t="s">
        <v>596</v>
      </c>
      <c r="E167" s="1" t="s">
        <v>1160</v>
      </c>
      <c r="F167" s="1" t="s">
        <v>288</v>
      </c>
      <c r="G167" s="1">
        <f>IF(ISNA(VLOOKUP(F167,Monster!B:E,4,FALSE)),0,VLOOKUP(F167,Monster!B:E,4,FALSE))</f>
        <v>41</v>
      </c>
      <c r="I167" s="1" t="s">
        <v>1248</v>
      </c>
      <c r="J167" s="1">
        <v>1567</v>
      </c>
      <c r="K167" s="1">
        <v>-15</v>
      </c>
      <c r="L167" s="1">
        <v>496</v>
      </c>
      <c r="M167" s="1" t="s">
        <v>95</v>
      </c>
      <c r="O167" s="1">
        <f>((NOT(ISNA(VLOOKUP(M167,Monster!$H$2:$I$6,2,FALSE)))*L167)+J167)*(1+K167/100*0.25)</f>
        <v>1508.2375</v>
      </c>
      <c r="P167" s="1" t="s">
        <v>253</v>
      </c>
      <c r="Q167" s="1">
        <v>1</v>
      </c>
    </row>
    <row r="168" spans="2:17" ht="12.75" x14ac:dyDescent="0.2">
      <c r="B168" s="1" t="s">
        <v>1250</v>
      </c>
      <c r="C168" s="1" t="s">
        <v>875</v>
      </c>
      <c r="D168" s="1" t="s">
        <v>596</v>
      </c>
      <c r="E168" s="1" t="s">
        <v>1160</v>
      </c>
      <c r="F168" s="1" t="s">
        <v>293</v>
      </c>
      <c r="G168" s="1">
        <f>IF(ISNA(VLOOKUP(F168,Monster!B:E,4,FALSE)),0,VLOOKUP(F168,Monster!B:E,4,FALSE))</f>
        <v>42</v>
      </c>
      <c r="I168" s="1" t="s">
        <v>1251</v>
      </c>
      <c r="J168" s="1">
        <v>2198</v>
      </c>
      <c r="K168" s="1">
        <v>-40</v>
      </c>
      <c r="L168" s="1">
        <v>0</v>
      </c>
      <c r="M168" s="1" t="s">
        <v>107</v>
      </c>
      <c r="O168" s="1">
        <f>((NOT(ISNA(VLOOKUP(M168,Monster!$H$2:$I$6,2,FALSE)))*L168)+J168)*(1+K168/100*0.25)</f>
        <v>1978.2</v>
      </c>
      <c r="P168" s="1" t="s">
        <v>194</v>
      </c>
      <c r="Q168" s="1">
        <v>1</v>
      </c>
    </row>
    <row r="169" spans="2:17" ht="12.75" hidden="1" x14ac:dyDescent="0.2">
      <c r="B169" s="1" t="s">
        <v>1252</v>
      </c>
      <c r="C169" s="1" t="s">
        <v>880</v>
      </c>
      <c r="D169" s="1" t="s">
        <v>596</v>
      </c>
      <c r="E169" s="1" t="s">
        <v>1160</v>
      </c>
      <c r="F169" s="1" t="s">
        <v>298</v>
      </c>
      <c r="G169" s="1">
        <f>IF(ISNA(VLOOKUP(F169,Monster!B:E,4,FALSE)),0,VLOOKUP(F169,Monster!B:E,4,FALSE))</f>
        <v>43</v>
      </c>
      <c r="I169" s="1" t="s">
        <v>1255</v>
      </c>
      <c r="J169" s="1">
        <v>2198</v>
      </c>
      <c r="K169" s="1">
        <v>-10</v>
      </c>
      <c r="L169" s="1">
        <v>0</v>
      </c>
      <c r="M169" s="1" t="s">
        <v>107</v>
      </c>
      <c r="O169" s="1">
        <f>((NOT(ISNA(VLOOKUP(M169,Monster!$H$2:$I$6,2,FALSE)))*L169)+J169)*(1+K169/100*0.25)</f>
        <v>2143.0499999999997</v>
      </c>
      <c r="P169" s="1" t="s">
        <v>28</v>
      </c>
      <c r="Q169" s="1">
        <v>5</v>
      </c>
    </row>
    <row r="170" spans="2:17" ht="12.75" hidden="1" x14ac:dyDescent="0.2">
      <c r="B170" s="1" t="s">
        <v>1256</v>
      </c>
      <c r="C170" s="1" t="s">
        <v>885</v>
      </c>
      <c r="D170" s="1" t="s">
        <v>596</v>
      </c>
      <c r="E170" s="1" t="s">
        <v>1160</v>
      </c>
      <c r="F170" s="1" t="s">
        <v>302</v>
      </c>
      <c r="G170" s="1">
        <f>IF(ISNA(VLOOKUP(F170,Monster!B:E,4,FALSE)),0,VLOOKUP(F170,Monster!B:E,4,FALSE))</f>
        <v>44</v>
      </c>
      <c r="I170" s="1" t="s">
        <v>1256</v>
      </c>
      <c r="J170" s="1">
        <v>1205</v>
      </c>
      <c r="K170" s="1">
        <v>0</v>
      </c>
      <c r="L170" s="1">
        <v>1305</v>
      </c>
      <c r="M170" s="1" t="s">
        <v>58</v>
      </c>
      <c r="O170" s="1">
        <f>((NOT(ISNA(VLOOKUP(M170,Monster!$H$2:$I$6,2,FALSE)))*L170)+J170)*(1+K170/100*0.25)</f>
        <v>2510</v>
      </c>
      <c r="P170" s="1" t="s">
        <v>400</v>
      </c>
      <c r="Q170" s="1">
        <v>1</v>
      </c>
    </row>
    <row r="171" spans="2:17" ht="12.75" x14ac:dyDescent="0.2">
      <c r="C171" s="1" t="s">
        <v>888</v>
      </c>
      <c r="D171" s="1" t="s">
        <v>596</v>
      </c>
      <c r="E171" s="1" t="s">
        <v>1160</v>
      </c>
      <c r="F171" s="1" t="s">
        <v>305</v>
      </c>
      <c r="G171" s="1">
        <f>IF(ISNA(VLOOKUP(F171,Monster!B:E,4,FALSE)),0,VLOOKUP(F171,Monster!B:E,4,FALSE))</f>
        <v>45</v>
      </c>
      <c r="J171" s="1">
        <v>1942</v>
      </c>
      <c r="K171" s="1">
        <v>-30</v>
      </c>
      <c r="L171" s="1">
        <v>297</v>
      </c>
      <c r="M171" s="1" t="s">
        <v>100</v>
      </c>
      <c r="O171" s="1">
        <f>((NOT(ISNA(VLOOKUP(M171,Monster!$H$2:$I$6,2,FALSE)))*L171)+J171)*(1+K171/100*0.25)</f>
        <v>1796.3500000000001</v>
      </c>
      <c r="P171" s="1" t="s">
        <v>194</v>
      </c>
      <c r="Q171" s="1">
        <v>1</v>
      </c>
    </row>
    <row r="172" spans="2:17" ht="12.75" hidden="1" x14ac:dyDescent="0.2">
      <c r="C172" s="1" t="s">
        <v>892</v>
      </c>
      <c r="D172" s="1" t="s">
        <v>596</v>
      </c>
      <c r="E172" s="1" t="s">
        <v>1160</v>
      </c>
      <c r="F172" s="1" t="s">
        <v>310</v>
      </c>
      <c r="G172" s="1">
        <f>IF(ISNA(VLOOKUP(F172,Monster!B:E,4,FALSE)),0,VLOOKUP(F172,Monster!B:E,4,FALSE))</f>
        <v>46</v>
      </c>
      <c r="J172" s="1">
        <v>1834</v>
      </c>
      <c r="K172" s="1">
        <v>10</v>
      </c>
      <c r="L172" s="1">
        <v>0</v>
      </c>
      <c r="M172" s="1" t="s">
        <v>107</v>
      </c>
      <c r="O172" s="1">
        <f>((NOT(ISNA(VLOOKUP(M172,Monster!$H$2:$I$6,2,FALSE)))*L172)+J172)*(1+K172/100*0.25)</f>
        <v>1879.85</v>
      </c>
      <c r="P172" s="1" t="s">
        <v>407</v>
      </c>
      <c r="Q172" s="1">
        <v>1</v>
      </c>
    </row>
    <row r="173" spans="2:17" ht="12.75" hidden="1" x14ac:dyDescent="0.2">
      <c r="C173" s="1" t="s">
        <v>896</v>
      </c>
      <c r="D173" s="1" t="s">
        <v>596</v>
      </c>
      <c r="E173" s="1" t="s">
        <v>1160</v>
      </c>
      <c r="F173" s="1" t="s">
        <v>316</v>
      </c>
      <c r="G173" s="1">
        <f>IF(ISNA(VLOOKUP(F173,Monster!B:E,4,FALSE)),0,VLOOKUP(F173,Monster!B:E,4,FALSE))</f>
        <v>47</v>
      </c>
      <c r="J173" s="1">
        <v>1971</v>
      </c>
      <c r="K173" s="1">
        <v>-20</v>
      </c>
      <c r="L173" s="1">
        <v>0</v>
      </c>
      <c r="M173" s="1" t="s">
        <v>107</v>
      </c>
      <c r="O173" s="1">
        <f>((NOT(ISNA(VLOOKUP(M173,Monster!$H$2:$I$6,2,FALSE)))*L173)+J173)*(1+K173/100*0.25)</f>
        <v>1872.4499999999998</v>
      </c>
      <c r="P173" s="1" t="s">
        <v>602</v>
      </c>
      <c r="Q173" s="1">
        <v>2</v>
      </c>
    </row>
    <row r="174" spans="2:17" ht="12.75" x14ac:dyDescent="0.2">
      <c r="B174" s="1" t="s">
        <v>1264</v>
      </c>
      <c r="C174" s="1" t="s">
        <v>900</v>
      </c>
      <c r="D174" s="1" t="s">
        <v>596</v>
      </c>
      <c r="E174" s="1" t="s">
        <v>1160</v>
      </c>
      <c r="F174" s="1" t="s">
        <v>320</v>
      </c>
      <c r="G174" s="1">
        <f>IF(ISNA(VLOOKUP(F174,Monster!B:E,4,FALSE)),0,VLOOKUP(F174,Monster!B:E,4,FALSE))</f>
        <v>48</v>
      </c>
      <c r="I174" s="1" t="s">
        <v>1264</v>
      </c>
      <c r="J174" s="1">
        <v>1318</v>
      </c>
      <c r="K174" s="1">
        <v>-30</v>
      </c>
      <c r="L174" s="1">
        <v>1261</v>
      </c>
      <c r="M174" s="1" t="s">
        <v>41</v>
      </c>
      <c r="O174" s="1">
        <f>((NOT(ISNA(VLOOKUP(M174,Monster!$H$2:$I$6,2,FALSE)))*L174)+J174)*(1+K174/100*0.25)</f>
        <v>2385.5750000000003</v>
      </c>
      <c r="P174" s="1" t="s">
        <v>194</v>
      </c>
      <c r="Q174" s="1">
        <v>1</v>
      </c>
    </row>
    <row r="175" spans="2:17" ht="12.75" hidden="1" x14ac:dyDescent="0.2">
      <c r="B175" s="1" t="s">
        <v>1266</v>
      </c>
      <c r="C175" s="1" t="s">
        <v>904</v>
      </c>
      <c r="D175" s="1" t="s">
        <v>596</v>
      </c>
      <c r="E175" s="1" t="s">
        <v>1160</v>
      </c>
      <c r="F175" s="1" t="s">
        <v>328</v>
      </c>
      <c r="G175" s="1">
        <f>IF(ISNA(VLOOKUP(F175,Monster!B:E,4,FALSE)),0,VLOOKUP(F175,Monster!B:E,4,FALSE))</f>
        <v>49</v>
      </c>
      <c r="I175" s="1" t="s">
        <v>1266</v>
      </c>
      <c r="J175" s="1">
        <v>1741</v>
      </c>
      <c r="K175" s="1">
        <v>0</v>
      </c>
      <c r="L175" s="1">
        <v>505</v>
      </c>
      <c r="M175" s="1" t="s">
        <v>79</v>
      </c>
      <c r="O175" s="1">
        <f>((NOT(ISNA(VLOOKUP(M175,Monster!$H$2:$I$6,2,FALSE)))*L175)+J175)*(1+K175/100*0.25)</f>
        <v>1741</v>
      </c>
      <c r="P175" s="1" t="s">
        <v>624</v>
      </c>
      <c r="Q175" s="1">
        <v>2</v>
      </c>
    </row>
    <row r="176" spans="2:17" ht="12.75" hidden="1" x14ac:dyDescent="0.2">
      <c r="C176" s="1" t="s">
        <v>908</v>
      </c>
      <c r="D176" s="1" t="s">
        <v>596</v>
      </c>
      <c r="E176" s="1" t="s">
        <v>1160</v>
      </c>
      <c r="F176" s="1" t="s">
        <v>334</v>
      </c>
      <c r="G176" s="1">
        <f>IF(ISNA(VLOOKUP(F176,Monster!B:E,4,FALSE)),0,VLOOKUP(F176,Monster!B:E,4,FALSE))</f>
        <v>50</v>
      </c>
      <c r="J176" s="1">
        <v>1647</v>
      </c>
      <c r="K176" s="1">
        <v>10</v>
      </c>
      <c r="L176" s="1">
        <v>307</v>
      </c>
      <c r="M176" s="1" t="s">
        <v>79</v>
      </c>
      <c r="O176" s="1">
        <f>((NOT(ISNA(VLOOKUP(M176,Monster!$H$2:$I$6,2,FALSE)))*L176)+J176)*(1+K176/100*0.25)</f>
        <v>1688.175</v>
      </c>
      <c r="P176" s="1" t="s">
        <v>412</v>
      </c>
      <c r="Q176" s="1">
        <v>1</v>
      </c>
    </row>
    <row r="177" spans="2:35" ht="12.75" hidden="1" x14ac:dyDescent="0.2">
      <c r="C177" s="1" t="s">
        <v>913</v>
      </c>
      <c r="D177" s="1" t="s">
        <v>596</v>
      </c>
      <c r="E177" s="1" t="s">
        <v>1160</v>
      </c>
      <c r="F177" s="1" t="s">
        <v>339</v>
      </c>
      <c r="G177" s="1">
        <f>IF(ISNA(VLOOKUP(F177,Monster!B:E,4,FALSE)),0,VLOOKUP(F177,Monster!B:E,4,FALSE))</f>
        <v>51</v>
      </c>
      <c r="J177" s="1">
        <v>1764</v>
      </c>
      <c r="K177" s="1">
        <v>0</v>
      </c>
      <c r="L177" s="1">
        <v>0</v>
      </c>
      <c r="M177" s="1" t="s">
        <v>107</v>
      </c>
      <c r="O177" s="1">
        <f>((NOT(ISNA(VLOOKUP(M177,Monster!$H$2:$I$6,2,FALSE)))*L177)+J177)*(1+K177/100*0.25)</f>
        <v>1764</v>
      </c>
      <c r="P177" s="1" t="s">
        <v>560</v>
      </c>
      <c r="Q177" s="1">
        <v>2</v>
      </c>
    </row>
    <row r="178" spans="2:35" ht="12.75" hidden="1" x14ac:dyDescent="0.2">
      <c r="B178" s="1" t="s">
        <v>1269</v>
      </c>
      <c r="C178" s="1" t="s">
        <v>917</v>
      </c>
      <c r="D178" s="1" t="s">
        <v>596</v>
      </c>
      <c r="E178" s="1" t="s">
        <v>1160</v>
      </c>
      <c r="F178" s="1" t="s">
        <v>343</v>
      </c>
      <c r="G178" s="1">
        <f>IF(ISNA(VLOOKUP(F178,Monster!B:E,4,FALSE)),0,VLOOKUP(F178,Monster!B:E,4,FALSE))</f>
        <v>52</v>
      </c>
      <c r="I178" s="1" t="s">
        <v>1269</v>
      </c>
      <c r="J178" s="1">
        <v>1293</v>
      </c>
      <c r="K178" s="1">
        <v>0</v>
      </c>
      <c r="L178" s="1">
        <v>910</v>
      </c>
      <c r="M178" s="1" t="s">
        <v>66</v>
      </c>
      <c r="O178" s="1">
        <f>((NOT(ISNA(VLOOKUP(M178,Monster!$H$2:$I$6,2,FALSE)))*L178)+J178)*(1+K178/100*0.25)</f>
        <v>2203</v>
      </c>
      <c r="P178" s="1" t="s">
        <v>648</v>
      </c>
      <c r="Q178" s="1">
        <v>1</v>
      </c>
    </row>
    <row r="179" spans="2:35" ht="12.75" hidden="1" x14ac:dyDescent="0.2">
      <c r="B179" s="1" t="s">
        <v>1271</v>
      </c>
      <c r="C179" s="1" t="s">
        <v>922</v>
      </c>
      <c r="D179" s="1" t="s">
        <v>596</v>
      </c>
      <c r="E179" s="1" t="s">
        <v>1160</v>
      </c>
      <c r="F179" s="1" t="s">
        <v>349</v>
      </c>
      <c r="G179" s="1">
        <f>IF(ISNA(VLOOKUP(F179,Monster!B:E,4,FALSE)),0,VLOOKUP(F179,Monster!B:E,4,FALSE))</f>
        <v>53</v>
      </c>
      <c r="I179" s="1" t="s">
        <v>1271</v>
      </c>
      <c r="J179" s="1">
        <v>1738</v>
      </c>
      <c r="K179" s="1">
        <v>40</v>
      </c>
      <c r="L179" s="1">
        <v>0</v>
      </c>
      <c r="M179" s="1" t="s">
        <v>107</v>
      </c>
      <c r="O179" s="1">
        <f>((NOT(ISNA(VLOOKUP(M179,Monster!$H$2:$I$6,2,FALSE)))*L179)+J179)*(1+K179/100*0.25)</f>
        <v>1911.8000000000002</v>
      </c>
      <c r="P179" s="1" t="s">
        <v>535</v>
      </c>
      <c r="Q179" s="1">
        <v>2</v>
      </c>
    </row>
    <row r="180" spans="2:35" ht="12.75" hidden="1" x14ac:dyDescent="0.2">
      <c r="C180" s="1" t="s">
        <v>926</v>
      </c>
      <c r="D180" s="1" t="s">
        <v>596</v>
      </c>
      <c r="E180" s="1" t="s">
        <v>1160</v>
      </c>
      <c r="F180" s="1" t="s">
        <v>354</v>
      </c>
      <c r="G180" s="1">
        <f>IF(ISNA(VLOOKUP(F180,Monster!B:E,4,FALSE)),0,VLOOKUP(F180,Monster!B:E,4,FALSE))</f>
        <v>54</v>
      </c>
      <c r="J180" s="1">
        <v>1328</v>
      </c>
      <c r="K180" s="1">
        <v>20</v>
      </c>
      <c r="L180" s="1">
        <v>1074</v>
      </c>
      <c r="M180" s="1" t="s">
        <v>50</v>
      </c>
      <c r="O180" s="1">
        <f>((NOT(ISNA(VLOOKUP(M180,Monster!$H$2:$I$6,2,FALSE)))*L180)+J180)*(1+K180/100*0.25)</f>
        <v>2522.1</v>
      </c>
      <c r="P180" s="1" t="s">
        <v>677</v>
      </c>
      <c r="Q180" s="1">
        <v>1</v>
      </c>
    </row>
    <row r="181" spans="2:35" ht="12.75" hidden="1" x14ac:dyDescent="0.2">
      <c r="B181" s="1" t="s">
        <v>1276</v>
      </c>
      <c r="C181" s="1" t="s">
        <v>930</v>
      </c>
      <c r="D181" s="1" t="s">
        <v>596</v>
      </c>
      <c r="E181" s="1" t="s">
        <v>1160</v>
      </c>
      <c r="F181" s="1" t="s">
        <v>360</v>
      </c>
      <c r="G181" s="1">
        <f>IF(ISNA(VLOOKUP(F181,Monster!B:E,4,FALSE)),0,VLOOKUP(F181,Monster!B:E,4,FALSE))</f>
        <v>55</v>
      </c>
      <c r="I181" s="1" t="s">
        <v>1277</v>
      </c>
      <c r="J181" s="1">
        <v>1979</v>
      </c>
      <c r="K181" s="1">
        <v>0</v>
      </c>
      <c r="L181" s="1">
        <v>0</v>
      </c>
      <c r="M181" s="1" t="s">
        <v>107</v>
      </c>
      <c r="O181" s="1">
        <f>((NOT(ISNA(VLOOKUP(M181,Monster!$H$2:$I$6,2,FALSE)))*L181)+J181)*(1+K181/100*0.25)</f>
        <v>1979</v>
      </c>
      <c r="P181" s="1" t="s">
        <v>515</v>
      </c>
      <c r="Q181" s="1">
        <v>1</v>
      </c>
    </row>
    <row r="182" spans="2:35" ht="12.75" hidden="1" x14ac:dyDescent="0.2">
      <c r="B182" s="1" t="s">
        <v>1281</v>
      </c>
      <c r="C182" s="1" t="s">
        <v>934</v>
      </c>
      <c r="D182" s="1" t="s">
        <v>596</v>
      </c>
      <c r="E182" s="1" t="s">
        <v>1160</v>
      </c>
      <c r="F182" s="1" t="s">
        <v>365</v>
      </c>
      <c r="G182" s="1">
        <f>IF(ISNA(VLOOKUP(F182,Monster!B:E,4,FALSE)),0,VLOOKUP(F182,Monster!B:E,4,FALSE))</f>
        <v>56</v>
      </c>
      <c r="I182" s="1" t="s">
        <v>1285</v>
      </c>
      <c r="J182" s="1">
        <v>1020</v>
      </c>
      <c r="K182" s="1">
        <v>0</v>
      </c>
      <c r="L182" s="1">
        <v>1173</v>
      </c>
      <c r="M182" s="1" t="s">
        <v>66</v>
      </c>
      <c r="O182" s="1">
        <f>((NOT(ISNA(VLOOKUP(M182,Monster!$H$2:$I$6,2,FALSE)))*L182)+J182)*(1+K182/100*0.25)</f>
        <v>2193</v>
      </c>
      <c r="P182" s="1" t="s">
        <v>659</v>
      </c>
      <c r="Q182" s="1">
        <v>1</v>
      </c>
    </row>
    <row r="183" spans="2:35" ht="12.75" hidden="1" x14ac:dyDescent="0.2">
      <c r="B183" s="1" t="s">
        <v>1287</v>
      </c>
      <c r="C183" s="1" t="s">
        <v>939</v>
      </c>
      <c r="D183" s="1" t="s">
        <v>596</v>
      </c>
      <c r="E183" s="1" t="s">
        <v>1160</v>
      </c>
      <c r="F183" s="1" t="s">
        <v>370</v>
      </c>
      <c r="G183" s="1">
        <f>IF(ISNA(VLOOKUP(F183,Monster!B:E,4,FALSE)),0,VLOOKUP(F183,Monster!B:E,4,FALSE))</f>
        <v>57</v>
      </c>
      <c r="I183" s="1" t="s">
        <v>1288</v>
      </c>
      <c r="J183" s="1">
        <v>1197</v>
      </c>
      <c r="K183" s="1">
        <v>20</v>
      </c>
      <c r="L183" s="1">
        <v>1154</v>
      </c>
      <c r="M183" s="1" t="s">
        <v>41</v>
      </c>
      <c r="O183" s="1">
        <f>((NOT(ISNA(VLOOKUP(M183,Monster!$H$2:$I$6,2,FALSE)))*L183)+J183)*(1+K183/100*0.25)</f>
        <v>2468.5500000000002</v>
      </c>
      <c r="P183" s="1" t="s">
        <v>615</v>
      </c>
      <c r="Q183" s="1">
        <v>2</v>
      </c>
    </row>
    <row r="184" spans="2:35" ht="12.75" hidden="1" x14ac:dyDescent="0.2">
      <c r="B184" s="3" t="s">
        <v>1292</v>
      </c>
      <c r="C184" s="3" t="s">
        <v>943</v>
      </c>
      <c r="D184" s="3" t="s">
        <v>596</v>
      </c>
      <c r="E184" s="1" t="s">
        <v>1160</v>
      </c>
      <c r="F184" s="3" t="s">
        <v>374</v>
      </c>
      <c r="G184" s="4">
        <f>IF(ISNA(VLOOKUP(F184,Monster!B:E,4,FALSE)),0,VLOOKUP(F184,Monster!B:E,4,FALSE))</f>
        <v>58</v>
      </c>
      <c r="H184" s="3"/>
      <c r="I184" s="3" t="s">
        <v>1292</v>
      </c>
      <c r="J184" s="4">
        <v>1205</v>
      </c>
      <c r="K184" s="4">
        <v>0</v>
      </c>
      <c r="L184" s="4">
        <v>1305</v>
      </c>
      <c r="M184" s="3" t="s">
        <v>71</v>
      </c>
      <c r="N184" s="3"/>
      <c r="O184" s="4">
        <f>((NOT(ISNA(VLOOKUP(M184,Monster!$H$2:$I$6,2,FALSE)))*L184)+J184)*(1+K184/100*0.25)</f>
        <v>2510</v>
      </c>
      <c r="P184" s="3" t="s">
        <v>689</v>
      </c>
      <c r="Q184" s="4">
        <v>1</v>
      </c>
      <c r="R184" s="3" t="s">
        <v>372</v>
      </c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</row>
    <row r="185" spans="2:35" ht="12.75" hidden="1" x14ac:dyDescent="0.2">
      <c r="B185" s="1" t="s">
        <v>1297</v>
      </c>
      <c r="C185" s="1" t="s">
        <v>949</v>
      </c>
      <c r="D185" s="1" t="s">
        <v>596</v>
      </c>
      <c r="E185" s="1" t="s">
        <v>1160</v>
      </c>
      <c r="F185" s="1"/>
      <c r="G185" s="1">
        <f>IF(ISNA(VLOOKUP(F185,Monster!B:E,4,FALSE)),0,VLOOKUP(F185,Monster!B:E,4,FALSE))</f>
        <v>0</v>
      </c>
      <c r="I185" s="1" t="s">
        <v>1298</v>
      </c>
      <c r="J185" s="1">
        <v>1596</v>
      </c>
      <c r="K185" s="1">
        <v>0</v>
      </c>
      <c r="L185" s="1">
        <v>0</v>
      </c>
      <c r="M185" s="1" t="s">
        <v>107</v>
      </c>
      <c r="O185" s="1">
        <f>((NOT(ISNA(VLOOKUP(M185,Monster!$H$2:$I$6,2,FALSE)))*L185)+J185)*(1+K185/100*0.25)</f>
        <v>1596</v>
      </c>
      <c r="P185" s="1" t="s">
        <v>158</v>
      </c>
      <c r="Q185" s="1">
        <v>1</v>
      </c>
    </row>
    <row r="186" spans="2:35" ht="12.75" hidden="1" x14ac:dyDescent="0.2">
      <c r="B186" s="1" t="s">
        <v>1299</v>
      </c>
      <c r="C186" s="1" t="s">
        <v>958</v>
      </c>
      <c r="D186" s="1" t="s">
        <v>596</v>
      </c>
      <c r="E186" s="1" t="s">
        <v>1160</v>
      </c>
      <c r="F186" s="1"/>
      <c r="G186" s="1">
        <f>IF(ISNA(VLOOKUP(F186,Monster!B:E,4,FALSE)),0,VLOOKUP(F186,Monster!B:E,4,FALSE))</f>
        <v>0</v>
      </c>
      <c r="I186" s="1" t="s">
        <v>1300</v>
      </c>
      <c r="J186" s="1">
        <v>1878</v>
      </c>
      <c r="K186" s="1">
        <v>0</v>
      </c>
      <c r="L186" s="1">
        <v>0</v>
      </c>
      <c r="M186" s="1" t="s">
        <v>107</v>
      </c>
      <c r="O186" s="1">
        <f>((NOT(ISNA(VLOOKUP(M186,Monster!$H$2:$I$6,2,FALSE)))*L186)+J186)*(1+K186/100*0.25)</f>
        <v>1878</v>
      </c>
      <c r="P186" s="1" t="s">
        <v>412</v>
      </c>
      <c r="Q186" s="1">
        <v>1</v>
      </c>
    </row>
    <row r="187" spans="2:35" ht="12.75" hidden="1" x14ac:dyDescent="0.2">
      <c r="B187" s="1" t="s">
        <v>1301</v>
      </c>
      <c r="C187" s="1" t="s">
        <v>1302</v>
      </c>
      <c r="D187" s="1" t="s">
        <v>596</v>
      </c>
      <c r="E187" s="1" t="s">
        <v>1160</v>
      </c>
      <c r="F187" s="1"/>
      <c r="G187" s="1">
        <f>IF(ISNA(VLOOKUP(F187,Monster!B:E,4,FALSE)),0,VLOOKUP(F187,Monster!B:E,4,FALSE))</f>
        <v>0</v>
      </c>
      <c r="I187" s="1" t="s">
        <v>1301</v>
      </c>
      <c r="J187" s="1">
        <v>1893</v>
      </c>
      <c r="K187" s="1">
        <v>0</v>
      </c>
      <c r="L187" s="1">
        <v>0</v>
      </c>
      <c r="M187" s="1" t="s">
        <v>107</v>
      </c>
      <c r="O187" s="1">
        <f>((NOT(ISNA(VLOOKUP(M187,Monster!$H$2:$I$6,2,FALSE)))*L187)+J187)*(1+K187/100*0.25)</f>
        <v>1893</v>
      </c>
      <c r="P187" s="1" t="s">
        <v>77</v>
      </c>
      <c r="Q187" s="1">
        <v>1</v>
      </c>
    </row>
    <row r="188" spans="2:35" ht="12.75" hidden="1" x14ac:dyDescent="0.2">
      <c r="B188" s="1" t="s">
        <v>1303</v>
      </c>
      <c r="C188" s="1" t="s">
        <v>34</v>
      </c>
      <c r="D188" s="1" t="s">
        <v>596</v>
      </c>
      <c r="E188" s="1" t="s">
        <v>1304</v>
      </c>
      <c r="F188" s="1"/>
      <c r="G188" s="1">
        <f>IF(ISNA(VLOOKUP(F188,Monster!B:E,4,FALSE)),0,VLOOKUP(F188,Monster!B:E,4,FALSE))</f>
        <v>0</v>
      </c>
      <c r="I188" s="1" t="s">
        <v>1305</v>
      </c>
      <c r="J188" s="1">
        <v>1596</v>
      </c>
      <c r="K188" s="1">
        <v>0</v>
      </c>
      <c r="L188" s="1">
        <v>0</v>
      </c>
      <c r="M188" s="1" t="s">
        <v>107</v>
      </c>
      <c r="O188" s="1">
        <f>((NOT(ISNA(VLOOKUP(M188,Monster!$H$2:$I$6,2,FALSE)))*L188)+J188)*(1+K188/100*0.25)</f>
        <v>1596</v>
      </c>
      <c r="P188" s="1" t="s">
        <v>410</v>
      </c>
      <c r="Q188" s="1">
        <v>2</v>
      </c>
    </row>
    <row r="189" spans="2:35" ht="12.75" hidden="1" x14ac:dyDescent="0.2">
      <c r="B189" s="1"/>
      <c r="C189" s="1" t="s">
        <v>324</v>
      </c>
      <c r="D189" s="1" t="s">
        <v>596</v>
      </c>
      <c r="E189" s="1" t="s">
        <v>1304</v>
      </c>
      <c r="F189" s="1" t="s">
        <v>11</v>
      </c>
      <c r="G189" s="1">
        <f>IF(ISNA(VLOOKUP(F189,Monster!B:E,4,FALSE)),0,VLOOKUP(F189,Monster!B:E,4,FALSE))</f>
        <v>1</v>
      </c>
      <c r="J189" s="1">
        <v>1373</v>
      </c>
      <c r="K189" s="1">
        <v>0</v>
      </c>
      <c r="L189" s="1">
        <v>607</v>
      </c>
      <c r="M189" s="1" t="s">
        <v>50</v>
      </c>
      <c r="O189" s="1">
        <f>((NOT(ISNA(VLOOKUP(M189,Monster!$H$2:$I$6,2,FALSE)))*L189)+J189)*(1+K189/100*0.25)</f>
        <v>1980</v>
      </c>
      <c r="P189" s="1" t="s">
        <v>348</v>
      </c>
      <c r="Q189" s="1">
        <v>2</v>
      </c>
    </row>
    <row r="190" spans="2:35" ht="12.75" hidden="1" x14ac:dyDescent="0.2">
      <c r="B190" s="1" t="s">
        <v>1306</v>
      </c>
      <c r="C190" s="1" t="s">
        <v>439</v>
      </c>
      <c r="D190" s="1" t="s">
        <v>596</v>
      </c>
      <c r="E190" s="1" t="s">
        <v>1304</v>
      </c>
      <c r="F190" s="1" t="s">
        <v>47</v>
      </c>
      <c r="G190" s="1">
        <f>IF(ISNA(VLOOKUP(F190,Monster!B:E,4,FALSE)),0,VLOOKUP(F190,Monster!B:E,4,FALSE))</f>
        <v>2</v>
      </c>
      <c r="I190" s="1" t="s">
        <v>1307</v>
      </c>
      <c r="J190" s="1">
        <v>1596</v>
      </c>
      <c r="K190" s="1">
        <v>30</v>
      </c>
      <c r="L190" s="1">
        <v>0</v>
      </c>
      <c r="M190" s="1" t="s">
        <v>107</v>
      </c>
      <c r="O190" s="1">
        <f>((NOT(ISNA(VLOOKUP(M190,Monster!$H$2:$I$6,2,FALSE)))*L190)+J190)*(1+K190/100*0.25)</f>
        <v>1715.6999999999998</v>
      </c>
      <c r="P190" s="1" t="s">
        <v>319</v>
      </c>
      <c r="Q190" s="1">
        <v>2</v>
      </c>
    </row>
    <row r="191" spans="2:35" ht="12.75" hidden="1" x14ac:dyDescent="0.2">
      <c r="B191" s="1"/>
      <c r="C191" s="1" t="s">
        <v>541</v>
      </c>
      <c r="D191" s="1" t="s">
        <v>596</v>
      </c>
      <c r="E191" s="1" t="s">
        <v>1304</v>
      </c>
      <c r="F191" s="1" t="s">
        <v>52</v>
      </c>
      <c r="G191" s="1">
        <f>IF(ISNA(VLOOKUP(F191,Monster!B:E,4,FALSE)),0,VLOOKUP(F191,Monster!B:E,4,FALSE))</f>
        <v>3</v>
      </c>
      <c r="J191" s="1">
        <v>1596</v>
      </c>
      <c r="K191" s="1">
        <v>0</v>
      </c>
      <c r="L191" s="1">
        <v>400</v>
      </c>
      <c r="M191" s="1" t="s">
        <v>79</v>
      </c>
      <c r="O191" s="1">
        <f>((NOT(ISNA(VLOOKUP(M191,Monster!$H$2:$I$6,2,FALSE)))*L191)+J191)*(1+K191/100*0.25)</f>
        <v>1596</v>
      </c>
      <c r="P191" s="1" t="s">
        <v>590</v>
      </c>
      <c r="Q191" s="1">
        <v>1</v>
      </c>
    </row>
    <row r="192" spans="2:35" ht="12.75" hidden="1" x14ac:dyDescent="0.2">
      <c r="B192" s="1"/>
      <c r="C192" s="1" t="s">
        <v>617</v>
      </c>
      <c r="D192" s="1" t="s">
        <v>596</v>
      </c>
      <c r="E192" s="1" t="s">
        <v>1304</v>
      </c>
      <c r="F192" s="1" t="s">
        <v>60</v>
      </c>
      <c r="G192" s="1">
        <f>IF(ISNA(VLOOKUP(F192,Monster!B:E,4,FALSE)),0,VLOOKUP(F192,Monster!B:E,4,FALSE))</f>
        <v>4</v>
      </c>
      <c r="J192" s="1">
        <v>1221</v>
      </c>
      <c r="K192" s="1">
        <v>0</v>
      </c>
      <c r="L192" s="1">
        <v>1142</v>
      </c>
      <c r="M192" s="1" t="s">
        <v>50</v>
      </c>
      <c r="O192" s="1">
        <f>((NOT(ISNA(VLOOKUP(M192,Monster!$H$2:$I$6,2,FALSE)))*L192)+J192)*(1+K192/100*0.25)</f>
        <v>2363</v>
      </c>
      <c r="P192" s="1" t="s">
        <v>244</v>
      </c>
      <c r="Q192" s="1">
        <v>1</v>
      </c>
    </row>
    <row r="193" spans="2:17" ht="12.75" hidden="1" x14ac:dyDescent="0.2">
      <c r="B193" s="1"/>
      <c r="C193" s="1" t="s">
        <v>696</v>
      </c>
      <c r="D193" s="1" t="s">
        <v>596</v>
      </c>
      <c r="E193" s="1" t="s">
        <v>1304</v>
      </c>
      <c r="F193" s="1" t="s">
        <v>69</v>
      </c>
      <c r="G193" s="1">
        <f>IF(ISNA(VLOOKUP(F193,Monster!B:E,4,FALSE)),0,VLOOKUP(F193,Monster!B:E,4,FALSE))</f>
        <v>5</v>
      </c>
      <c r="J193" s="1">
        <v>1756</v>
      </c>
      <c r="K193" s="1">
        <v>0</v>
      </c>
      <c r="L193" s="1">
        <v>0</v>
      </c>
      <c r="M193" s="1" t="s">
        <v>107</v>
      </c>
      <c r="O193" s="1">
        <f>((NOT(ISNA(VLOOKUP(M193,Monster!$H$2:$I$6,2,FALSE)))*L193)+J193)*(1+K193/100*0.25)</f>
        <v>1756</v>
      </c>
      <c r="P193" s="1" t="s">
        <v>213</v>
      </c>
      <c r="Q193" s="1">
        <v>2</v>
      </c>
    </row>
    <row r="194" spans="2:17" ht="12.75" hidden="1" x14ac:dyDescent="0.2">
      <c r="B194" s="1"/>
      <c r="C194" s="1" t="s">
        <v>719</v>
      </c>
      <c r="D194" s="1" t="s">
        <v>596</v>
      </c>
      <c r="E194" s="1" t="s">
        <v>1304</v>
      </c>
      <c r="F194" s="1" t="s">
        <v>75</v>
      </c>
      <c r="G194" s="1">
        <f>IF(ISNA(VLOOKUP(F194,Monster!B:E,4,FALSE)),0,VLOOKUP(F194,Monster!B:E,4,FALSE))</f>
        <v>6</v>
      </c>
      <c r="J194" s="1">
        <v>1596</v>
      </c>
      <c r="K194" s="1">
        <v>0</v>
      </c>
      <c r="L194" s="1">
        <v>400</v>
      </c>
      <c r="M194" s="1" t="s">
        <v>87</v>
      </c>
      <c r="O194" s="1">
        <f>((NOT(ISNA(VLOOKUP(M194,Monster!$H$2:$I$6,2,FALSE)))*L194)+J194)*(1+K194/100*0.25)</f>
        <v>1596</v>
      </c>
      <c r="P194" s="1" t="s">
        <v>590</v>
      </c>
      <c r="Q194" s="1">
        <v>1</v>
      </c>
    </row>
    <row r="195" spans="2:17" ht="12.75" hidden="1" x14ac:dyDescent="0.2">
      <c r="B195" s="1" t="s">
        <v>1308</v>
      </c>
      <c r="C195" s="1" t="s">
        <v>729</v>
      </c>
      <c r="D195" s="1" t="s">
        <v>596</v>
      </c>
      <c r="E195" s="1" t="s">
        <v>1304</v>
      </c>
      <c r="F195" s="1" t="s">
        <v>81</v>
      </c>
      <c r="G195" s="1">
        <f>IF(ISNA(VLOOKUP(F195,Monster!B:E,4,FALSE)),0,VLOOKUP(F195,Monster!B:E,4,FALSE))</f>
        <v>7</v>
      </c>
      <c r="I195" s="1" t="s">
        <v>1309</v>
      </c>
      <c r="J195" s="1">
        <v>1293</v>
      </c>
      <c r="K195" s="1">
        <v>0</v>
      </c>
      <c r="L195" s="1">
        <v>910</v>
      </c>
      <c r="M195" s="1" t="s">
        <v>58</v>
      </c>
      <c r="O195" s="1">
        <f>((NOT(ISNA(VLOOKUP(M195,Monster!$H$2:$I$6,2,FALSE)))*L195)+J195)*(1+K195/100*0.25)</f>
        <v>2203</v>
      </c>
      <c r="P195" s="1" t="s">
        <v>253</v>
      </c>
      <c r="Q195" s="1">
        <v>1</v>
      </c>
    </row>
    <row r="196" spans="2:17" ht="12.75" hidden="1" x14ac:dyDescent="0.2">
      <c r="B196" s="1"/>
      <c r="C196" s="1" t="s">
        <v>735</v>
      </c>
      <c r="D196" s="1" t="s">
        <v>596</v>
      </c>
      <c r="E196" s="1" t="s">
        <v>1304</v>
      </c>
      <c r="F196" s="1" t="s">
        <v>91</v>
      </c>
      <c r="G196" s="1">
        <f>IF(ISNA(VLOOKUP(F196,Monster!B:E,4,FALSE)),0,VLOOKUP(F196,Monster!B:E,4,FALSE))</f>
        <v>8</v>
      </c>
      <c r="J196" s="1">
        <v>1764</v>
      </c>
      <c r="K196" s="1">
        <v>0</v>
      </c>
      <c r="L196" s="1">
        <v>0</v>
      </c>
      <c r="M196" s="1" t="s">
        <v>107</v>
      </c>
      <c r="O196" s="1">
        <f>((NOT(ISNA(VLOOKUP(M196,Monster!$H$2:$I$6,2,FALSE)))*L196)+J196)*(1+K196/100*0.25)</f>
        <v>1764</v>
      </c>
      <c r="P196" s="1" t="s">
        <v>228</v>
      </c>
      <c r="Q196" s="1">
        <v>2</v>
      </c>
    </row>
    <row r="197" spans="2:17" ht="12.75" hidden="1" x14ac:dyDescent="0.2">
      <c r="B197" s="1"/>
      <c r="C197" s="1" t="s">
        <v>740</v>
      </c>
      <c r="D197" s="1" t="s">
        <v>596</v>
      </c>
      <c r="E197" s="1" t="s">
        <v>1304</v>
      </c>
      <c r="F197" s="1" t="s">
        <v>97</v>
      </c>
      <c r="G197" s="1">
        <f>IF(ISNA(VLOOKUP(F197,Monster!B:E,4,FALSE)),0,VLOOKUP(F197,Monster!B:E,4,FALSE))</f>
        <v>9</v>
      </c>
      <c r="J197" s="1">
        <v>1756</v>
      </c>
      <c r="K197" s="1">
        <v>0</v>
      </c>
      <c r="L197" s="1">
        <v>300</v>
      </c>
      <c r="M197" s="1" t="s">
        <v>95</v>
      </c>
      <c r="O197" s="1">
        <f>((NOT(ISNA(VLOOKUP(M197,Monster!$H$2:$I$6,2,FALSE)))*L197)+J197)*(1+K197/100*0.25)</f>
        <v>1756</v>
      </c>
      <c r="P197" s="1" t="s">
        <v>590</v>
      </c>
      <c r="Q197" s="1">
        <v>1</v>
      </c>
    </row>
    <row r="198" spans="2:17" ht="12.75" hidden="1" x14ac:dyDescent="0.2">
      <c r="B198" s="1" t="s">
        <v>1310</v>
      </c>
      <c r="C198" s="1" t="s">
        <v>745</v>
      </c>
      <c r="D198" s="1" t="s">
        <v>596</v>
      </c>
      <c r="E198" s="1" t="s">
        <v>1304</v>
      </c>
      <c r="F198" s="1" t="s">
        <v>102</v>
      </c>
      <c r="G198" s="1">
        <f>IF(ISNA(VLOOKUP(F198,Monster!B:E,4,FALSE)),0,VLOOKUP(F198,Monster!B:E,4,FALSE))</f>
        <v>10</v>
      </c>
      <c r="I198" s="1" t="s">
        <v>1311</v>
      </c>
      <c r="J198" s="1">
        <v>1293</v>
      </c>
      <c r="K198" s="1">
        <v>0</v>
      </c>
      <c r="L198" s="1">
        <v>910</v>
      </c>
      <c r="M198" s="1" t="s">
        <v>50</v>
      </c>
      <c r="O198" s="1">
        <f>((NOT(ISNA(VLOOKUP(M198,Monster!$H$2:$I$6,2,FALSE)))*L198)+J198)*(1+K198/100*0.25)</f>
        <v>2203</v>
      </c>
      <c r="P198" s="1" t="s">
        <v>394</v>
      </c>
      <c r="Q198" s="1">
        <v>1</v>
      </c>
    </row>
    <row r="199" spans="2:17" ht="12.75" hidden="1" x14ac:dyDescent="0.2">
      <c r="B199" s="1" t="s">
        <v>1312</v>
      </c>
      <c r="C199" s="1" t="s">
        <v>750</v>
      </c>
      <c r="D199" s="1" t="s">
        <v>596</v>
      </c>
      <c r="E199" s="1" t="s">
        <v>1304</v>
      </c>
      <c r="F199" s="1" t="s">
        <v>109</v>
      </c>
      <c r="G199" s="1">
        <f>IF(ISNA(VLOOKUP(F199,Monster!B:E,4,FALSE)),0,VLOOKUP(F199,Monster!B:E,4,FALSE))</f>
        <v>11</v>
      </c>
      <c r="I199" s="1" t="s">
        <v>1313</v>
      </c>
      <c r="J199" s="1">
        <v>1293</v>
      </c>
      <c r="K199" s="1">
        <v>0</v>
      </c>
      <c r="L199" s="1">
        <v>910</v>
      </c>
      <c r="M199" s="1" t="s">
        <v>41</v>
      </c>
      <c r="O199" s="1">
        <f>((NOT(ISNA(VLOOKUP(M199,Monster!$H$2:$I$6,2,FALSE)))*L199)+J199)*(1+K199/100*0.25)</f>
        <v>2203</v>
      </c>
      <c r="P199" s="1" t="s">
        <v>543</v>
      </c>
      <c r="Q199" s="1">
        <v>1</v>
      </c>
    </row>
    <row r="200" spans="2:17" ht="12.75" hidden="1" x14ac:dyDescent="0.2">
      <c r="B200" s="1" t="s">
        <v>1314</v>
      </c>
      <c r="C200" s="1" t="s">
        <v>756</v>
      </c>
      <c r="D200" s="1" t="s">
        <v>596</v>
      </c>
      <c r="E200" s="1" t="s">
        <v>1304</v>
      </c>
      <c r="F200" s="1" t="s">
        <v>119</v>
      </c>
      <c r="G200" s="1">
        <f>IF(ISNA(VLOOKUP(F200,Monster!B:E,4,FALSE)),0,VLOOKUP(F200,Monster!B:E,4,FALSE))</f>
        <v>12</v>
      </c>
      <c r="I200" s="1" t="s">
        <v>1314</v>
      </c>
      <c r="J200" s="1">
        <v>1197</v>
      </c>
      <c r="K200" s="1">
        <v>20</v>
      </c>
      <c r="L200" s="1">
        <v>1154</v>
      </c>
      <c r="M200" s="1" t="s">
        <v>58</v>
      </c>
      <c r="O200" s="1">
        <f>((NOT(ISNA(VLOOKUP(M200,Monster!$H$2:$I$6,2,FALSE)))*L200)+J200)*(1+K200/100*0.25)</f>
        <v>2468.5500000000002</v>
      </c>
      <c r="P200" s="1" t="s">
        <v>175</v>
      </c>
      <c r="Q200" s="1">
        <v>1</v>
      </c>
    </row>
    <row r="201" spans="2:17" ht="12.75" hidden="1" x14ac:dyDescent="0.2">
      <c r="B201" s="1" t="s">
        <v>1315</v>
      </c>
      <c r="C201" s="1" t="s">
        <v>761</v>
      </c>
      <c r="D201" s="1" t="s">
        <v>596</v>
      </c>
      <c r="E201" s="1" t="s">
        <v>1304</v>
      </c>
      <c r="F201" s="1" t="s">
        <v>125</v>
      </c>
      <c r="G201" s="1">
        <f>IF(ISNA(VLOOKUP(F201,Monster!B:E,4,FALSE)),0,VLOOKUP(F201,Monster!B:E,4,FALSE))</f>
        <v>13</v>
      </c>
      <c r="I201" s="1" t="s">
        <v>1316</v>
      </c>
      <c r="J201" s="1">
        <v>1516</v>
      </c>
      <c r="K201" s="1">
        <v>0</v>
      </c>
      <c r="L201" s="1">
        <v>496</v>
      </c>
      <c r="M201" s="1" t="s">
        <v>79</v>
      </c>
      <c r="O201" s="1">
        <f>((NOT(ISNA(VLOOKUP(M201,Monster!$H$2:$I$6,2,FALSE)))*L201)+J201)*(1+K201/100*0.25)</f>
        <v>1516</v>
      </c>
      <c r="P201" s="1" t="s">
        <v>348</v>
      </c>
      <c r="Q201" s="1">
        <v>2</v>
      </c>
    </row>
    <row r="202" spans="2:17" ht="12.75" hidden="1" x14ac:dyDescent="0.2">
      <c r="B202" s="1" t="s">
        <v>1317</v>
      </c>
      <c r="C202" s="1" t="s">
        <v>766</v>
      </c>
      <c r="D202" s="1" t="s">
        <v>596</v>
      </c>
      <c r="E202" s="1" t="s">
        <v>1304</v>
      </c>
      <c r="F202" s="1" t="s">
        <v>131</v>
      </c>
      <c r="G202" s="1">
        <f>IF(ISNA(VLOOKUP(F202,Monster!B:E,4,FALSE)),0,VLOOKUP(F202,Monster!B:E,4,FALSE))</f>
        <v>14</v>
      </c>
      <c r="I202" s="1" t="s">
        <v>1318</v>
      </c>
      <c r="J202" s="1">
        <v>1756</v>
      </c>
      <c r="K202" s="1">
        <v>0</v>
      </c>
      <c r="L202" s="1">
        <v>300</v>
      </c>
      <c r="M202" s="1" t="s">
        <v>79</v>
      </c>
      <c r="O202" s="1">
        <f>((NOT(ISNA(VLOOKUP(M202,Monster!$H$2:$I$6,2,FALSE)))*L202)+J202)*(1+K202/100*0.25)</f>
        <v>1756</v>
      </c>
      <c r="P202" s="1" t="s">
        <v>253</v>
      </c>
      <c r="Q202" s="1">
        <v>1</v>
      </c>
    </row>
    <row r="203" spans="2:17" ht="12.75" hidden="1" x14ac:dyDescent="0.2">
      <c r="B203" s="1" t="s">
        <v>1319</v>
      </c>
      <c r="C203" s="1" t="s">
        <v>771</v>
      </c>
      <c r="D203" s="1" t="s">
        <v>596</v>
      </c>
      <c r="E203" s="1" t="s">
        <v>1304</v>
      </c>
      <c r="F203" s="1" t="s">
        <v>137</v>
      </c>
      <c r="G203" s="1">
        <f>IF(ISNA(VLOOKUP(F203,Monster!B:E,4,FALSE)),0,VLOOKUP(F203,Monster!B:E,4,FALSE))</f>
        <v>15</v>
      </c>
      <c r="I203" s="1" t="s">
        <v>1319</v>
      </c>
      <c r="J203" s="1">
        <v>1675</v>
      </c>
      <c r="K203" s="1">
        <v>30</v>
      </c>
      <c r="L203" s="1">
        <v>399</v>
      </c>
      <c r="M203" s="1" t="s">
        <v>79</v>
      </c>
      <c r="O203" s="1">
        <f>((NOT(ISNA(VLOOKUP(M203,Monster!$H$2:$I$6,2,FALSE)))*L203)+J203)*(1+K203/100*0.25)</f>
        <v>1800.625</v>
      </c>
      <c r="P203" s="1" t="s">
        <v>483</v>
      </c>
      <c r="Q203" s="1">
        <v>2</v>
      </c>
    </row>
    <row r="204" spans="2:17" ht="12.75" hidden="1" x14ac:dyDescent="0.2">
      <c r="B204" s="1" t="s">
        <v>1320</v>
      </c>
      <c r="C204" s="1" t="s">
        <v>775</v>
      </c>
      <c r="D204" s="1" t="s">
        <v>596</v>
      </c>
      <c r="E204" s="1" t="s">
        <v>1304</v>
      </c>
      <c r="F204" s="1" t="s">
        <v>146</v>
      </c>
      <c r="G204" s="1">
        <f>IF(ISNA(VLOOKUP(F204,Monster!B:E,4,FALSE)),0,VLOOKUP(F204,Monster!B:E,4,FALSE))</f>
        <v>16</v>
      </c>
      <c r="I204" s="1" t="s">
        <v>1321</v>
      </c>
      <c r="J204" s="1">
        <v>1221</v>
      </c>
      <c r="K204" s="1">
        <v>0</v>
      </c>
      <c r="L204" s="1">
        <v>1142</v>
      </c>
      <c r="M204" s="1" t="s">
        <v>66</v>
      </c>
      <c r="O204" s="1">
        <f>((NOT(ISNA(VLOOKUP(M204,Monster!$H$2:$I$6,2,FALSE)))*L204)+J204)*(1+K204/100*0.25)</f>
        <v>2363</v>
      </c>
      <c r="P204" s="1" t="s">
        <v>228</v>
      </c>
      <c r="Q204" s="1">
        <v>2</v>
      </c>
    </row>
    <row r="205" spans="2:17" ht="12.75" hidden="1" x14ac:dyDescent="0.2">
      <c r="C205" s="1" t="s">
        <v>779</v>
      </c>
      <c r="D205" s="1" t="s">
        <v>596</v>
      </c>
      <c r="E205" s="1" t="s">
        <v>1304</v>
      </c>
      <c r="F205" s="1" t="s">
        <v>151</v>
      </c>
      <c r="G205" s="1">
        <f>IF(ISNA(VLOOKUP(F205,Monster!B:E,4,FALSE)),0,VLOOKUP(F205,Monster!B:E,4,FALSE))</f>
        <v>17</v>
      </c>
      <c r="J205" s="1">
        <v>1979</v>
      </c>
      <c r="K205" s="1">
        <v>0</v>
      </c>
      <c r="L205" s="1">
        <v>0</v>
      </c>
      <c r="M205" s="1" t="s">
        <v>107</v>
      </c>
      <c r="O205" s="1">
        <f>((NOT(ISNA(VLOOKUP(M205,Monster!$H$2:$I$6,2,FALSE)))*L205)+J205)*(1+K205/100*0.25)</f>
        <v>1979</v>
      </c>
      <c r="P205" s="1" t="s">
        <v>364</v>
      </c>
      <c r="Q205" s="1">
        <v>1</v>
      </c>
    </row>
    <row r="206" spans="2:17" ht="12.75" hidden="1" x14ac:dyDescent="0.2">
      <c r="C206" s="1" t="s">
        <v>782</v>
      </c>
      <c r="D206" s="1" t="s">
        <v>596</v>
      </c>
      <c r="E206" s="1" t="s">
        <v>1304</v>
      </c>
      <c r="F206" s="1" t="s">
        <v>155</v>
      </c>
      <c r="G206" s="1">
        <f>IF(ISNA(VLOOKUP(F206,Monster!B:E,4,FALSE)),0,VLOOKUP(F206,Monster!B:E,4,FALSE))</f>
        <v>18</v>
      </c>
      <c r="J206" s="1">
        <v>2218</v>
      </c>
      <c r="K206" s="1">
        <v>-30</v>
      </c>
      <c r="L206" s="1">
        <v>0</v>
      </c>
      <c r="M206" s="1" t="s">
        <v>107</v>
      </c>
      <c r="O206" s="1">
        <f>((NOT(ISNA(VLOOKUP(M206,Monster!$H$2:$I$6,2,FALSE)))*L206)+J206)*(1+K206/100*0.25)</f>
        <v>2051.65</v>
      </c>
      <c r="P206" s="1" t="s">
        <v>463</v>
      </c>
      <c r="Q206" s="1">
        <v>1</v>
      </c>
    </row>
    <row r="207" spans="2:17" ht="12.75" hidden="1" x14ac:dyDescent="0.2">
      <c r="B207" s="1" t="s">
        <v>1322</v>
      </c>
      <c r="C207" s="1" t="s">
        <v>786</v>
      </c>
      <c r="D207" s="1" t="s">
        <v>596</v>
      </c>
      <c r="E207" s="1" t="s">
        <v>1304</v>
      </c>
      <c r="F207" s="1" t="s">
        <v>160</v>
      </c>
      <c r="G207" s="1">
        <f>IF(ISNA(VLOOKUP(F207,Monster!B:E,4,FALSE)),0,VLOOKUP(F207,Monster!B:E,4,FALSE))</f>
        <v>19</v>
      </c>
      <c r="I207" s="1" t="s">
        <v>1323</v>
      </c>
      <c r="J207" s="1">
        <v>1221</v>
      </c>
      <c r="K207" s="1">
        <v>0</v>
      </c>
      <c r="L207" s="1">
        <v>1142</v>
      </c>
      <c r="M207" s="1" t="s">
        <v>41</v>
      </c>
      <c r="O207" s="1">
        <f>((NOT(ISNA(VLOOKUP(M207,Monster!$H$2:$I$6,2,FALSE)))*L207)+J207)*(1+K207/100*0.25)</f>
        <v>2363</v>
      </c>
      <c r="P207" s="1" t="s">
        <v>244</v>
      </c>
      <c r="Q207" s="1">
        <v>1</v>
      </c>
    </row>
    <row r="208" spans="2:17" ht="12.75" hidden="1" x14ac:dyDescent="0.2">
      <c r="B208" s="1" t="s">
        <v>1324</v>
      </c>
      <c r="C208" s="1" t="s">
        <v>790</v>
      </c>
      <c r="D208" s="1" t="s">
        <v>596</v>
      </c>
      <c r="E208" s="1" t="s">
        <v>1304</v>
      </c>
      <c r="F208" s="1" t="s">
        <v>165</v>
      </c>
      <c r="G208" s="1">
        <f>IF(ISNA(VLOOKUP(F208,Monster!B:E,4,FALSE)),0,VLOOKUP(F208,Monster!B:E,4,FALSE))</f>
        <v>20</v>
      </c>
      <c r="I208" s="1" t="s">
        <v>1325</v>
      </c>
      <c r="J208" s="1">
        <v>1682</v>
      </c>
      <c r="K208" s="1">
        <v>0</v>
      </c>
      <c r="L208" s="1">
        <v>605</v>
      </c>
      <c r="M208" s="1" t="s">
        <v>41</v>
      </c>
      <c r="O208" s="1">
        <f>((NOT(ISNA(VLOOKUP(M208,Monster!$H$2:$I$6,2,FALSE)))*L208)+J208)*(1+K208/100*0.25)</f>
        <v>2287</v>
      </c>
      <c r="P208" s="1" t="s">
        <v>602</v>
      </c>
      <c r="Q208" s="1">
        <v>1</v>
      </c>
    </row>
    <row r="209" spans="2:17" ht="12.75" hidden="1" x14ac:dyDescent="0.2">
      <c r="B209" s="1" t="s">
        <v>1326</v>
      </c>
      <c r="C209" s="1" t="s">
        <v>794</v>
      </c>
      <c r="D209" s="1" t="s">
        <v>596</v>
      </c>
      <c r="E209" s="1" t="s">
        <v>1304</v>
      </c>
      <c r="F209" s="1" t="s">
        <v>171</v>
      </c>
      <c r="G209" s="1">
        <f>IF(ISNA(VLOOKUP(F209,Monster!B:E,4,FALSE)),0,VLOOKUP(F209,Monster!B:E,4,FALSE))</f>
        <v>21</v>
      </c>
      <c r="I209" s="1" t="s">
        <v>1326</v>
      </c>
      <c r="J209" s="1">
        <v>1258</v>
      </c>
      <c r="K209" s="1">
        <v>30</v>
      </c>
      <c r="L209" s="1">
        <v>1082</v>
      </c>
      <c r="M209" s="1" t="s">
        <v>41</v>
      </c>
      <c r="O209" s="1">
        <f>((NOT(ISNA(VLOOKUP(M209,Monster!$H$2:$I$6,2,FALSE)))*L209)+J209)*(1+K209/100*0.25)</f>
        <v>2515.5</v>
      </c>
      <c r="P209" s="1" t="s">
        <v>175</v>
      </c>
      <c r="Q209" s="1">
        <v>2</v>
      </c>
    </row>
    <row r="210" spans="2:17" ht="12.75" hidden="1" x14ac:dyDescent="0.2">
      <c r="C210" s="1" t="s">
        <v>797</v>
      </c>
      <c r="D210" s="1" t="s">
        <v>596</v>
      </c>
      <c r="E210" s="1" t="s">
        <v>1304</v>
      </c>
      <c r="F210" s="1" t="s">
        <v>176</v>
      </c>
      <c r="G210" s="1">
        <f>IF(ISNA(VLOOKUP(F210,Monster!B:E,4,FALSE)),0,VLOOKUP(F210,Monster!B:E,4,FALSE))</f>
        <v>22</v>
      </c>
      <c r="J210" s="1">
        <v>1596</v>
      </c>
      <c r="K210" s="1">
        <v>0</v>
      </c>
      <c r="L210" s="1">
        <v>400</v>
      </c>
      <c r="M210" s="1" t="s">
        <v>95</v>
      </c>
      <c r="O210" s="1">
        <f>((NOT(ISNA(VLOOKUP(M210,Monster!$H$2:$I$6,2,FALSE)))*L210)+J210)*(1+K210/100*0.25)</f>
        <v>1596</v>
      </c>
      <c r="P210" s="1" t="s">
        <v>213</v>
      </c>
      <c r="Q210" s="1">
        <v>2</v>
      </c>
    </row>
    <row r="211" spans="2:17" ht="12.75" hidden="1" x14ac:dyDescent="0.2">
      <c r="B211" s="1" t="s">
        <v>1327</v>
      </c>
      <c r="C211" s="1" t="s">
        <v>800</v>
      </c>
      <c r="D211" s="1" t="s">
        <v>596</v>
      </c>
      <c r="E211" s="1" t="s">
        <v>1304</v>
      </c>
      <c r="F211" s="1" t="s">
        <v>184</v>
      </c>
      <c r="G211" s="1">
        <f>IF(ISNA(VLOOKUP(F211,Monster!B:E,4,FALSE)),0,VLOOKUP(F211,Monster!B:E,4,FALSE))</f>
        <v>23</v>
      </c>
      <c r="I211" s="1" t="s">
        <v>1327</v>
      </c>
      <c r="J211" s="1">
        <v>1764</v>
      </c>
      <c r="K211" s="1">
        <v>0</v>
      </c>
      <c r="L211" s="1">
        <v>0</v>
      </c>
      <c r="M211" s="1" t="s">
        <v>107</v>
      </c>
      <c r="O211" s="1">
        <f>((NOT(ISNA(VLOOKUP(M211,Monster!$H$2:$I$6,2,FALSE)))*L211)+J211)*(1+K211/100*0.25)</f>
        <v>1764</v>
      </c>
      <c r="P211" s="1" t="s">
        <v>306</v>
      </c>
      <c r="Q211" s="1">
        <v>2</v>
      </c>
    </row>
    <row r="212" spans="2:17" ht="12.75" hidden="1" x14ac:dyDescent="0.2">
      <c r="B212" s="1" t="s">
        <v>1328</v>
      </c>
      <c r="C212" s="1" t="s">
        <v>803</v>
      </c>
      <c r="D212" s="1" t="s">
        <v>596</v>
      </c>
      <c r="E212" s="1" t="s">
        <v>1304</v>
      </c>
      <c r="F212" s="1" t="s">
        <v>190</v>
      </c>
      <c r="G212" s="1">
        <f>IF(ISNA(VLOOKUP(F212,Monster!B:E,4,FALSE)),0,VLOOKUP(F212,Monster!B:E,4,FALSE))</f>
        <v>24</v>
      </c>
      <c r="I212" s="1" t="s">
        <v>1328</v>
      </c>
      <c r="J212" s="1">
        <v>1191</v>
      </c>
      <c r="K212" s="1">
        <v>20</v>
      </c>
      <c r="L212" s="1">
        <v>910</v>
      </c>
      <c r="M212" s="1" t="s">
        <v>66</v>
      </c>
      <c r="O212" s="1">
        <f>((NOT(ISNA(VLOOKUP(M212,Monster!$H$2:$I$6,2,FALSE)))*L212)+J212)*(1+K212/100*0.25)</f>
        <v>2206.0500000000002</v>
      </c>
      <c r="P212" s="1" t="s">
        <v>253</v>
      </c>
      <c r="Q212" s="1">
        <v>1</v>
      </c>
    </row>
    <row r="213" spans="2:17" ht="12.75" hidden="1" x14ac:dyDescent="0.2">
      <c r="B213" s="1" t="s">
        <v>1329</v>
      </c>
      <c r="C213" s="1" t="s">
        <v>807</v>
      </c>
      <c r="D213" s="1" t="s">
        <v>596</v>
      </c>
      <c r="E213" s="1" t="s">
        <v>1304</v>
      </c>
      <c r="F213" s="1" t="s">
        <v>193</v>
      </c>
      <c r="G213" s="1">
        <f>IF(ISNA(VLOOKUP(F213,Monster!B:E,4,FALSE)),0,VLOOKUP(F213,Monster!B:E,4,FALSE))</f>
        <v>25</v>
      </c>
      <c r="I213" s="1" t="s">
        <v>1330</v>
      </c>
      <c r="J213" s="1">
        <v>1221</v>
      </c>
      <c r="K213" s="1">
        <v>0</v>
      </c>
      <c r="L213" s="1">
        <v>1142</v>
      </c>
      <c r="M213" s="1" t="s">
        <v>58</v>
      </c>
      <c r="O213" s="1">
        <f>((NOT(ISNA(VLOOKUP(M213,Monster!$H$2:$I$6,2,FALSE)))*L213)+J213)*(1+K213/100*0.25)</f>
        <v>2363</v>
      </c>
      <c r="P213" s="1" t="s">
        <v>38</v>
      </c>
      <c r="Q213" s="1">
        <v>1</v>
      </c>
    </row>
    <row r="214" spans="2:17" ht="12.75" hidden="1" x14ac:dyDescent="0.2">
      <c r="B214" s="1" t="s">
        <v>1331</v>
      </c>
      <c r="C214" s="1" t="s">
        <v>810</v>
      </c>
      <c r="D214" s="1" t="s">
        <v>596</v>
      </c>
      <c r="E214" s="1" t="s">
        <v>1304</v>
      </c>
      <c r="F214" s="1" t="s">
        <v>197</v>
      </c>
      <c r="G214" s="1">
        <f>IF(ISNA(VLOOKUP(F214,Monster!B:E,4,FALSE)),0,VLOOKUP(F214,Monster!B:E,4,FALSE))</f>
        <v>26</v>
      </c>
      <c r="I214" s="1" t="s">
        <v>1332</v>
      </c>
      <c r="J214" s="1">
        <v>1588</v>
      </c>
      <c r="K214" s="1">
        <v>0</v>
      </c>
      <c r="L214" s="1">
        <v>632</v>
      </c>
      <c r="M214" s="1" t="s">
        <v>58</v>
      </c>
      <c r="O214" s="1">
        <f>((NOT(ISNA(VLOOKUP(M214,Monster!$H$2:$I$6,2,FALSE)))*L214)+J214)*(1+K214/100*0.25)</f>
        <v>2220</v>
      </c>
      <c r="P214" s="1" t="s">
        <v>412</v>
      </c>
      <c r="Q214" s="1">
        <v>1</v>
      </c>
    </row>
    <row r="215" spans="2:17" ht="12.75" hidden="1" x14ac:dyDescent="0.2">
      <c r="C215" s="1" t="s">
        <v>813</v>
      </c>
      <c r="D215" s="1" t="s">
        <v>596</v>
      </c>
      <c r="E215" s="1" t="s">
        <v>1304</v>
      </c>
      <c r="F215" s="1" t="s">
        <v>205</v>
      </c>
      <c r="G215" s="1">
        <f>IF(ISNA(VLOOKUP(F215,Monster!B:E,4,FALSE)),0,VLOOKUP(F215,Monster!B:E,4,FALSE))</f>
        <v>27</v>
      </c>
      <c r="J215" s="1">
        <v>1719</v>
      </c>
      <c r="K215" s="1">
        <v>20</v>
      </c>
      <c r="L215" s="1">
        <v>0</v>
      </c>
      <c r="M215" s="1" t="s">
        <v>107</v>
      </c>
      <c r="O215" s="1">
        <f>((NOT(ISNA(VLOOKUP(M215,Monster!$H$2:$I$6,2,FALSE)))*L215)+J215)*(1+K215/100*0.25)</f>
        <v>1804.95</v>
      </c>
      <c r="P215" s="1" t="s">
        <v>269</v>
      </c>
      <c r="Q215" s="1">
        <v>1</v>
      </c>
    </row>
    <row r="216" spans="2:17" ht="12.75" hidden="1" x14ac:dyDescent="0.2">
      <c r="C216" s="1" t="s">
        <v>816</v>
      </c>
      <c r="D216" s="1" t="s">
        <v>596</v>
      </c>
      <c r="E216" s="1" t="s">
        <v>1304</v>
      </c>
      <c r="F216" s="1" t="s">
        <v>210</v>
      </c>
      <c r="G216" s="1">
        <f>IF(ISNA(VLOOKUP(F216,Monster!B:E,4,FALSE)),0,VLOOKUP(F216,Monster!B:E,4,FALSE))</f>
        <v>28</v>
      </c>
      <c r="J216" s="1">
        <v>1138</v>
      </c>
      <c r="K216" s="1">
        <v>20</v>
      </c>
      <c r="L216" s="1">
        <v>1156</v>
      </c>
      <c r="M216" s="1" t="s">
        <v>71</v>
      </c>
      <c r="O216" s="1">
        <f>((NOT(ISNA(VLOOKUP(M216,Monster!$H$2:$I$6,2,FALSE)))*L216)+J216)*(1+K216/100*0.25)</f>
        <v>2408.7000000000003</v>
      </c>
      <c r="P216" s="1" t="s">
        <v>166</v>
      </c>
      <c r="Q216" s="1">
        <v>1</v>
      </c>
    </row>
    <row r="217" spans="2:17" ht="12.75" hidden="1" x14ac:dyDescent="0.2">
      <c r="B217" s="1" t="s">
        <v>1333</v>
      </c>
      <c r="C217" s="1" t="s">
        <v>821</v>
      </c>
      <c r="D217" s="1" t="s">
        <v>596</v>
      </c>
      <c r="E217" s="1" t="s">
        <v>1304</v>
      </c>
      <c r="F217" s="1" t="s">
        <v>216</v>
      </c>
      <c r="G217" s="1">
        <f>IF(ISNA(VLOOKUP(F217,Monster!B:E,4,FALSE)),0,VLOOKUP(F217,Monster!B:E,4,FALSE))</f>
        <v>29</v>
      </c>
      <c r="I217" s="1" t="s">
        <v>1334</v>
      </c>
      <c r="J217" s="1">
        <v>1318</v>
      </c>
      <c r="K217" s="1">
        <v>-30</v>
      </c>
      <c r="L217" s="1">
        <v>1261</v>
      </c>
      <c r="M217" s="1" t="s">
        <v>71</v>
      </c>
      <c r="O217" s="1">
        <f>((NOT(ISNA(VLOOKUP(M217,Monster!$H$2:$I$6,2,FALSE)))*L217)+J217)*(1+K217/100*0.25)</f>
        <v>2385.5750000000003</v>
      </c>
      <c r="P217" s="1" t="s">
        <v>583</v>
      </c>
      <c r="Q217" s="1">
        <v>1</v>
      </c>
    </row>
    <row r="218" spans="2:17" ht="12.75" hidden="1" x14ac:dyDescent="0.2">
      <c r="B218" s="1" t="s">
        <v>1335</v>
      </c>
      <c r="C218" s="1" t="s">
        <v>825</v>
      </c>
      <c r="D218" s="1" t="s">
        <v>596</v>
      </c>
      <c r="E218" s="1" t="s">
        <v>1304</v>
      </c>
      <c r="F218" s="1" t="s">
        <v>223</v>
      </c>
      <c r="G218" s="1">
        <f>IF(ISNA(VLOOKUP(F218,Monster!B:E,4,FALSE)),0,VLOOKUP(F218,Monster!B:E,4,FALSE))</f>
        <v>30</v>
      </c>
      <c r="I218" s="1" t="s">
        <v>1336</v>
      </c>
      <c r="J218" s="1">
        <v>1666</v>
      </c>
      <c r="K218" s="1">
        <v>-15</v>
      </c>
      <c r="L218" s="1">
        <v>527</v>
      </c>
      <c r="M218" s="1" t="s">
        <v>41</v>
      </c>
      <c r="O218" s="1">
        <f>((NOT(ISNA(VLOOKUP(M218,Monster!$H$2:$I$6,2,FALSE)))*L218)+J218)*(1+K218/100*0.25)</f>
        <v>2110.7625000000003</v>
      </c>
      <c r="P218" s="1" t="s">
        <v>364</v>
      </c>
      <c r="Q218" s="1">
        <v>1</v>
      </c>
    </row>
    <row r="219" spans="2:17" ht="12.75" hidden="1" x14ac:dyDescent="0.2">
      <c r="C219" s="1" t="s">
        <v>829</v>
      </c>
      <c r="D219" s="1" t="s">
        <v>596</v>
      </c>
      <c r="E219" s="1" t="s">
        <v>1304</v>
      </c>
      <c r="F219" s="1" t="s">
        <v>229</v>
      </c>
      <c r="G219" s="1">
        <f>IF(ISNA(VLOOKUP(F219,Monster!B:E,4,FALSE)),0,VLOOKUP(F219,Monster!B:E,4,FALSE))</f>
        <v>31</v>
      </c>
      <c r="J219" s="1">
        <v>1194</v>
      </c>
      <c r="K219" s="1">
        <v>20</v>
      </c>
      <c r="L219" s="1">
        <v>913</v>
      </c>
      <c r="M219" s="1" t="s">
        <v>58</v>
      </c>
      <c r="O219" s="1">
        <f>((NOT(ISNA(VLOOKUP(M219,Monster!$H$2:$I$6,2,FALSE)))*L219)+J219)*(1+K219/100*0.25)</f>
        <v>2212.35</v>
      </c>
      <c r="P219" s="1" t="s">
        <v>470</v>
      </c>
      <c r="Q219" s="1">
        <v>1</v>
      </c>
    </row>
    <row r="220" spans="2:17" ht="12.75" hidden="1" x14ac:dyDescent="0.2">
      <c r="B220" s="1" t="s">
        <v>1337</v>
      </c>
      <c r="C220" s="1" t="s">
        <v>834</v>
      </c>
      <c r="D220" s="1" t="s">
        <v>596</v>
      </c>
      <c r="E220" s="1" t="s">
        <v>1304</v>
      </c>
      <c r="F220" s="1" t="s">
        <v>234</v>
      </c>
      <c r="G220" s="1">
        <f>IF(ISNA(VLOOKUP(F220,Monster!B:E,4,FALSE)),0,VLOOKUP(F220,Monster!B:E,4,FALSE))</f>
        <v>32</v>
      </c>
      <c r="I220" s="1" t="s">
        <v>1337</v>
      </c>
      <c r="J220" s="1">
        <v>1553</v>
      </c>
      <c r="K220" s="1">
        <v>0</v>
      </c>
      <c r="L220" s="1">
        <v>974</v>
      </c>
      <c r="M220" s="1" t="s">
        <v>66</v>
      </c>
      <c r="O220" s="1">
        <f>((NOT(ISNA(VLOOKUP(M220,Monster!$H$2:$I$6,2,FALSE)))*L220)+J220)*(1+K220/100*0.25)</f>
        <v>2527</v>
      </c>
      <c r="P220" s="1" t="s">
        <v>528</v>
      </c>
      <c r="Q220" s="1">
        <v>2</v>
      </c>
    </row>
    <row r="221" spans="2:17" ht="12.75" hidden="1" x14ac:dyDescent="0.2">
      <c r="B221" s="1" t="s">
        <v>1338</v>
      </c>
      <c r="C221" s="1" t="s">
        <v>839</v>
      </c>
      <c r="D221" s="1" t="s">
        <v>596</v>
      </c>
      <c r="E221" s="1" t="s">
        <v>1304</v>
      </c>
      <c r="F221" s="1" t="s">
        <v>239</v>
      </c>
      <c r="G221" s="1">
        <f>IF(ISNA(VLOOKUP(F221,Monster!B:E,4,FALSE)),0,VLOOKUP(F221,Monster!B:E,4,FALSE))</f>
        <v>33</v>
      </c>
      <c r="I221" s="1" t="s">
        <v>1339</v>
      </c>
      <c r="J221" s="1">
        <v>1138</v>
      </c>
      <c r="K221" s="1">
        <v>20</v>
      </c>
      <c r="L221" s="1">
        <v>1156</v>
      </c>
      <c r="M221" s="1" t="s">
        <v>50</v>
      </c>
      <c r="O221" s="1">
        <f>((NOT(ISNA(VLOOKUP(M221,Monster!$H$2:$I$6,2,FALSE)))*L221)+J221)*(1+K221/100*0.25)</f>
        <v>2408.7000000000003</v>
      </c>
      <c r="P221" s="1" t="s">
        <v>38</v>
      </c>
      <c r="Q221" s="1">
        <v>1</v>
      </c>
    </row>
    <row r="222" spans="2:17" ht="12.75" hidden="1" x14ac:dyDescent="0.2">
      <c r="B222" s="1" t="s">
        <v>1340</v>
      </c>
      <c r="C222" s="1" t="s">
        <v>845</v>
      </c>
      <c r="D222" s="1" t="s">
        <v>596</v>
      </c>
      <c r="E222" s="1" t="s">
        <v>1304</v>
      </c>
      <c r="F222" s="1" t="s">
        <v>245</v>
      </c>
      <c r="G222" s="1">
        <f>IF(ISNA(VLOOKUP(F222,Monster!B:E,4,FALSE)),0,VLOOKUP(F222,Monster!B:E,4,FALSE))</f>
        <v>34</v>
      </c>
      <c r="I222" s="1" t="s">
        <v>1340</v>
      </c>
      <c r="J222" s="1">
        <v>1684</v>
      </c>
      <c r="K222" s="1">
        <v>0</v>
      </c>
      <c r="L222" s="1">
        <v>502</v>
      </c>
      <c r="M222" s="1" t="s">
        <v>100</v>
      </c>
      <c r="O222" s="1">
        <f>((NOT(ISNA(VLOOKUP(M222,Monster!$H$2:$I$6,2,FALSE)))*L222)+J222)*(1+K222/100*0.25)</f>
        <v>1684</v>
      </c>
      <c r="P222" s="1" t="s">
        <v>364</v>
      </c>
      <c r="Q222" s="1">
        <v>2</v>
      </c>
    </row>
    <row r="223" spans="2:17" ht="12.75" hidden="1" x14ac:dyDescent="0.2">
      <c r="B223" s="1" t="s">
        <v>1341</v>
      </c>
      <c r="C223" s="1" t="s">
        <v>849</v>
      </c>
      <c r="D223" s="1" t="s">
        <v>596</v>
      </c>
      <c r="E223" s="1" t="s">
        <v>1304</v>
      </c>
      <c r="F223" s="1" t="s">
        <v>251</v>
      </c>
      <c r="G223" s="1">
        <f>IF(ISNA(VLOOKUP(F223,Monster!B:E,4,FALSE)),0,VLOOKUP(F223,Monster!B:E,4,FALSE))</f>
        <v>35</v>
      </c>
      <c r="I223" s="1" t="s">
        <v>1342</v>
      </c>
      <c r="J223" s="1">
        <v>1588</v>
      </c>
      <c r="K223" s="1">
        <v>0</v>
      </c>
      <c r="L223" s="1">
        <v>632</v>
      </c>
      <c r="M223" s="1" t="s">
        <v>41</v>
      </c>
      <c r="O223" s="1">
        <f>((NOT(ISNA(VLOOKUP(M223,Monster!$H$2:$I$6,2,FALSE)))*L223)+J223)*(1+K223/100*0.25)</f>
        <v>2220</v>
      </c>
      <c r="P223" s="1" t="s">
        <v>412</v>
      </c>
      <c r="Q223" s="1">
        <v>1</v>
      </c>
    </row>
    <row r="224" spans="2:17" ht="12.75" hidden="1" x14ac:dyDescent="0.2">
      <c r="B224" s="1" t="s">
        <v>1343</v>
      </c>
      <c r="C224" s="1" t="s">
        <v>853</v>
      </c>
      <c r="D224" s="1" t="s">
        <v>596</v>
      </c>
      <c r="E224" s="1" t="s">
        <v>1304</v>
      </c>
      <c r="F224" s="1" t="s">
        <v>256</v>
      </c>
      <c r="G224" s="1">
        <f>IF(ISNA(VLOOKUP(F224,Monster!B:E,4,FALSE)),0,VLOOKUP(F224,Monster!B:E,4,FALSE))</f>
        <v>36</v>
      </c>
      <c r="I224" s="1" t="s">
        <v>1344</v>
      </c>
      <c r="J224" s="1">
        <v>1516</v>
      </c>
      <c r="K224" s="1">
        <v>0</v>
      </c>
      <c r="L224" s="1">
        <v>496</v>
      </c>
      <c r="M224" s="1" t="s">
        <v>100</v>
      </c>
      <c r="O224" s="1">
        <f>((NOT(ISNA(VLOOKUP(M224,Monster!$H$2:$I$6,2,FALSE)))*L224)+J224)*(1+K224/100*0.25)</f>
        <v>1516</v>
      </c>
      <c r="P224" s="1" t="s">
        <v>463</v>
      </c>
      <c r="Q224" s="1">
        <v>1</v>
      </c>
    </row>
    <row r="225" spans="2:17" ht="12.75" hidden="1" x14ac:dyDescent="0.2">
      <c r="B225" s="1" t="s">
        <v>1345</v>
      </c>
      <c r="C225" s="1" t="s">
        <v>857</v>
      </c>
      <c r="D225" s="1" t="s">
        <v>596</v>
      </c>
      <c r="E225" s="1" t="s">
        <v>1304</v>
      </c>
      <c r="F225" s="1" t="s">
        <v>263</v>
      </c>
      <c r="G225" s="1">
        <f>IF(ISNA(VLOOKUP(F225,Monster!B:E,4,FALSE)),0,VLOOKUP(F225,Monster!B:E,4,FALSE))</f>
        <v>37</v>
      </c>
      <c r="I225" s="1" t="s">
        <v>1346</v>
      </c>
      <c r="J225" s="1">
        <v>1318</v>
      </c>
      <c r="K225" s="1">
        <v>-30</v>
      </c>
      <c r="L225" s="1">
        <v>1261</v>
      </c>
      <c r="M225" s="1" t="s">
        <v>58</v>
      </c>
      <c r="O225" s="1">
        <f>((NOT(ISNA(VLOOKUP(M225,Monster!$H$2:$I$6,2,FALSE)))*L225)+J225)*(1+K225/100*0.25)</f>
        <v>2385.5750000000003</v>
      </c>
      <c r="P225" s="1" t="s">
        <v>463</v>
      </c>
      <c r="Q225" s="1">
        <v>1</v>
      </c>
    </row>
    <row r="226" spans="2:17" ht="12.75" hidden="1" x14ac:dyDescent="0.2">
      <c r="B226" s="1" t="s">
        <v>1347</v>
      </c>
      <c r="C226" s="1" t="s">
        <v>863</v>
      </c>
      <c r="D226" s="1" t="s">
        <v>596</v>
      </c>
      <c r="E226" s="1" t="s">
        <v>1304</v>
      </c>
      <c r="F226" s="1" t="s">
        <v>268</v>
      </c>
      <c r="G226" s="1">
        <f>IF(ISNA(VLOOKUP(F226,Monster!B:E,4,FALSE)),0,VLOOKUP(F226,Monster!B:E,4,FALSE))</f>
        <v>38</v>
      </c>
      <c r="I226" s="1" t="s">
        <v>1347</v>
      </c>
      <c r="J226" s="1">
        <v>1553</v>
      </c>
      <c r="K226" s="1">
        <v>0</v>
      </c>
      <c r="L226" s="1">
        <v>974</v>
      </c>
      <c r="M226" s="1" t="s">
        <v>71</v>
      </c>
      <c r="O226" s="1">
        <f>((NOT(ISNA(VLOOKUP(M226,Monster!$H$2:$I$6,2,FALSE)))*L226)+J226)*(1+K226/100*0.25)</f>
        <v>2527</v>
      </c>
      <c r="P226" s="1" t="s">
        <v>463</v>
      </c>
      <c r="Q226" s="1">
        <v>2</v>
      </c>
    </row>
    <row r="227" spans="2:17" ht="12.75" hidden="1" x14ac:dyDescent="0.2">
      <c r="B227" s="1" t="s">
        <v>1348</v>
      </c>
      <c r="C227" s="1" t="s">
        <v>866</v>
      </c>
      <c r="D227" s="1" t="s">
        <v>596</v>
      </c>
      <c r="E227" s="1" t="s">
        <v>1304</v>
      </c>
      <c r="F227" s="1" t="s">
        <v>273</v>
      </c>
      <c r="G227" s="1">
        <f>IF(ISNA(VLOOKUP(F227,Monster!B:E,4,FALSE)),0,VLOOKUP(F227,Monster!B:E,4,FALSE))</f>
        <v>39</v>
      </c>
      <c r="I227" s="1" t="s">
        <v>1349</v>
      </c>
      <c r="J227" s="1">
        <v>1588</v>
      </c>
      <c r="K227" s="1">
        <v>0</v>
      </c>
      <c r="L227" s="1">
        <v>632</v>
      </c>
      <c r="M227" s="1" t="s">
        <v>66</v>
      </c>
      <c r="O227" s="1">
        <f>((NOT(ISNA(VLOOKUP(M227,Monster!$H$2:$I$6,2,FALSE)))*L227)+J227)*(1+K227/100*0.25)</f>
        <v>2220</v>
      </c>
      <c r="P227" s="1" t="s">
        <v>412</v>
      </c>
      <c r="Q227" s="1">
        <v>1</v>
      </c>
    </row>
    <row r="228" spans="2:17" ht="12.75" hidden="1" x14ac:dyDescent="0.2">
      <c r="C228" s="1" t="s">
        <v>869</v>
      </c>
      <c r="D228" s="1" t="s">
        <v>596</v>
      </c>
      <c r="E228" s="1" t="s">
        <v>1304</v>
      </c>
      <c r="F228" s="1" t="s">
        <v>278</v>
      </c>
      <c r="G228" s="1">
        <f>IF(ISNA(VLOOKUP(F228,Monster!B:E,4,FALSE)),0,VLOOKUP(F228,Monster!B:E,4,FALSE))</f>
        <v>40</v>
      </c>
      <c r="J228" s="1">
        <v>1516</v>
      </c>
      <c r="K228" s="1">
        <v>0</v>
      </c>
      <c r="L228" s="1">
        <v>496</v>
      </c>
      <c r="M228" s="1" t="s">
        <v>87</v>
      </c>
      <c r="O228" s="1">
        <f>((NOT(ISNA(VLOOKUP(M228,Monster!$H$2:$I$6,2,FALSE)))*L228)+J228)*(1+K228/100*0.25)</f>
        <v>1516</v>
      </c>
      <c r="P228" s="1" t="s">
        <v>253</v>
      </c>
      <c r="Q228" s="1">
        <v>1</v>
      </c>
    </row>
    <row r="229" spans="2:17" ht="12.75" hidden="1" x14ac:dyDescent="0.2">
      <c r="B229" s="1" t="s">
        <v>1350</v>
      </c>
      <c r="C229" s="1" t="s">
        <v>872</v>
      </c>
      <c r="D229" s="1" t="s">
        <v>596</v>
      </c>
      <c r="E229" s="1" t="s">
        <v>1304</v>
      </c>
      <c r="F229" s="1" t="s">
        <v>288</v>
      </c>
      <c r="G229" s="1">
        <f>IF(ISNA(VLOOKUP(F229,Monster!B:E,4,FALSE)),0,VLOOKUP(F229,Monster!B:E,4,FALSE))</f>
        <v>41</v>
      </c>
      <c r="I229" s="1" t="s">
        <v>1351</v>
      </c>
      <c r="J229" s="1">
        <v>1567</v>
      </c>
      <c r="K229" s="1">
        <v>-15</v>
      </c>
      <c r="L229" s="1">
        <v>496</v>
      </c>
      <c r="M229" s="1" t="s">
        <v>95</v>
      </c>
      <c r="O229" s="1">
        <f>((NOT(ISNA(VLOOKUP(M229,Monster!$H$2:$I$6,2,FALSE)))*L229)+J229)*(1+K229/100*0.25)</f>
        <v>1508.2375</v>
      </c>
      <c r="P229" s="1" t="s">
        <v>253</v>
      </c>
      <c r="Q229" s="1">
        <v>1</v>
      </c>
    </row>
    <row r="230" spans="2:17" ht="12.75" x14ac:dyDescent="0.2">
      <c r="B230" s="1" t="s">
        <v>1352</v>
      </c>
      <c r="C230" s="1" t="s">
        <v>875</v>
      </c>
      <c r="D230" s="1" t="s">
        <v>596</v>
      </c>
      <c r="E230" s="1" t="s">
        <v>1304</v>
      </c>
      <c r="F230" s="1" t="s">
        <v>293</v>
      </c>
      <c r="G230" s="1">
        <f>IF(ISNA(VLOOKUP(F230,Monster!B:E,4,FALSE)),0,VLOOKUP(F230,Monster!B:E,4,FALSE))</f>
        <v>42</v>
      </c>
      <c r="I230" s="1" t="s">
        <v>1353</v>
      </c>
      <c r="J230" s="1">
        <v>2198</v>
      </c>
      <c r="K230" s="1">
        <v>-40</v>
      </c>
      <c r="L230" s="1">
        <v>0</v>
      </c>
      <c r="M230" s="1" t="s">
        <v>107</v>
      </c>
      <c r="O230" s="1">
        <f>((NOT(ISNA(VLOOKUP(M230,Monster!$H$2:$I$6,2,FALSE)))*L230)+J230)*(1+K230/100*0.25)</f>
        <v>1978.2</v>
      </c>
      <c r="P230" s="1" t="s">
        <v>194</v>
      </c>
      <c r="Q230" s="1">
        <v>1</v>
      </c>
    </row>
    <row r="231" spans="2:17" ht="12.75" hidden="1" x14ac:dyDescent="0.2">
      <c r="B231" s="1" t="s">
        <v>1354</v>
      </c>
      <c r="C231" s="1" t="s">
        <v>880</v>
      </c>
      <c r="D231" s="1" t="s">
        <v>596</v>
      </c>
      <c r="E231" s="1" t="s">
        <v>1304</v>
      </c>
      <c r="F231" s="1" t="s">
        <v>298</v>
      </c>
      <c r="G231" s="1">
        <f>IF(ISNA(VLOOKUP(F231,Monster!B:E,4,FALSE)),0,VLOOKUP(F231,Monster!B:E,4,FALSE))</f>
        <v>43</v>
      </c>
      <c r="I231" s="1" t="s">
        <v>1355</v>
      </c>
      <c r="J231" s="1">
        <v>2198</v>
      </c>
      <c r="K231" s="1">
        <v>-10</v>
      </c>
      <c r="L231" s="1">
        <v>0</v>
      </c>
      <c r="M231" s="1" t="s">
        <v>107</v>
      </c>
      <c r="O231" s="1">
        <f>((NOT(ISNA(VLOOKUP(M231,Monster!$H$2:$I$6,2,FALSE)))*L231)+J231)*(1+K231/100*0.25)</f>
        <v>2143.0499999999997</v>
      </c>
      <c r="P231" s="1" t="s">
        <v>28</v>
      </c>
      <c r="Q231" s="1">
        <v>5</v>
      </c>
    </row>
    <row r="232" spans="2:17" ht="12.75" hidden="1" x14ac:dyDescent="0.2">
      <c r="C232" s="1" t="s">
        <v>885</v>
      </c>
      <c r="D232" s="1" t="s">
        <v>596</v>
      </c>
      <c r="E232" s="1" t="s">
        <v>1304</v>
      </c>
      <c r="F232" s="1" t="s">
        <v>302</v>
      </c>
      <c r="G232" s="1">
        <f>IF(ISNA(VLOOKUP(F232,Monster!B:E,4,FALSE)),0,VLOOKUP(F232,Monster!B:E,4,FALSE))</f>
        <v>44</v>
      </c>
      <c r="J232" s="1">
        <v>1205</v>
      </c>
      <c r="K232" s="1">
        <v>0</v>
      </c>
      <c r="L232" s="1">
        <v>1305</v>
      </c>
      <c r="M232" s="1" t="s">
        <v>58</v>
      </c>
      <c r="O232" s="1">
        <f>((NOT(ISNA(VLOOKUP(M232,Monster!$H$2:$I$6,2,FALSE)))*L232)+J232)*(1+K232/100*0.25)</f>
        <v>2510</v>
      </c>
      <c r="P232" s="1" t="s">
        <v>400</v>
      </c>
      <c r="Q232" s="1">
        <v>1</v>
      </c>
    </row>
    <row r="233" spans="2:17" ht="12.75" x14ac:dyDescent="0.2">
      <c r="B233" s="1" t="s">
        <v>1356</v>
      </c>
      <c r="C233" s="1" t="s">
        <v>888</v>
      </c>
      <c r="D233" s="1" t="s">
        <v>596</v>
      </c>
      <c r="E233" s="1" t="s">
        <v>1304</v>
      </c>
      <c r="F233" s="1" t="s">
        <v>305</v>
      </c>
      <c r="G233" s="1">
        <f>IF(ISNA(VLOOKUP(F233,Monster!B:E,4,FALSE)),0,VLOOKUP(F233,Monster!B:E,4,FALSE))</f>
        <v>45</v>
      </c>
      <c r="I233" s="1" t="s">
        <v>1357</v>
      </c>
      <c r="J233" s="1">
        <v>1942</v>
      </c>
      <c r="K233" s="1">
        <v>-30</v>
      </c>
      <c r="L233" s="1">
        <v>297</v>
      </c>
      <c r="M233" s="1" t="s">
        <v>100</v>
      </c>
      <c r="O233" s="1">
        <f>((NOT(ISNA(VLOOKUP(M233,Monster!$H$2:$I$6,2,FALSE)))*L233)+J233)*(1+K233/100*0.25)</f>
        <v>1796.3500000000001</v>
      </c>
      <c r="P233" s="1" t="s">
        <v>194</v>
      </c>
      <c r="Q233" s="1">
        <v>1</v>
      </c>
    </row>
    <row r="234" spans="2:17" ht="12.75" hidden="1" x14ac:dyDescent="0.2">
      <c r="C234" s="1" t="s">
        <v>892</v>
      </c>
      <c r="D234" s="1" t="s">
        <v>596</v>
      </c>
      <c r="E234" s="1" t="s">
        <v>1304</v>
      </c>
      <c r="F234" s="1" t="s">
        <v>310</v>
      </c>
      <c r="G234" s="1">
        <f>IF(ISNA(VLOOKUP(F234,Monster!B:E,4,FALSE)),0,VLOOKUP(F234,Monster!B:E,4,FALSE))</f>
        <v>46</v>
      </c>
      <c r="J234" s="1">
        <v>1834</v>
      </c>
      <c r="K234" s="1">
        <v>10</v>
      </c>
      <c r="L234" s="1">
        <v>0</v>
      </c>
      <c r="M234" s="1" t="s">
        <v>107</v>
      </c>
      <c r="O234" s="1">
        <f>((NOT(ISNA(VLOOKUP(M234,Monster!$H$2:$I$6,2,FALSE)))*L234)+J234)*(1+K234/100*0.25)</f>
        <v>1879.85</v>
      </c>
      <c r="P234" s="1" t="s">
        <v>407</v>
      </c>
      <c r="Q234" s="1">
        <v>1</v>
      </c>
    </row>
    <row r="235" spans="2:17" ht="12.75" hidden="1" x14ac:dyDescent="0.2">
      <c r="B235" s="1" t="s">
        <v>1358</v>
      </c>
      <c r="C235" s="1" t="s">
        <v>896</v>
      </c>
      <c r="D235" s="1" t="s">
        <v>596</v>
      </c>
      <c r="E235" s="1" t="s">
        <v>1304</v>
      </c>
      <c r="F235" s="1" t="s">
        <v>316</v>
      </c>
      <c r="G235" s="1">
        <f>IF(ISNA(VLOOKUP(F235,Monster!B:E,4,FALSE)),0,VLOOKUP(F235,Monster!B:E,4,FALSE))</f>
        <v>47</v>
      </c>
      <c r="I235" s="1" t="s">
        <v>1359</v>
      </c>
      <c r="J235" s="1">
        <v>1971</v>
      </c>
      <c r="K235" s="1">
        <v>-20</v>
      </c>
      <c r="L235" s="1">
        <v>0</v>
      </c>
      <c r="M235" s="1" t="s">
        <v>107</v>
      </c>
      <c r="O235" s="1">
        <f>((NOT(ISNA(VLOOKUP(M235,Monster!$H$2:$I$6,2,FALSE)))*L235)+J235)*(1+K235/100*0.25)</f>
        <v>1872.4499999999998</v>
      </c>
      <c r="P235" s="1" t="s">
        <v>602</v>
      </c>
      <c r="Q235" s="1">
        <v>2</v>
      </c>
    </row>
    <row r="236" spans="2:17" ht="12.75" x14ac:dyDescent="0.2">
      <c r="B236" s="1" t="s">
        <v>1360</v>
      </c>
      <c r="C236" s="1" t="s">
        <v>900</v>
      </c>
      <c r="D236" s="1" t="s">
        <v>596</v>
      </c>
      <c r="E236" s="1" t="s">
        <v>1304</v>
      </c>
      <c r="F236" s="1" t="s">
        <v>320</v>
      </c>
      <c r="G236" s="1">
        <f>IF(ISNA(VLOOKUP(F236,Monster!B:E,4,FALSE)),0,VLOOKUP(F236,Monster!B:E,4,FALSE))</f>
        <v>48</v>
      </c>
      <c r="I236" s="1" t="s">
        <v>1360</v>
      </c>
      <c r="J236" s="1">
        <v>1318</v>
      </c>
      <c r="K236" s="1">
        <v>-30</v>
      </c>
      <c r="L236" s="1">
        <v>1261</v>
      </c>
      <c r="M236" s="1" t="s">
        <v>41</v>
      </c>
      <c r="O236" s="1">
        <f>((NOT(ISNA(VLOOKUP(M236,Monster!$H$2:$I$6,2,FALSE)))*L236)+J236)*(1+K236/100*0.25)</f>
        <v>2385.5750000000003</v>
      </c>
      <c r="P236" s="1" t="s">
        <v>194</v>
      </c>
      <c r="Q236" s="1">
        <v>1</v>
      </c>
    </row>
    <row r="237" spans="2:17" ht="12.75" hidden="1" x14ac:dyDescent="0.2">
      <c r="B237" s="1" t="s">
        <v>1361</v>
      </c>
      <c r="C237" s="1" t="s">
        <v>904</v>
      </c>
      <c r="D237" s="1" t="s">
        <v>596</v>
      </c>
      <c r="E237" s="1" t="s">
        <v>1304</v>
      </c>
      <c r="F237" s="1" t="s">
        <v>328</v>
      </c>
      <c r="G237" s="1">
        <f>IF(ISNA(VLOOKUP(F237,Monster!B:E,4,FALSE)),0,VLOOKUP(F237,Monster!B:E,4,FALSE))</f>
        <v>49</v>
      </c>
      <c r="I237" s="1" t="s">
        <v>1361</v>
      </c>
      <c r="J237" s="1">
        <v>1741</v>
      </c>
      <c r="K237" s="1">
        <v>0</v>
      </c>
      <c r="L237" s="1">
        <v>505</v>
      </c>
      <c r="M237" s="1" t="s">
        <v>79</v>
      </c>
      <c r="O237" s="1">
        <f>((NOT(ISNA(VLOOKUP(M237,Monster!$H$2:$I$6,2,FALSE)))*L237)+J237)*(1+K237/100*0.25)</f>
        <v>1741</v>
      </c>
      <c r="P237" s="1" t="s">
        <v>624</v>
      </c>
      <c r="Q237" s="1">
        <v>2</v>
      </c>
    </row>
    <row r="238" spans="2:17" ht="12.75" hidden="1" x14ac:dyDescent="0.2">
      <c r="B238" s="1" t="s">
        <v>1362</v>
      </c>
      <c r="C238" s="1" t="s">
        <v>908</v>
      </c>
      <c r="D238" s="1" t="s">
        <v>596</v>
      </c>
      <c r="E238" s="1" t="s">
        <v>1304</v>
      </c>
      <c r="F238" s="1" t="s">
        <v>334</v>
      </c>
      <c r="G238" s="1">
        <f>IF(ISNA(VLOOKUP(F238,Monster!B:E,4,FALSE)),0,VLOOKUP(F238,Monster!B:E,4,FALSE))</f>
        <v>50</v>
      </c>
      <c r="I238" s="1" t="s">
        <v>1363</v>
      </c>
      <c r="J238" s="1">
        <v>1647</v>
      </c>
      <c r="K238" s="1">
        <v>10</v>
      </c>
      <c r="L238" s="1">
        <v>307</v>
      </c>
      <c r="M238" s="1" t="s">
        <v>79</v>
      </c>
      <c r="O238" s="1">
        <f>((NOT(ISNA(VLOOKUP(M238,Monster!$H$2:$I$6,2,FALSE)))*L238)+J238)*(1+K238/100*0.25)</f>
        <v>1688.175</v>
      </c>
      <c r="P238" s="1" t="s">
        <v>412</v>
      </c>
      <c r="Q238" s="1">
        <v>1</v>
      </c>
    </row>
    <row r="239" spans="2:17" ht="12.75" hidden="1" x14ac:dyDescent="0.2">
      <c r="C239" s="1" t="s">
        <v>913</v>
      </c>
      <c r="D239" s="1" t="s">
        <v>596</v>
      </c>
      <c r="E239" s="1" t="s">
        <v>1304</v>
      </c>
      <c r="F239" s="1" t="s">
        <v>339</v>
      </c>
      <c r="G239" s="1">
        <f>IF(ISNA(VLOOKUP(F239,Monster!B:E,4,FALSE)),0,VLOOKUP(F239,Monster!B:E,4,FALSE))</f>
        <v>51</v>
      </c>
      <c r="J239" s="1">
        <v>1764</v>
      </c>
      <c r="K239" s="1">
        <v>0</v>
      </c>
      <c r="L239" s="1">
        <v>0</v>
      </c>
      <c r="M239" s="1" t="s">
        <v>107</v>
      </c>
      <c r="O239" s="1">
        <f>((NOT(ISNA(VLOOKUP(M239,Monster!$H$2:$I$6,2,FALSE)))*L239)+J239)*(1+K239/100*0.25)</f>
        <v>1764</v>
      </c>
      <c r="P239" s="1" t="s">
        <v>560</v>
      </c>
      <c r="Q239" s="1">
        <v>2</v>
      </c>
    </row>
    <row r="240" spans="2:17" ht="12.75" hidden="1" x14ac:dyDescent="0.2">
      <c r="C240" s="1" t="s">
        <v>917</v>
      </c>
      <c r="D240" s="1" t="s">
        <v>596</v>
      </c>
      <c r="E240" s="1" t="s">
        <v>1304</v>
      </c>
      <c r="F240" s="1" t="s">
        <v>343</v>
      </c>
      <c r="G240" s="1">
        <f>IF(ISNA(VLOOKUP(F240,Monster!B:E,4,FALSE)),0,VLOOKUP(F240,Monster!B:E,4,FALSE))</f>
        <v>52</v>
      </c>
      <c r="J240" s="1">
        <v>1293</v>
      </c>
      <c r="K240" s="1">
        <v>0</v>
      </c>
      <c r="L240" s="1">
        <v>910</v>
      </c>
      <c r="M240" s="1" t="s">
        <v>66</v>
      </c>
      <c r="O240" s="1">
        <f>((NOT(ISNA(VLOOKUP(M240,Monster!$H$2:$I$6,2,FALSE)))*L240)+J240)*(1+K240/100*0.25)</f>
        <v>2203</v>
      </c>
      <c r="P240" s="1" t="s">
        <v>648</v>
      </c>
      <c r="Q240" s="1">
        <v>1</v>
      </c>
    </row>
    <row r="241" spans="2:35" ht="12.75" hidden="1" x14ac:dyDescent="0.2">
      <c r="B241" s="1" t="s">
        <v>1364</v>
      </c>
      <c r="C241" s="1" t="s">
        <v>922</v>
      </c>
      <c r="D241" s="1" t="s">
        <v>596</v>
      </c>
      <c r="E241" s="1" t="s">
        <v>1304</v>
      </c>
      <c r="F241" s="1" t="s">
        <v>349</v>
      </c>
      <c r="G241" s="1">
        <f>IF(ISNA(VLOOKUP(F241,Monster!B:E,4,FALSE)),0,VLOOKUP(F241,Monster!B:E,4,FALSE))</f>
        <v>53</v>
      </c>
      <c r="I241" s="1" t="s">
        <v>1365</v>
      </c>
      <c r="J241" s="1">
        <v>1738</v>
      </c>
      <c r="K241" s="1">
        <v>40</v>
      </c>
      <c r="L241" s="1">
        <v>0</v>
      </c>
      <c r="M241" s="1" t="s">
        <v>107</v>
      </c>
      <c r="O241" s="1">
        <f>((NOT(ISNA(VLOOKUP(M241,Monster!$H$2:$I$6,2,FALSE)))*L241)+J241)*(1+K241/100*0.25)</f>
        <v>1911.8000000000002</v>
      </c>
      <c r="P241" s="1" t="s">
        <v>535</v>
      </c>
      <c r="Q241" s="1">
        <v>2</v>
      </c>
    </row>
    <row r="242" spans="2:35" ht="12.75" hidden="1" x14ac:dyDescent="0.2">
      <c r="B242" s="1" t="s">
        <v>1366</v>
      </c>
      <c r="C242" s="1" t="s">
        <v>926</v>
      </c>
      <c r="D242" s="1" t="s">
        <v>596</v>
      </c>
      <c r="E242" s="1" t="s">
        <v>1304</v>
      </c>
      <c r="F242" s="1" t="s">
        <v>354</v>
      </c>
      <c r="G242" s="1">
        <f>IF(ISNA(VLOOKUP(F242,Monster!B:E,4,FALSE)),0,VLOOKUP(F242,Monster!B:E,4,FALSE))</f>
        <v>54</v>
      </c>
      <c r="I242" s="1" t="s">
        <v>1366</v>
      </c>
      <c r="J242" s="1">
        <v>1328</v>
      </c>
      <c r="K242" s="1">
        <v>20</v>
      </c>
      <c r="L242" s="1">
        <v>1074</v>
      </c>
      <c r="M242" s="1" t="s">
        <v>50</v>
      </c>
      <c r="O242" s="1">
        <f>((NOT(ISNA(VLOOKUP(M242,Monster!$H$2:$I$6,2,FALSE)))*L242)+J242)*(1+K242/100*0.25)</f>
        <v>2522.1</v>
      </c>
      <c r="P242" s="1" t="s">
        <v>677</v>
      </c>
      <c r="Q242" s="1">
        <v>1</v>
      </c>
    </row>
    <row r="243" spans="2:35" ht="12.75" hidden="1" x14ac:dyDescent="0.2">
      <c r="B243" s="1" t="s">
        <v>1367</v>
      </c>
      <c r="C243" s="1" t="s">
        <v>930</v>
      </c>
      <c r="D243" s="1" t="s">
        <v>596</v>
      </c>
      <c r="E243" s="1" t="s">
        <v>1304</v>
      </c>
      <c r="F243" s="1" t="s">
        <v>360</v>
      </c>
      <c r="G243" s="1">
        <f>IF(ISNA(VLOOKUP(F243,Monster!B:E,4,FALSE)),0,VLOOKUP(F243,Monster!B:E,4,FALSE))</f>
        <v>55</v>
      </c>
      <c r="I243" s="1" t="s">
        <v>1368</v>
      </c>
      <c r="J243" s="1">
        <v>1979</v>
      </c>
      <c r="K243" s="1">
        <v>0</v>
      </c>
      <c r="L243" s="1">
        <v>0</v>
      </c>
      <c r="M243" s="1" t="s">
        <v>107</v>
      </c>
      <c r="O243" s="1">
        <f>((NOT(ISNA(VLOOKUP(M243,Monster!$H$2:$I$6,2,FALSE)))*L243)+J243)*(1+K243/100*0.25)</f>
        <v>1979</v>
      </c>
      <c r="P243" s="1" t="s">
        <v>515</v>
      </c>
      <c r="Q243" s="1">
        <v>1</v>
      </c>
    </row>
    <row r="244" spans="2:35" ht="12.75" hidden="1" x14ac:dyDescent="0.2">
      <c r="B244" s="1" t="s">
        <v>1369</v>
      </c>
      <c r="C244" s="1" t="s">
        <v>934</v>
      </c>
      <c r="D244" s="1" t="s">
        <v>596</v>
      </c>
      <c r="E244" s="1" t="s">
        <v>1304</v>
      </c>
      <c r="F244" s="1" t="s">
        <v>365</v>
      </c>
      <c r="G244" s="1">
        <f>IF(ISNA(VLOOKUP(F244,Monster!B:E,4,FALSE)),0,VLOOKUP(F244,Monster!B:E,4,FALSE))</f>
        <v>56</v>
      </c>
      <c r="I244" s="1" t="s">
        <v>1370</v>
      </c>
      <c r="J244" s="1">
        <v>1020</v>
      </c>
      <c r="K244" s="1">
        <v>0</v>
      </c>
      <c r="L244" s="1">
        <v>1173</v>
      </c>
      <c r="M244" s="1" t="s">
        <v>66</v>
      </c>
      <c r="O244" s="1">
        <f>((NOT(ISNA(VLOOKUP(M244,Monster!$H$2:$I$6,2,FALSE)))*L244)+J244)*(1+K244/100*0.25)</f>
        <v>2193</v>
      </c>
      <c r="P244" s="1" t="s">
        <v>659</v>
      </c>
      <c r="Q244" s="1">
        <v>1</v>
      </c>
    </row>
    <row r="245" spans="2:35" ht="12.75" hidden="1" x14ac:dyDescent="0.2">
      <c r="B245" s="1" t="s">
        <v>1371</v>
      </c>
      <c r="C245" s="1" t="s">
        <v>939</v>
      </c>
      <c r="D245" s="1" t="s">
        <v>596</v>
      </c>
      <c r="E245" s="1" t="s">
        <v>1304</v>
      </c>
      <c r="F245" s="1" t="s">
        <v>370</v>
      </c>
      <c r="G245" s="1">
        <f>IF(ISNA(VLOOKUP(F245,Monster!B:E,4,FALSE)),0,VLOOKUP(F245,Monster!B:E,4,FALSE))</f>
        <v>57</v>
      </c>
      <c r="I245" s="1" t="s">
        <v>1372</v>
      </c>
      <c r="J245" s="1">
        <v>1756</v>
      </c>
      <c r="K245" s="1">
        <v>20</v>
      </c>
      <c r="L245" s="1">
        <v>282</v>
      </c>
      <c r="M245" s="1" t="s">
        <v>79</v>
      </c>
      <c r="O245" s="1">
        <f>((NOT(ISNA(VLOOKUP(M245,Monster!$H$2:$I$6,2,FALSE)))*L245)+J245)*(1+K245/100*0.25)</f>
        <v>1843.8000000000002</v>
      </c>
      <c r="P245" s="1" t="s">
        <v>615</v>
      </c>
      <c r="Q245" s="1">
        <v>2</v>
      </c>
    </row>
    <row r="246" spans="2:35" ht="12.75" hidden="1" x14ac:dyDescent="0.2">
      <c r="B246" s="3" t="s">
        <v>1373</v>
      </c>
      <c r="C246" s="3" t="s">
        <v>943</v>
      </c>
      <c r="D246" s="3" t="s">
        <v>596</v>
      </c>
      <c r="E246" s="1" t="s">
        <v>1304</v>
      </c>
      <c r="F246" s="3" t="s">
        <v>374</v>
      </c>
      <c r="G246" s="4">
        <f>IF(ISNA(VLOOKUP(F246,Monster!B:E,4,FALSE)),0,VLOOKUP(F246,Monster!B:E,4,FALSE))</f>
        <v>58</v>
      </c>
      <c r="H246" s="3"/>
      <c r="I246" s="3" t="s">
        <v>1373</v>
      </c>
      <c r="J246" s="4">
        <v>1205</v>
      </c>
      <c r="K246" s="4">
        <v>0</v>
      </c>
      <c r="L246" s="4">
        <v>1305</v>
      </c>
      <c r="M246" s="3" t="s">
        <v>71</v>
      </c>
      <c r="N246" s="3"/>
      <c r="O246" s="4">
        <f>((NOT(ISNA(VLOOKUP(M246,Monster!$H$2:$I$6,2,FALSE)))*L246)+J246)*(1+K246/100*0.25)</f>
        <v>2510</v>
      </c>
      <c r="P246" s="3" t="s">
        <v>689</v>
      </c>
      <c r="Q246" s="4">
        <v>1</v>
      </c>
      <c r="R246" s="3" t="s">
        <v>372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</row>
    <row r="247" spans="2:35" ht="12.75" hidden="1" x14ac:dyDescent="0.2">
      <c r="B247" s="1" t="s">
        <v>1374</v>
      </c>
      <c r="C247" s="1" t="s">
        <v>949</v>
      </c>
      <c r="D247" s="1" t="s">
        <v>596</v>
      </c>
      <c r="E247" s="1" t="s">
        <v>1304</v>
      </c>
      <c r="F247" s="1"/>
      <c r="G247" s="1">
        <f>IF(ISNA(VLOOKUP(F247,Monster!B:E,4,FALSE)),0,VLOOKUP(F247,Monster!B:E,4,FALSE))</f>
        <v>0</v>
      </c>
      <c r="I247" s="1" t="s">
        <v>1375</v>
      </c>
      <c r="J247" s="1">
        <v>1596</v>
      </c>
      <c r="K247" s="1">
        <v>0</v>
      </c>
      <c r="L247" s="1">
        <v>0</v>
      </c>
      <c r="M247" s="1" t="s">
        <v>107</v>
      </c>
      <c r="O247" s="1">
        <f>((NOT(ISNA(VLOOKUP(M247,Monster!$H$2:$I$6,2,FALSE)))*L247)+J247)*(1+K247/100*0.25)</f>
        <v>1596</v>
      </c>
      <c r="P247" s="1" t="s">
        <v>158</v>
      </c>
      <c r="Q247" s="1">
        <v>1</v>
      </c>
    </row>
    <row r="248" spans="2:35" ht="12.75" hidden="1" x14ac:dyDescent="0.2">
      <c r="B248" s="1" t="s">
        <v>1376</v>
      </c>
      <c r="C248" s="1" t="s">
        <v>1274</v>
      </c>
      <c r="D248" s="1" t="s">
        <v>596</v>
      </c>
      <c r="E248" s="1" t="s">
        <v>1304</v>
      </c>
      <c r="F248" s="1" t="s">
        <v>251</v>
      </c>
      <c r="G248" s="1">
        <f>IF(ISNA(VLOOKUP(F248,Monster!B:E,4,FALSE)),0,VLOOKUP(F248,Monster!B:E,4,FALSE))</f>
        <v>35</v>
      </c>
      <c r="I248" s="1" t="s">
        <v>1377</v>
      </c>
      <c r="J248" s="1">
        <v>1221</v>
      </c>
      <c r="K248" s="1">
        <v>0</v>
      </c>
      <c r="L248" s="1">
        <v>1142</v>
      </c>
      <c r="M248" s="1" t="s">
        <v>71</v>
      </c>
      <c r="O248" s="1">
        <f>((NOT(ISNA(VLOOKUP(M248,Monster!$H$2:$I$6,2,FALSE)))*L248)+J248)*(1+K248/100*0.25)</f>
        <v>2363</v>
      </c>
      <c r="P248" s="1" t="s">
        <v>492</v>
      </c>
      <c r="Q248" s="1">
        <v>2</v>
      </c>
    </row>
    <row r="249" spans="2:35" ht="12.75" hidden="1" x14ac:dyDescent="0.2">
      <c r="B249" s="1" t="s">
        <v>1378</v>
      </c>
      <c r="C249" s="1" t="s">
        <v>958</v>
      </c>
      <c r="D249" s="1" t="s">
        <v>596</v>
      </c>
      <c r="E249" s="1" t="s">
        <v>1304</v>
      </c>
      <c r="F249" s="1"/>
      <c r="G249" s="1">
        <f>IF(ISNA(VLOOKUP(F249,Monster!B:E,4,FALSE)),0,VLOOKUP(F249,Monster!B:E,4,FALSE))</f>
        <v>0</v>
      </c>
      <c r="I249" s="1" t="s">
        <v>1379</v>
      </c>
      <c r="J249" s="1">
        <v>1878</v>
      </c>
      <c r="K249" s="1">
        <v>0</v>
      </c>
      <c r="L249" s="1">
        <v>0</v>
      </c>
      <c r="M249" s="1" t="s">
        <v>107</v>
      </c>
      <c r="O249" s="1">
        <f>((NOT(ISNA(VLOOKUP(M249,Monster!$H$2:$I$6,2,FALSE)))*L249)+J249)*(1+K249/100*0.25)</f>
        <v>1878</v>
      </c>
      <c r="P249" s="1" t="s">
        <v>412</v>
      </c>
      <c r="Q249" s="1">
        <v>1</v>
      </c>
    </row>
    <row r="250" spans="2:35" ht="12.75" hidden="1" x14ac:dyDescent="0.2">
      <c r="B250" s="1" t="s">
        <v>1380</v>
      </c>
      <c r="C250" s="1" t="s">
        <v>34</v>
      </c>
      <c r="D250" s="1" t="s">
        <v>596</v>
      </c>
      <c r="E250" s="1" t="s">
        <v>1381</v>
      </c>
      <c r="F250" s="1"/>
      <c r="G250" s="1">
        <f>IF(ISNA(VLOOKUP(F250,Monster!B:E,4,FALSE)),0,VLOOKUP(F250,Monster!B:E,4,FALSE))</f>
        <v>0</v>
      </c>
      <c r="I250" s="1" t="s">
        <v>1382</v>
      </c>
      <c r="J250" s="1">
        <v>1596</v>
      </c>
      <c r="K250" s="1">
        <v>0</v>
      </c>
      <c r="L250" s="1">
        <v>0</v>
      </c>
      <c r="M250" s="1" t="s">
        <v>107</v>
      </c>
      <c r="O250" s="1">
        <f>((NOT(ISNA(VLOOKUP(M250,Monster!$H$2:$I$6,2,FALSE)))*L250)+J250)*(1+K250/100*0.25)</f>
        <v>1596</v>
      </c>
      <c r="P250" s="1" t="s">
        <v>410</v>
      </c>
      <c r="Q250" s="1">
        <v>2</v>
      </c>
    </row>
    <row r="251" spans="2:35" ht="12.75" hidden="1" x14ac:dyDescent="0.2">
      <c r="C251" s="1" t="s">
        <v>324</v>
      </c>
      <c r="D251" s="1" t="s">
        <v>596</v>
      </c>
      <c r="E251" s="1" t="s">
        <v>1381</v>
      </c>
      <c r="F251" s="1" t="s">
        <v>11</v>
      </c>
      <c r="G251" s="1">
        <f>IF(ISNA(VLOOKUP(F251,Monster!B:E,4,FALSE)),0,VLOOKUP(F251,Monster!B:E,4,FALSE))</f>
        <v>1</v>
      </c>
      <c r="J251" s="1">
        <v>1373</v>
      </c>
      <c r="K251" s="1">
        <v>0</v>
      </c>
      <c r="L251" s="1">
        <v>607</v>
      </c>
      <c r="M251" s="1" t="s">
        <v>50</v>
      </c>
      <c r="O251" s="1">
        <f>((NOT(ISNA(VLOOKUP(M251,Monster!$H$2:$I$6,2,FALSE)))*L251)+J251)*(1+K251/100*0.25)</f>
        <v>1980</v>
      </c>
      <c r="P251" s="1" t="s">
        <v>348</v>
      </c>
      <c r="Q251" s="1">
        <v>2</v>
      </c>
    </row>
    <row r="252" spans="2:35" ht="12.75" hidden="1" x14ac:dyDescent="0.2">
      <c r="B252" s="1" t="s">
        <v>1383</v>
      </c>
      <c r="C252" s="1" t="s">
        <v>439</v>
      </c>
      <c r="D252" s="1" t="s">
        <v>596</v>
      </c>
      <c r="E252" s="1" t="s">
        <v>1381</v>
      </c>
      <c r="F252" s="1" t="s">
        <v>47</v>
      </c>
      <c r="G252" s="1">
        <f>IF(ISNA(VLOOKUP(F252,Monster!B:E,4,FALSE)),0,VLOOKUP(F252,Monster!B:E,4,FALSE))</f>
        <v>2</v>
      </c>
      <c r="I252" s="1" t="s">
        <v>1384</v>
      </c>
      <c r="J252" s="1">
        <v>1596</v>
      </c>
      <c r="K252" s="1">
        <v>30</v>
      </c>
      <c r="L252" s="1">
        <v>0</v>
      </c>
      <c r="M252" s="1" t="s">
        <v>107</v>
      </c>
      <c r="O252" s="1">
        <f>((NOT(ISNA(VLOOKUP(M252,Monster!$H$2:$I$6,2,FALSE)))*L252)+J252)*(1+K252/100*0.25)</f>
        <v>1715.6999999999998</v>
      </c>
      <c r="P252" s="1" t="s">
        <v>319</v>
      </c>
      <c r="Q252" s="1">
        <v>2</v>
      </c>
    </row>
    <row r="253" spans="2:35" ht="12.75" hidden="1" x14ac:dyDescent="0.2">
      <c r="B253" s="1" t="s">
        <v>1385</v>
      </c>
      <c r="C253" s="1" t="s">
        <v>541</v>
      </c>
      <c r="D253" s="1" t="s">
        <v>596</v>
      </c>
      <c r="E253" s="1" t="s">
        <v>1381</v>
      </c>
      <c r="F253" s="1" t="s">
        <v>52</v>
      </c>
      <c r="G253" s="1">
        <f>IF(ISNA(VLOOKUP(F253,Monster!B:E,4,FALSE)),0,VLOOKUP(F253,Monster!B:E,4,FALSE))</f>
        <v>3</v>
      </c>
      <c r="I253" s="1" t="s">
        <v>1386</v>
      </c>
      <c r="J253" s="1">
        <v>1596</v>
      </c>
      <c r="K253" s="1">
        <v>0</v>
      </c>
      <c r="L253" s="1">
        <v>400</v>
      </c>
      <c r="M253" s="1" t="s">
        <v>79</v>
      </c>
      <c r="O253" s="1">
        <f>((NOT(ISNA(VLOOKUP(M253,Monster!$H$2:$I$6,2,FALSE)))*L253)+J253)*(1+K253/100*0.25)</f>
        <v>1596</v>
      </c>
      <c r="P253" s="1" t="s">
        <v>590</v>
      </c>
      <c r="Q253" s="1">
        <v>1</v>
      </c>
    </row>
    <row r="254" spans="2:35" ht="12.75" hidden="1" x14ac:dyDescent="0.2">
      <c r="B254" s="1" t="s">
        <v>1387</v>
      </c>
      <c r="C254" s="1" t="s">
        <v>617</v>
      </c>
      <c r="D254" s="1" t="s">
        <v>596</v>
      </c>
      <c r="E254" s="1" t="s">
        <v>1381</v>
      </c>
      <c r="F254" s="1" t="s">
        <v>60</v>
      </c>
      <c r="G254" s="1">
        <f>IF(ISNA(VLOOKUP(F254,Monster!B:E,4,FALSE)),0,VLOOKUP(F254,Monster!B:E,4,FALSE))</f>
        <v>4</v>
      </c>
      <c r="I254" s="1" t="s">
        <v>1388</v>
      </c>
      <c r="J254" s="1">
        <v>1221</v>
      </c>
      <c r="K254" s="1">
        <v>0</v>
      </c>
      <c r="L254" s="1">
        <v>1142</v>
      </c>
      <c r="M254" s="1" t="s">
        <v>50</v>
      </c>
      <c r="O254" s="1">
        <f>((NOT(ISNA(VLOOKUP(M254,Monster!$H$2:$I$6,2,FALSE)))*L254)+J254)*(1+K254/100*0.25)</f>
        <v>2363</v>
      </c>
      <c r="P254" s="1" t="s">
        <v>244</v>
      </c>
      <c r="Q254" s="1">
        <v>1</v>
      </c>
    </row>
    <row r="255" spans="2:35" ht="12.75" hidden="1" x14ac:dyDescent="0.2">
      <c r="B255" s="1" t="s">
        <v>1389</v>
      </c>
      <c r="C255" s="1" t="s">
        <v>696</v>
      </c>
      <c r="D255" s="1" t="s">
        <v>596</v>
      </c>
      <c r="E255" s="1" t="s">
        <v>1381</v>
      </c>
      <c r="F255" s="1" t="s">
        <v>69</v>
      </c>
      <c r="G255" s="1">
        <f>IF(ISNA(VLOOKUP(F255,Monster!B:E,4,FALSE)),0,VLOOKUP(F255,Monster!B:E,4,FALSE))</f>
        <v>5</v>
      </c>
      <c r="I255" s="1" t="s">
        <v>1390</v>
      </c>
      <c r="J255" s="1">
        <v>1756</v>
      </c>
      <c r="K255" s="1">
        <v>0</v>
      </c>
      <c r="L255" s="1">
        <v>0</v>
      </c>
      <c r="M255" s="1" t="s">
        <v>107</v>
      </c>
      <c r="O255" s="1">
        <f>((NOT(ISNA(VLOOKUP(M255,Monster!$H$2:$I$6,2,FALSE)))*L255)+J255)*(1+K255/100*0.25)</f>
        <v>1756</v>
      </c>
      <c r="P255" s="1" t="s">
        <v>213</v>
      </c>
      <c r="Q255" s="1">
        <v>2</v>
      </c>
    </row>
    <row r="256" spans="2:35" ht="12.75" hidden="1" x14ac:dyDescent="0.2">
      <c r="B256" s="1" t="s">
        <v>1391</v>
      </c>
      <c r="C256" s="1" t="s">
        <v>719</v>
      </c>
      <c r="D256" s="1" t="s">
        <v>596</v>
      </c>
      <c r="E256" s="1" t="s">
        <v>1381</v>
      </c>
      <c r="F256" s="1" t="s">
        <v>75</v>
      </c>
      <c r="G256" s="1">
        <f>IF(ISNA(VLOOKUP(F256,Monster!B:E,4,FALSE)),0,VLOOKUP(F256,Monster!B:E,4,FALSE))</f>
        <v>6</v>
      </c>
      <c r="I256" s="1" t="s">
        <v>1392</v>
      </c>
      <c r="J256" s="1">
        <v>1596</v>
      </c>
      <c r="K256" s="1">
        <v>0</v>
      </c>
      <c r="L256" s="1">
        <v>400</v>
      </c>
      <c r="M256" s="1" t="s">
        <v>87</v>
      </c>
      <c r="O256" s="1">
        <f>((NOT(ISNA(VLOOKUP(M256,Monster!$H$2:$I$6,2,FALSE)))*L256)+J256)*(1+K256/100*0.25)</f>
        <v>1596</v>
      </c>
      <c r="P256" s="1" t="s">
        <v>590</v>
      </c>
      <c r="Q256" s="1">
        <v>1</v>
      </c>
    </row>
    <row r="257" spans="2:17" ht="12.75" hidden="1" x14ac:dyDescent="0.2">
      <c r="B257" s="1" t="s">
        <v>1393</v>
      </c>
      <c r="C257" s="1" t="s">
        <v>729</v>
      </c>
      <c r="D257" s="1" t="s">
        <v>596</v>
      </c>
      <c r="E257" s="1" t="s">
        <v>1381</v>
      </c>
      <c r="F257" s="1" t="s">
        <v>81</v>
      </c>
      <c r="G257" s="1">
        <f>IF(ISNA(VLOOKUP(F257,Monster!B:E,4,FALSE)),0,VLOOKUP(F257,Monster!B:E,4,FALSE))</f>
        <v>7</v>
      </c>
      <c r="I257" s="1" t="s">
        <v>1394</v>
      </c>
      <c r="J257" s="1">
        <v>1293</v>
      </c>
      <c r="K257" s="1">
        <v>0</v>
      </c>
      <c r="L257" s="1">
        <v>910</v>
      </c>
      <c r="M257" s="1" t="s">
        <v>58</v>
      </c>
      <c r="O257" s="1">
        <f>((NOT(ISNA(VLOOKUP(M257,Monster!$H$2:$I$6,2,FALSE)))*L257)+J257)*(1+K257/100*0.25)</f>
        <v>2203</v>
      </c>
      <c r="P257" s="1" t="s">
        <v>253</v>
      </c>
      <c r="Q257" s="1">
        <v>1</v>
      </c>
    </row>
    <row r="258" spans="2:17" ht="12.75" hidden="1" x14ac:dyDescent="0.2">
      <c r="C258" s="1" t="s">
        <v>735</v>
      </c>
      <c r="D258" s="1" t="s">
        <v>596</v>
      </c>
      <c r="E258" s="1" t="s">
        <v>1381</v>
      </c>
      <c r="F258" s="1" t="s">
        <v>91</v>
      </c>
      <c r="G258" s="1">
        <f>IF(ISNA(VLOOKUP(F258,Monster!B:E,4,FALSE)),0,VLOOKUP(F258,Monster!B:E,4,FALSE))</f>
        <v>8</v>
      </c>
      <c r="J258" s="1">
        <v>1764</v>
      </c>
      <c r="K258" s="1">
        <v>0</v>
      </c>
      <c r="L258" s="1">
        <v>0</v>
      </c>
      <c r="M258" s="1" t="s">
        <v>107</v>
      </c>
      <c r="O258" s="1">
        <f>((NOT(ISNA(VLOOKUP(M258,Monster!$H$2:$I$6,2,FALSE)))*L258)+J258)*(1+K258/100*0.25)</f>
        <v>1764</v>
      </c>
      <c r="P258" s="1" t="s">
        <v>228</v>
      </c>
      <c r="Q258" s="1">
        <v>2</v>
      </c>
    </row>
    <row r="259" spans="2:17" ht="12.75" hidden="1" x14ac:dyDescent="0.2">
      <c r="B259" s="1" t="s">
        <v>1395</v>
      </c>
      <c r="C259" s="1" t="s">
        <v>740</v>
      </c>
      <c r="D259" s="1" t="s">
        <v>596</v>
      </c>
      <c r="E259" s="1" t="s">
        <v>1381</v>
      </c>
      <c r="F259" s="1" t="s">
        <v>97</v>
      </c>
      <c r="G259" s="1">
        <f>IF(ISNA(VLOOKUP(F259,Monster!B:E,4,FALSE)),0,VLOOKUP(F259,Monster!B:E,4,FALSE))</f>
        <v>9</v>
      </c>
      <c r="I259" s="1" t="s">
        <v>1395</v>
      </c>
      <c r="J259" s="1">
        <v>1756</v>
      </c>
      <c r="K259" s="1">
        <v>0</v>
      </c>
      <c r="L259" s="1">
        <v>300</v>
      </c>
      <c r="M259" s="1" t="s">
        <v>95</v>
      </c>
      <c r="O259" s="1">
        <f>((NOT(ISNA(VLOOKUP(M259,Monster!$H$2:$I$6,2,FALSE)))*L259)+J259)*(1+K259/100*0.25)</f>
        <v>1756</v>
      </c>
      <c r="P259" s="1" t="s">
        <v>590</v>
      </c>
      <c r="Q259" s="1">
        <v>1</v>
      </c>
    </row>
    <row r="260" spans="2:17" ht="12.75" hidden="1" x14ac:dyDescent="0.2">
      <c r="B260" s="1" t="s">
        <v>1396</v>
      </c>
      <c r="C260" s="1" t="s">
        <v>745</v>
      </c>
      <c r="D260" s="1" t="s">
        <v>596</v>
      </c>
      <c r="E260" s="1" t="s">
        <v>1381</v>
      </c>
      <c r="F260" s="1" t="s">
        <v>102</v>
      </c>
      <c r="G260" s="1">
        <f>IF(ISNA(VLOOKUP(F260,Monster!B:E,4,FALSE)),0,VLOOKUP(F260,Monster!B:E,4,FALSE))</f>
        <v>10</v>
      </c>
      <c r="I260" s="1" t="s">
        <v>1397</v>
      </c>
      <c r="J260" s="1">
        <v>1293</v>
      </c>
      <c r="K260" s="1">
        <v>0</v>
      </c>
      <c r="L260" s="1">
        <v>910</v>
      </c>
      <c r="M260" s="1" t="s">
        <v>50</v>
      </c>
      <c r="O260" s="1">
        <f>((NOT(ISNA(VLOOKUP(M260,Monster!$H$2:$I$6,2,FALSE)))*L260)+J260)*(1+K260/100*0.25)</f>
        <v>2203</v>
      </c>
      <c r="P260" s="1" t="s">
        <v>394</v>
      </c>
      <c r="Q260" s="1">
        <v>1</v>
      </c>
    </row>
    <row r="261" spans="2:17" ht="12.75" hidden="1" x14ac:dyDescent="0.2">
      <c r="B261" s="1" t="s">
        <v>1398</v>
      </c>
      <c r="C261" s="1" t="s">
        <v>750</v>
      </c>
      <c r="D261" s="1" t="s">
        <v>596</v>
      </c>
      <c r="E261" s="1" t="s">
        <v>1381</v>
      </c>
      <c r="F261" s="1" t="s">
        <v>109</v>
      </c>
      <c r="G261" s="1">
        <f>IF(ISNA(VLOOKUP(F261,Monster!B:E,4,FALSE)),0,VLOOKUP(F261,Monster!B:E,4,FALSE))</f>
        <v>11</v>
      </c>
      <c r="I261" s="1" t="s">
        <v>1399</v>
      </c>
      <c r="J261" s="1">
        <v>1293</v>
      </c>
      <c r="K261" s="1">
        <v>0</v>
      </c>
      <c r="L261" s="1">
        <v>910</v>
      </c>
      <c r="M261" s="1" t="s">
        <v>41</v>
      </c>
      <c r="O261" s="1">
        <f>((NOT(ISNA(VLOOKUP(M261,Monster!$H$2:$I$6,2,FALSE)))*L261)+J261)*(1+K261/100*0.25)</f>
        <v>2203</v>
      </c>
      <c r="P261" s="1" t="s">
        <v>543</v>
      </c>
      <c r="Q261" s="1">
        <v>1</v>
      </c>
    </row>
    <row r="262" spans="2:17" ht="12.75" hidden="1" x14ac:dyDescent="0.2">
      <c r="B262" s="1" t="s">
        <v>1400</v>
      </c>
      <c r="C262" s="1" t="s">
        <v>756</v>
      </c>
      <c r="D262" s="1" t="s">
        <v>596</v>
      </c>
      <c r="E262" s="1" t="s">
        <v>1381</v>
      </c>
      <c r="F262" s="1" t="s">
        <v>119</v>
      </c>
      <c r="G262" s="1">
        <f>IF(ISNA(VLOOKUP(F262,Monster!B:E,4,FALSE)),0,VLOOKUP(F262,Monster!B:E,4,FALSE))</f>
        <v>12</v>
      </c>
      <c r="I262" s="1" t="s">
        <v>1400</v>
      </c>
      <c r="J262" s="1">
        <v>1197</v>
      </c>
      <c r="K262" s="1">
        <v>20</v>
      </c>
      <c r="L262" s="1">
        <v>1154</v>
      </c>
      <c r="M262" s="1" t="s">
        <v>58</v>
      </c>
      <c r="O262" s="1">
        <f>((NOT(ISNA(VLOOKUP(M262,Monster!$H$2:$I$6,2,FALSE)))*L262)+J262)*(1+K262/100*0.25)</f>
        <v>2468.5500000000002</v>
      </c>
      <c r="P262" s="1" t="s">
        <v>175</v>
      </c>
      <c r="Q262" s="1">
        <v>1</v>
      </c>
    </row>
    <row r="263" spans="2:17" ht="12.75" hidden="1" x14ac:dyDescent="0.2">
      <c r="C263" s="1" t="s">
        <v>761</v>
      </c>
      <c r="D263" s="1" t="s">
        <v>596</v>
      </c>
      <c r="E263" s="1" t="s">
        <v>1381</v>
      </c>
      <c r="F263" s="1" t="s">
        <v>125</v>
      </c>
      <c r="G263" s="1">
        <f>IF(ISNA(VLOOKUP(F263,Monster!B:E,4,FALSE)),0,VLOOKUP(F263,Monster!B:E,4,FALSE))</f>
        <v>13</v>
      </c>
      <c r="J263" s="1">
        <v>1516</v>
      </c>
      <c r="K263" s="1">
        <v>0</v>
      </c>
      <c r="L263" s="1">
        <v>496</v>
      </c>
      <c r="M263" s="1" t="s">
        <v>79</v>
      </c>
      <c r="O263" s="1">
        <f>((NOT(ISNA(VLOOKUP(M263,Monster!$H$2:$I$6,2,FALSE)))*L263)+J263)*(1+K263/100*0.25)</f>
        <v>1516</v>
      </c>
      <c r="P263" s="1" t="s">
        <v>348</v>
      </c>
      <c r="Q263" s="1">
        <v>2</v>
      </c>
    </row>
    <row r="264" spans="2:17" ht="12.75" hidden="1" x14ac:dyDescent="0.2">
      <c r="C264" s="1" t="s">
        <v>766</v>
      </c>
      <c r="D264" s="1" t="s">
        <v>596</v>
      </c>
      <c r="E264" s="1" t="s">
        <v>1381</v>
      </c>
      <c r="F264" s="1" t="s">
        <v>131</v>
      </c>
      <c r="G264" s="1">
        <f>IF(ISNA(VLOOKUP(F264,Monster!B:E,4,FALSE)),0,VLOOKUP(F264,Monster!B:E,4,FALSE))</f>
        <v>14</v>
      </c>
      <c r="J264" s="1">
        <v>1756</v>
      </c>
      <c r="K264" s="1">
        <v>0</v>
      </c>
      <c r="L264" s="1">
        <v>300</v>
      </c>
      <c r="M264" s="1" t="s">
        <v>79</v>
      </c>
      <c r="O264" s="1">
        <f>((NOT(ISNA(VLOOKUP(M264,Monster!$H$2:$I$6,2,FALSE)))*L264)+J264)*(1+K264/100*0.25)</f>
        <v>1756</v>
      </c>
      <c r="P264" s="1" t="s">
        <v>253</v>
      </c>
      <c r="Q264" s="1">
        <v>1</v>
      </c>
    </row>
    <row r="265" spans="2:17" ht="12.75" hidden="1" x14ac:dyDescent="0.2">
      <c r="C265" s="1" t="s">
        <v>771</v>
      </c>
      <c r="D265" s="1" t="s">
        <v>596</v>
      </c>
      <c r="E265" s="1" t="s">
        <v>1381</v>
      </c>
      <c r="F265" s="1" t="s">
        <v>137</v>
      </c>
      <c r="G265" s="1">
        <f>IF(ISNA(VLOOKUP(F265,Monster!B:E,4,FALSE)),0,VLOOKUP(F265,Monster!B:E,4,FALSE))</f>
        <v>15</v>
      </c>
      <c r="J265" s="1">
        <v>1675</v>
      </c>
      <c r="K265" s="1">
        <v>30</v>
      </c>
      <c r="L265" s="1">
        <v>399</v>
      </c>
      <c r="M265" s="1" t="s">
        <v>79</v>
      </c>
      <c r="O265" s="1">
        <f>((NOT(ISNA(VLOOKUP(M265,Monster!$H$2:$I$6,2,FALSE)))*L265)+J265)*(1+K265/100*0.25)</f>
        <v>1800.625</v>
      </c>
      <c r="P265" s="1" t="s">
        <v>483</v>
      </c>
      <c r="Q265" s="1">
        <v>2</v>
      </c>
    </row>
    <row r="266" spans="2:17" ht="12.75" hidden="1" x14ac:dyDescent="0.2">
      <c r="C266" s="1" t="s">
        <v>775</v>
      </c>
      <c r="D266" s="1" t="s">
        <v>596</v>
      </c>
      <c r="E266" s="1" t="s">
        <v>1381</v>
      </c>
      <c r="F266" s="1" t="s">
        <v>146</v>
      </c>
      <c r="G266" s="1">
        <f>IF(ISNA(VLOOKUP(F266,Monster!B:E,4,FALSE)),0,VLOOKUP(F266,Monster!B:E,4,FALSE))</f>
        <v>16</v>
      </c>
      <c r="J266" s="1">
        <v>1221</v>
      </c>
      <c r="K266" s="1">
        <v>0</v>
      </c>
      <c r="L266" s="1">
        <v>1142</v>
      </c>
      <c r="M266" s="1" t="s">
        <v>66</v>
      </c>
      <c r="O266" s="1">
        <f>((NOT(ISNA(VLOOKUP(M266,Monster!$H$2:$I$6,2,FALSE)))*L266)+J266)*(1+K266/100*0.25)</f>
        <v>2363</v>
      </c>
      <c r="P266" s="1" t="s">
        <v>228</v>
      </c>
      <c r="Q266" s="1">
        <v>2</v>
      </c>
    </row>
    <row r="267" spans="2:17" ht="12.75" hidden="1" x14ac:dyDescent="0.2">
      <c r="B267" s="1" t="s">
        <v>1401</v>
      </c>
      <c r="C267" s="1" t="s">
        <v>779</v>
      </c>
      <c r="D267" s="1" t="s">
        <v>596</v>
      </c>
      <c r="E267" s="1" t="s">
        <v>1381</v>
      </c>
      <c r="F267" s="1" t="s">
        <v>151</v>
      </c>
      <c r="G267" s="1">
        <f>IF(ISNA(VLOOKUP(F267,Monster!B:E,4,FALSE)),0,VLOOKUP(F267,Monster!B:E,4,FALSE))</f>
        <v>17</v>
      </c>
      <c r="I267" s="1" t="s">
        <v>1402</v>
      </c>
      <c r="J267" s="1">
        <v>1979</v>
      </c>
      <c r="K267" s="1">
        <v>0</v>
      </c>
      <c r="L267" s="1">
        <v>0</v>
      </c>
      <c r="M267" s="1" t="s">
        <v>107</v>
      </c>
      <c r="O267" s="1">
        <f>((NOT(ISNA(VLOOKUP(M267,Monster!$H$2:$I$6,2,FALSE)))*L267)+J267)*(1+K267/100*0.25)</f>
        <v>1979</v>
      </c>
      <c r="P267" s="1" t="s">
        <v>364</v>
      </c>
      <c r="Q267" s="1">
        <v>1</v>
      </c>
    </row>
    <row r="268" spans="2:17" ht="12.75" hidden="1" x14ac:dyDescent="0.2">
      <c r="B268" s="1" t="s">
        <v>1403</v>
      </c>
      <c r="C268" s="1" t="s">
        <v>782</v>
      </c>
      <c r="D268" s="1" t="s">
        <v>596</v>
      </c>
      <c r="E268" s="1" t="s">
        <v>1381</v>
      </c>
      <c r="F268" s="1" t="s">
        <v>155</v>
      </c>
      <c r="G268" s="1">
        <f>IF(ISNA(VLOOKUP(F268,Monster!B:E,4,FALSE)),0,VLOOKUP(F268,Monster!B:E,4,FALSE))</f>
        <v>18</v>
      </c>
      <c r="I268" s="1" t="s">
        <v>1403</v>
      </c>
      <c r="J268" s="1">
        <v>2218</v>
      </c>
      <c r="K268" s="1">
        <v>-30</v>
      </c>
      <c r="L268" s="1">
        <v>0</v>
      </c>
      <c r="M268" s="1" t="s">
        <v>107</v>
      </c>
      <c r="O268" s="1">
        <f>((NOT(ISNA(VLOOKUP(M268,Monster!$H$2:$I$6,2,FALSE)))*L268)+J268)*(1+K268/100*0.25)</f>
        <v>2051.65</v>
      </c>
      <c r="P268" s="1" t="s">
        <v>463</v>
      </c>
      <c r="Q268" s="1">
        <v>1</v>
      </c>
    </row>
    <row r="269" spans="2:17" ht="12.75" hidden="1" x14ac:dyDescent="0.2">
      <c r="B269" s="1" t="s">
        <v>1404</v>
      </c>
      <c r="C269" s="1" t="s">
        <v>786</v>
      </c>
      <c r="D269" s="1" t="s">
        <v>596</v>
      </c>
      <c r="E269" s="1" t="s">
        <v>1381</v>
      </c>
      <c r="F269" s="1" t="s">
        <v>160</v>
      </c>
      <c r="G269" s="1">
        <f>IF(ISNA(VLOOKUP(F269,Monster!B:E,4,FALSE)),0,VLOOKUP(F269,Monster!B:E,4,FALSE))</f>
        <v>19</v>
      </c>
      <c r="I269" s="1" t="s">
        <v>1405</v>
      </c>
      <c r="J269" s="1">
        <v>1221</v>
      </c>
      <c r="K269" s="1">
        <v>0</v>
      </c>
      <c r="L269" s="1">
        <v>1142</v>
      </c>
      <c r="M269" s="1" t="s">
        <v>41</v>
      </c>
      <c r="O269" s="1">
        <f>((NOT(ISNA(VLOOKUP(M269,Monster!$H$2:$I$6,2,FALSE)))*L269)+J269)*(1+K269/100*0.25)</f>
        <v>2363</v>
      </c>
      <c r="P269" s="1" t="s">
        <v>244</v>
      </c>
      <c r="Q269" s="1">
        <v>1</v>
      </c>
    </row>
    <row r="270" spans="2:17" ht="12.75" hidden="1" x14ac:dyDescent="0.2">
      <c r="C270" s="1" t="s">
        <v>790</v>
      </c>
      <c r="D270" s="1" t="s">
        <v>596</v>
      </c>
      <c r="E270" s="1" t="s">
        <v>1381</v>
      </c>
      <c r="F270" s="1" t="s">
        <v>165</v>
      </c>
      <c r="G270" s="1">
        <f>IF(ISNA(VLOOKUP(F270,Monster!B:E,4,FALSE)),0,VLOOKUP(F270,Monster!B:E,4,FALSE))</f>
        <v>20</v>
      </c>
      <c r="J270" s="1">
        <v>1682</v>
      </c>
      <c r="K270" s="1">
        <v>0</v>
      </c>
      <c r="L270" s="1">
        <v>605</v>
      </c>
      <c r="M270" s="1" t="s">
        <v>41</v>
      </c>
      <c r="O270" s="1">
        <f>((NOT(ISNA(VLOOKUP(M270,Monster!$H$2:$I$6,2,FALSE)))*L270)+J270)*(1+K270/100*0.25)</f>
        <v>2287</v>
      </c>
      <c r="P270" s="1" t="s">
        <v>602</v>
      </c>
      <c r="Q270" s="1">
        <v>1</v>
      </c>
    </row>
    <row r="271" spans="2:17" ht="12.75" hidden="1" x14ac:dyDescent="0.2">
      <c r="B271" s="1" t="s">
        <v>1406</v>
      </c>
      <c r="C271" s="1" t="s">
        <v>794</v>
      </c>
      <c r="D271" s="1" t="s">
        <v>596</v>
      </c>
      <c r="E271" s="1" t="s">
        <v>1381</v>
      </c>
      <c r="F271" s="1" t="s">
        <v>171</v>
      </c>
      <c r="G271" s="1">
        <f>IF(ISNA(VLOOKUP(F271,Monster!B:E,4,FALSE)),0,VLOOKUP(F271,Monster!B:E,4,FALSE))</f>
        <v>21</v>
      </c>
      <c r="I271" s="1" t="s">
        <v>1406</v>
      </c>
      <c r="J271" s="1">
        <v>1258</v>
      </c>
      <c r="K271" s="1">
        <v>30</v>
      </c>
      <c r="L271" s="1">
        <v>1082</v>
      </c>
      <c r="M271" s="1" t="s">
        <v>41</v>
      </c>
      <c r="O271" s="1">
        <f>((NOT(ISNA(VLOOKUP(M271,Monster!$H$2:$I$6,2,FALSE)))*L271)+J271)*(1+K271/100*0.25)</f>
        <v>2515.5</v>
      </c>
      <c r="P271" s="1" t="s">
        <v>175</v>
      </c>
      <c r="Q271" s="1">
        <v>2</v>
      </c>
    </row>
    <row r="272" spans="2:17" ht="12.75" hidden="1" x14ac:dyDescent="0.2">
      <c r="B272" s="1" t="s">
        <v>1407</v>
      </c>
      <c r="C272" s="1" t="s">
        <v>797</v>
      </c>
      <c r="D272" s="1" t="s">
        <v>596</v>
      </c>
      <c r="E272" s="1" t="s">
        <v>1381</v>
      </c>
      <c r="F272" s="1" t="s">
        <v>176</v>
      </c>
      <c r="G272" s="1">
        <f>IF(ISNA(VLOOKUP(F272,Monster!B:E,4,FALSE)),0,VLOOKUP(F272,Monster!B:E,4,FALSE))</f>
        <v>22</v>
      </c>
      <c r="I272" s="1" t="s">
        <v>1408</v>
      </c>
      <c r="J272" s="1">
        <v>1596</v>
      </c>
      <c r="K272" s="1">
        <v>0</v>
      </c>
      <c r="L272" s="1">
        <v>400</v>
      </c>
      <c r="M272" s="1" t="s">
        <v>95</v>
      </c>
      <c r="O272" s="1">
        <f>((NOT(ISNA(VLOOKUP(M272,Monster!$H$2:$I$6,2,FALSE)))*L272)+J272)*(1+K272/100*0.25)</f>
        <v>1596</v>
      </c>
      <c r="P272" s="1" t="s">
        <v>213</v>
      </c>
      <c r="Q272" s="1">
        <v>2</v>
      </c>
    </row>
    <row r="273" spans="2:17" ht="12.75" hidden="1" x14ac:dyDescent="0.2">
      <c r="B273" s="1" t="s">
        <v>1409</v>
      </c>
      <c r="C273" s="1" t="s">
        <v>800</v>
      </c>
      <c r="D273" s="1" t="s">
        <v>596</v>
      </c>
      <c r="E273" s="1" t="s">
        <v>1381</v>
      </c>
      <c r="F273" s="1" t="s">
        <v>184</v>
      </c>
      <c r="G273" s="1">
        <f>IF(ISNA(VLOOKUP(F273,Monster!B:E,4,FALSE)),0,VLOOKUP(F273,Monster!B:E,4,FALSE))</f>
        <v>23</v>
      </c>
      <c r="I273" s="1" t="s">
        <v>1409</v>
      </c>
      <c r="J273" s="1">
        <v>1764</v>
      </c>
      <c r="K273" s="1">
        <v>0</v>
      </c>
      <c r="L273" s="1">
        <v>0</v>
      </c>
      <c r="M273" s="1" t="s">
        <v>107</v>
      </c>
      <c r="O273" s="1">
        <f>((NOT(ISNA(VLOOKUP(M273,Monster!$H$2:$I$6,2,FALSE)))*L273)+J273)*(1+K273/100*0.25)</f>
        <v>1764</v>
      </c>
      <c r="P273" s="1" t="s">
        <v>306</v>
      </c>
      <c r="Q273" s="1">
        <v>2</v>
      </c>
    </row>
    <row r="274" spans="2:17" ht="12.75" hidden="1" x14ac:dyDescent="0.2">
      <c r="B274" s="1" t="s">
        <v>1410</v>
      </c>
      <c r="C274" s="1" t="s">
        <v>803</v>
      </c>
      <c r="D274" s="1" t="s">
        <v>596</v>
      </c>
      <c r="E274" s="1" t="s">
        <v>1381</v>
      </c>
      <c r="F274" s="1" t="s">
        <v>190</v>
      </c>
      <c r="G274" s="1">
        <f>IF(ISNA(VLOOKUP(F274,Monster!B:E,4,FALSE)),0,VLOOKUP(F274,Monster!B:E,4,FALSE))</f>
        <v>24</v>
      </c>
      <c r="I274" s="1" t="s">
        <v>1410</v>
      </c>
      <c r="J274" s="1">
        <v>1191</v>
      </c>
      <c r="K274" s="1">
        <v>20</v>
      </c>
      <c r="L274" s="1">
        <v>910</v>
      </c>
      <c r="M274" s="1" t="s">
        <v>66</v>
      </c>
      <c r="O274" s="1">
        <f>((NOT(ISNA(VLOOKUP(M274,Monster!$H$2:$I$6,2,FALSE)))*L274)+J274)*(1+K274/100*0.25)</f>
        <v>2206.0500000000002</v>
      </c>
      <c r="P274" s="1" t="s">
        <v>253</v>
      </c>
      <c r="Q274" s="1">
        <v>1</v>
      </c>
    </row>
    <row r="275" spans="2:17" ht="12.75" hidden="1" x14ac:dyDescent="0.2">
      <c r="B275" s="1" t="s">
        <v>1411</v>
      </c>
      <c r="C275" s="1" t="s">
        <v>807</v>
      </c>
      <c r="D275" s="1" t="s">
        <v>596</v>
      </c>
      <c r="E275" s="1" t="s">
        <v>1381</v>
      </c>
      <c r="F275" s="1" t="s">
        <v>193</v>
      </c>
      <c r="G275" s="1">
        <f>IF(ISNA(VLOOKUP(F275,Monster!B:E,4,FALSE)),0,VLOOKUP(F275,Monster!B:E,4,FALSE))</f>
        <v>25</v>
      </c>
      <c r="I275" s="1" t="s">
        <v>1412</v>
      </c>
      <c r="J275" s="1">
        <v>1221</v>
      </c>
      <c r="K275" s="1">
        <v>0</v>
      </c>
      <c r="L275" s="1">
        <v>1142</v>
      </c>
      <c r="M275" s="1" t="s">
        <v>58</v>
      </c>
      <c r="O275" s="1">
        <f>((NOT(ISNA(VLOOKUP(M275,Monster!$H$2:$I$6,2,FALSE)))*L275)+J275)*(1+K275/100*0.25)</f>
        <v>2363</v>
      </c>
      <c r="P275" s="1" t="s">
        <v>38</v>
      </c>
      <c r="Q275" s="1">
        <v>1</v>
      </c>
    </row>
    <row r="276" spans="2:17" ht="12.75" hidden="1" x14ac:dyDescent="0.2">
      <c r="C276" s="1" t="s">
        <v>810</v>
      </c>
      <c r="D276" s="1" t="s">
        <v>596</v>
      </c>
      <c r="E276" s="1" t="s">
        <v>1381</v>
      </c>
      <c r="F276" s="1" t="s">
        <v>197</v>
      </c>
      <c r="G276" s="1">
        <f>IF(ISNA(VLOOKUP(F276,Monster!B:E,4,FALSE)),0,VLOOKUP(F276,Monster!B:E,4,FALSE))</f>
        <v>26</v>
      </c>
      <c r="J276" s="1">
        <v>1588</v>
      </c>
      <c r="K276" s="1">
        <v>0</v>
      </c>
      <c r="L276" s="1">
        <v>632</v>
      </c>
      <c r="M276" s="1" t="s">
        <v>58</v>
      </c>
      <c r="O276" s="1">
        <f>((NOT(ISNA(VLOOKUP(M276,Monster!$H$2:$I$6,2,FALSE)))*L276)+J276)*(1+K276/100*0.25)</f>
        <v>2220</v>
      </c>
      <c r="P276" s="1" t="s">
        <v>412</v>
      </c>
      <c r="Q276" s="1">
        <v>1</v>
      </c>
    </row>
    <row r="277" spans="2:17" ht="12.75" hidden="1" x14ac:dyDescent="0.2">
      <c r="C277" s="1" t="s">
        <v>813</v>
      </c>
      <c r="D277" s="1" t="s">
        <v>596</v>
      </c>
      <c r="E277" s="1" t="s">
        <v>1381</v>
      </c>
      <c r="F277" s="1" t="s">
        <v>205</v>
      </c>
      <c r="G277" s="1">
        <f>IF(ISNA(VLOOKUP(F277,Monster!B:E,4,FALSE)),0,VLOOKUP(F277,Monster!B:E,4,FALSE))</f>
        <v>27</v>
      </c>
      <c r="J277" s="1">
        <v>1719</v>
      </c>
      <c r="K277" s="1">
        <v>20</v>
      </c>
      <c r="L277" s="1">
        <v>0</v>
      </c>
      <c r="M277" s="1" t="s">
        <v>107</v>
      </c>
      <c r="O277" s="1">
        <f>((NOT(ISNA(VLOOKUP(M277,Monster!$H$2:$I$6,2,FALSE)))*L277)+J277)*(1+K277/100*0.25)</f>
        <v>1804.95</v>
      </c>
      <c r="P277" s="1" t="s">
        <v>269</v>
      </c>
      <c r="Q277" s="1">
        <v>1</v>
      </c>
    </row>
    <row r="278" spans="2:17" ht="12.75" hidden="1" x14ac:dyDescent="0.2">
      <c r="C278" s="1" t="s">
        <v>816</v>
      </c>
      <c r="D278" s="1" t="s">
        <v>596</v>
      </c>
      <c r="E278" s="1" t="s">
        <v>1381</v>
      </c>
      <c r="F278" s="1" t="s">
        <v>210</v>
      </c>
      <c r="G278" s="1">
        <f>IF(ISNA(VLOOKUP(F278,Monster!B:E,4,FALSE)),0,VLOOKUP(F278,Monster!B:E,4,FALSE))</f>
        <v>28</v>
      </c>
      <c r="J278" s="1">
        <v>1138</v>
      </c>
      <c r="K278" s="1">
        <v>20</v>
      </c>
      <c r="L278" s="1">
        <v>1156</v>
      </c>
      <c r="M278" s="1" t="s">
        <v>71</v>
      </c>
      <c r="O278" s="1">
        <f>((NOT(ISNA(VLOOKUP(M278,Monster!$H$2:$I$6,2,FALSE)))*L278)+J278)*(1+K278/100*0.25)</f>
        <v>2408.7000000000003</v>
      </c>
      <c r="P278" s="1" t="s">
        <v>166</v>
      </c>
      <c r="Q278" s="1">
        <v>1</v>
      </c>
    </row>
    <row r="279" spans="2:17" ht="12.75" hidden="1" x14ac:dyDescent="0.2">
      <c r="B279" s="1" t="s">
        <v>1413</v>
      </c>
      <c r="C279" s="1" t="s">
        <v>821</v>
      </c>
      <c r="D279" s="1" t="s">
        <v>596</v>
      </c>
      <c r="E279" s="1" t="s">
        <v>1381</v>
      </c>
      <c r="F279" s="1" t="s">
        <v>216</v>
      </c>
      <c r="G279" s="1">
        <f>IF(ISNA(VLOOKUP(F279,Monster!B:E,4,FALSE)),0,VLOOKUP(F279,Monster!B:E,4,FALSE))</f>
        <v>29</v>
      </c>
      <c r="I279" s="1" t="s">
        <v>1414</v>
      </c>
      <c r="J279" s="1">
        <v>1318</v>
      </c>
      <c r="K279" s="1">
        <v>-30</v>
      </c>
      <c r="L279" s="1">
        <v>1261</v>
      </c>
      <c r="M279" s="1" t="s">
        <v>71</v>
      </c>
      <c r="O279" s="1">
        <f>((NOT(ISNA(VLOOKUP(M279,Monster!$H$2:$I$6,2,FALSE)))*L279)+J279)*(1+K279/100*0.25)</f>
        <v>2385.5750000000003</v>
      </c>
      <c r="P279" s="1" t="s">
        <v>583</v>
      </c>
      <c r="Q279" s="1">
        <v>1</v>
      </c>
    </row>
    <row r="280" spans="2:17" ht="12.75" hidden="1" x14ac:dyDescent="0.2">
      <c r="B280" s="1" t="s">
        <v>1415</v>
      </c>
      <c r="C280" s="1" t="s">
        <v>825</v>
      </c>
      <c r="D280" s="1" t="s">
        <v>596</v>
      </c>
      <c r="E280" s="1" t="s">
        <v>1381</v>
      </c>
      <c r="F280" s="1" t="s">
        <v>223</v>
      </c>
      <c r="G280" s="1">
        <f>IF(ISNA(VLOOKUP(F280,Monster!B:E,4,FALSE)),0,VLOOKUP(F280,Monster!B:E,4,FALSE))</f>
        <v>30</v>
      </c>
      <c r="I280" s="1" t="s">
        <v>1416</v>
      </c>
      <c r="J280" s="1">
        <v>1666</v>
      </c>
      <c r="K280" s="1">
        <v>-15</v>
      </c>
      <c r="L280" s="1">
        <v>527</v>
      </c>
      <c r="M280" s="1" t="s">
        <v>41</v>
      </c>
      <c r="O280" s="1">
        <f>((NOT(ISNA(VLOOKUP(M280,Monster!$H$2:$I$6,2,FALSE)))*L280)+J280)*(1+K280/100*0.25)</f>
        <v>2110.7625000000003</v>
      </c>
      <c r="P280" s="1" t="s">
        <v>364</v>
      </c>
      <c r="Q280" s="1">
        <v>1</v>
      </c>
    </row>
    <row r="281" spans="2:17" ht="12.75" hidden="1" x14ac:dyDescent="0.2">
      <c r="B281" s="1" t="s">
        <v>1417</v>
      </c>
      <c r="C281" s="1" t="s">
        <v>829</v>
      </c>
      <c r="D281" s="1" t="s">
        <v>596</v>
      </c>
      <c r="E281" s="1" t="s">
        <v>1381</v>
      </c>
      <c r="F281" s="1" t="s">
        <v>229</v>
      </c>
      <c r="G281" s="1">
        <f>IF(ISNA(VLOOKUP(F281,Monster!B:E,4,FALSE)),0,VLOOKUP(F281,Monster!B:E,4,FALSE))</f>
        <v>31</v>
      </c>
      <c r="I281" s="1" t="s">
        <v>1418</v>
      </c>
      <c r="J281" s="1">
        <v>1194</v>
      </c>
      <c r="K281" s="1">
        <v>20</v>
      </c>
      <c r="L281" s="1">
        <v>913</v>
      </c>
      <c r="M281" s="1" t="s">
        <v>58</v>
      </c>
      <c r="O281" s="1">
        <f>((NOT(ISNA(VLOOKUP(M281,Monster!$H$2:$I$6,2,FALSE)))*L281)+J281)*(1+K281/100*0.25)</f>
        <v>2212.35</v>
      </c>
      <c r="P281" s="1" t="s">
        <v>470</v>
      </c>
      <c r="Q281" s="1">
        <v>1</v>
      </c>
    </row>
    <row r="282" spans="2:17" ht="12.75" hidden="1" x14ac:dyDescent="0.2">
      <c r="B282" s="1" t="s">
        <v>1419</v>
      </c>
      <c r="C282" s="1" t="s">
        <v>834</v>
      </c>
      <c r="D282" s="1" t="s">
        <v>596</v>
      </c>
      <c r="E282" s="1" t="s">
        <v>1381</v>
      </c>
      <c r="F282" s="1" t="s">
        <v>234</v>
      </c>
      <c r="G282" s="1">
        <f>IF(ISNA(VLOOKUP(F282,Monster!B:E,4,FALSE)),0,VLOOKUP(F282,Monster!B:E,4,FALSE))</f>
        <v>32</v>
      </c>
      <c r="I282" s="1" t="s">
        <v>1419</v>
      </c>
      <c r="J282" s="1">
        <v>1553</v>
      </c>
      <c r="K282" s="1">
        <v>0</v>
      </c>
      <c r="L282" s="1">
        <v>974</v>
      </c>
      <c r="M282" s="1" t="s">
        <v>66</v>
      </c>
      <c r="O282" s="1">
        <f>((NOT(ISNA(VLOOKUP(M282,Monster!$H$2:$I$6,2,FALSE)))*L282)+J282)*(1+K282/100*0.25)</f>
        <v>2527</v>
      </c>
      <c r="P282" s="1" t="s">
        <v>528</v>
      </c>
      <c r="Q282" s="1">
        <v>2</v>
      </c>
    </row>
    <row r="283" spans="2:17" ht="12.75" hidden="1" x14ac:dyDescent="0.2">
      <c r="B283" s="1" t="s">
        <v>1420</v>
      </c>
      <c r="C283" s="1" t="s">
        <v>839</v>
      </c>
      <c r="D283" s="1" t="s">
        <v>596</v>
      </c>
      <c r="E283" s="1" t="s">
        <v>1381</v>
      </c>
      <c r="F283" s="1" t="s">
        <v>239</v>
      </c>
      <c r="G283" s="1">
        <f>IF(ISNA(VLOOKUP(F283,Monster!B:E,4,FALSE)),0,VLOOKUP(F283,Monster!B:E,4,FALSE))</f>
        <v>33</v>
      </c>
      <c r="I283" s="1" t="s">
        <v>1421</v>
      </c>
      <c r="J283" s="1">
        <v>1138</v>
      </c>
      <c r="K283" s="1">
        <v>20</v>
      </c>
      <c r="L283" s="1">
        <v>1156</v>
      </c>
      <c r="M283" s="1" t="s">
        <v>50</v>
      </c>
      <c r="O283" s="1">
        <f>((NOT(ISNA(VLOOKUP(M283,Monster!$H$2:$I$6,2,FALSE)))*L283)+J283)*(1+K283/100*0.25)</f>
        <v>2408.7000000000003</v>
      </c>
      <c r="P283" s="1" t="s">
        <v>38</v>
      </c>
      <c r="Q283" s="1">
        <v>1</v>
      </c>
    </row>
    <row r="284" spans="2:17" ht="12.75" hidden="1" x14ac:dyDescent="0.2">
      <c r="B284" s="1" t="s">
        <v>1422</v>
      </c>
      <c r="C284" s="1" t="s">
        <v>845</v>
      </c>
      <c r="D284" s="1" t="s">
        <v>596</v>
      </c>
      <c r="E284" s="1" t="s">
        <v>1381</v>
      </c>
      <c r="F284" s="1" t="s">
        <v>245</v>
      </c>
      <c r="G284" s="1">
        <f>IF(ISNA(VLOOKUP(F284,Monster!B:E,4,FALSE)),0,VLOOKUP(F284,Monster!B:E,4,FALSE))</f>
        <v>34</v>
      </c>
      <c r="I284" s="1" t="s">
        <v>1422</v>
      </c>
      <c r="J284" s="1">
        <v>1684</v>
      </c>
      <c r="K284" s="1">
        <v>0</v>
      </c>
      <c r="L284" s="1">
        <v>502</v>
      </c>
      <c r="M284" s="1" t="s">
        <v>100</v>
      </c>
      <c r="O284" s="1">
        <f>((NOT(ISNA(VLOOKUP(M284,Monster!$H$2:$I$6,2,FALSE)))*L284)+J284)*(1+K284/100*0.25)</f>
        <v>1684</v>
      </c>
      <c r="P284" s="1" t="s">
        <v>364</v>
      </c>
      <c r="Q284" s="1">
        <v>2</v>
      </c>
    </row>
    <row r="285" spans="2:17" ht="12.75" hidden="1" x14ac:dyDescent="0.2">
      <c r="B285" s="1"/>
      <c r="C285" s="1" t="s">
        <v>849</v>
      </c>
      <c r="D285" s="1" t="s">
        <v>596</v>
      </c>
      <c r="E285" s="1" t="s">
        <v>1381</v>
      </c>
      <c r="F285" s="1" t="s">
        <v>251</v>
      </c>
      <c r="G285" s="1">
        <f>IF(ISNA(VLOOKUP(F285,Monster!B:E,4,FALSE)),0,VLOOKUP(F285,Monster!B:E,4,FALSE))</f>
        <v>35</v>
      </c>
      <c r="I285" s="1"/>
      <c r="J285" s="1">
        <v>1588</v>
      </c>
      <c r="K285" s="1">
        <v>0</v>
      </c>
      <c r="L285" s="1">
        <v>632</v>
      </c>
      <c r="M285" s="1" t="s">
        <v>41</v>
      </c>
      <c r="O285" s="1">
        <f>((NOT(ISNA(VLOOKUP(M285,Monster!$H$2:$I$6,2,FALSE)))*L285)+J285)*(1+K285/100*0.25)</f>
        <v>2220</v>
      </c>
      <c r="P285" s="1" t="s">
        <v>412</v>
      </c>
      <c r="Q285" s="1">
        <v>1</v>
      </c>
    </row>
    <row r="286" spans="2:17" ht="12.75" hidden="1" x14ac:dyDescent="0.2">
      <c r="B286" s="1" t="s">
        <v>1423</v>
      </c>
      <c r="C286" s="1" t="s">
        <v>853</v>
      </c>
      <c r="D286" s="1" t="s">
        <v>596</v>
      </c>
      <c r="E286" s="1" t="s">
        <v>1381</v>
      </c>
      <c r="F286" s="1" t="s">
        <v>256</v>
      </c>
      <c r="G286" s="1">
        <f>IF(ISNA(VLOOKUP(F286,Monster!B:E,4,FALSE)),0,VLOOKUP(F286,Monster!B:E,4,FALSE))</f>
        <v>36</v>
      </c>
      <c r="I286" s="1" t="s">
        <v>1424</v>
      </c>
      <c r="J286" s="1">
        <v>1516</v>
      </c>
      <c r="K286" s="1">
        <v>0</v>
      </c>
      <c r="L286" s="1">
        <v>496</v>
      </c>
      <c r="M286" s="1" t="s">
        <v>100</v>
      </c>
      <c r="O286" s="1">
        <f>((NOT(ISNA(VLOOKUP(M286,Monster!$H$2:$I$6,2,FALSE)))*L286)+J286)*(1+K286/100*0.25)</f>
        <v>1516</v>
      </c>
      <c r="P286" s="1" t="s">
        <v>463</v>
      </c>
      <c r="Q286" s="1">
        <v>1</v>
      </c>
    </row>
    <row r="287" spans="2:17" ht="12.75" hidden="1" x14ac:dyDescent="0.2">
      <c r="B287" s="1" t="s">
        <v>1425</v>
      </c>
      <c r="C287" s="1" t="s">
        <v>857</v>
      </c>
      <c r="D287" s="1" t="s">
        <v>596</v>
      </c>
      <c r="E287" s="1" t="s">
        <v>1381</v>
      </c>
      <c r="F287" s="1" t="s">
        <v>263</v>
      </c>
      <c r="G287" s="1">
        <f>IF(ISNA(VLOOKUP(F287,Monster!B:E,4,FALSE)),0,VLOOKUP(F287,Monster!B:E,4,FALSE))</f>
        <v>37</v>
      </c>
      <c r="I287" s="1" t="s">
        <v>1426</v>
      </c>
      <c r="J287" s="1">
        <v>1318</v>
      </c>
      <c r="K287" s="1">
        <v>-30</v>
      </c>
      <c r="L287" s="1">
        <v>1261</v>
      </c>
      <c r="M287" s="1" t="s">
        <v>58</v>
      </c>
      <c r="O287" s="1">
        <f>((NOT(ISNA(VLOOKUP(M287,Monster!$H$2:$I$6,2,FALSE)))*L287)+J287)*(1+K287/100*0.25)</f>
        <v>2385.5750000000003</v>
      </c>
      <c r="P287" s="1" t="s">
        <v>463</v>
      </c>
      <c r="Q287" s="1">
        <v>1</v>
      </c>
    </row>
    <row r="288" spans="2:17" ht="12.75" hidden="1" x14ac:dyDescent="0.2">
      <c r="B288" s="1" t="s">
        <v>1427</v>
      </c>
      <c r="C288" s="1" t="s">
        <v>863</v>
      </c>
      <c r="D288" s="1" t="s">
        <v>596</v>
      </c>
      <c r="E288" s="1" t="s">
        <v>1381</v>
      </c>
      <c r="F288" s="1" t="s">
        <v>268</v>
      </c>
      <c r="G288" s="1">
        <f>IF(ISNA(VLOOKUP(F288,Monster!B:E,4,FALSE)),0,VLOOKUP(F288,Monster!B:E,4,FALSE))</f>
        <v>38</v>
      </c>
      <c r="I288" s="1" t="s">
        <v>1427</v>
      </c>
      <c r="J288" s="1">
        <v>1553</v>
      </c>
      <c r="K288" s="1">
        <v>0</v>
      </c>
      <c r="L288" s="1">
        <v>974</v>
      </c>
      <c r="M288" s="1" t="s">
        <v>71</v>
      </c>
      <c r="O288" s="1">
        <f>((NOT(ISNA(VLOOKUP(M288,Monster!$H$2:$I$6,2,FALSE)))*L288)+J288)*(1+K288/100*0.25)</f>
        <v>2527</v>
      </c>
      <c r="P288" s="1" t="s">
        <v>463</v>
      </c>
      <c r="Q288" s="1">
        <v>2</v>
      </c>
    </row>
    <row r="289" spans="2:17" ht="12.75" hidden="1" x14ac:dyDescent="0.2">
      <c r="C289" s="1" t="s">
        <v>866</v>
      </c>
      <c r="D289" s="1" t="s">
        <v>596</v>
      </c>
      <c r="E289" s="1" t="s">
        <v>1381</v>
      </c>
      <c r="F289" s="1" t="s">
        <v>273</v>
      </c>
      <c r="G289" s="1">
        <f>IF(ISNA(VLOOKUP(F289,Monster!B:E,4,FALSE)),0,VLOOKUP(F289,Monster!B:E,4,FALSE))</f>
        <v>39</v>
      </c>
      <c r="J289" s="1">
        <v>1588</v>
      </c>
      <c r="K289" s="1">
        <v>0</v>
      </c>
      <c r="L289" s="1">
        <v>632</v>
      </c>
      <c r="M289" s="1" t="s">
        <v>66</v>
      </c>
      <c r="O289" s="1">
        <f>((NOT(ISNA(VLOOKUP(M289,Monster!$H$2:$I$6,2,FALSE)))*L289)+J289)*(1+K289/100*0.25)</f>
        <v>2220</v>
      </c>
      <c r="P289" s="1" t="s">
        <v>412</v>
      </c>
      <c r="Q289" s="1">
        <v>1</v>
      </c>
    </row>
    <row r="290" spans="2:17" ht="12.75" hidden="1" x14ac:dyDescent="0.2">
      <c r="B290" s="1" t="s">
        <v>1428</v>
      </c>
      <c r="C290" s="1" t="s">
        <v>869</v>
      </c>
      <c r="D290" s="1" t="s">
        <v>596</v>
      </c>
      <c r="E290" s="1" t="s">
        <v>1381</v>
      </c>
      <c r="F290" s="1" t="s">
        <v>278</v>
      </c>
      <c r="G290" s="1">
        <f>IF(ISNA(VLOOKUP(F290,Monster!B:E,4,FALSE)),0,VLOOKUP(F290,Monster!B:E,4,FALSE))</f>
        <v>40</v>
      </c>
      <c r="I290" s="1" t="s">
        <v>1429</v>
      </c>
      <c r="J290" s="1">
        <v>1516</v>
      </c>
      <c r="K290" s="1">
        <v>0</v>
      </c>
      <c r="L290" s="1">
        <v>496</v>
      </c>
      <c r="M290" s="1" t="s">
        <v>87</v>
      </c>
      <c r="O290" s="1">
        <f>((NOT(ISNA(VLOOKUP(M290,Monster!$H$2:$I$6,2,FALSE)))*L290)+J290)*(1+K290/100*0.25)</f>
        <v>1516</v>
      </c>
      <c r="P290" s="1" t="s">
        <v>253</v>
      </c>
      <c r="Q290" s="1">
        <v>1</v>
      </c>
    </row>
    <row r="291" spans="2:17" ht="12.75" hidden="1" x14ac:dyDescent="0.2">
      <c r="B291" s="1" t="s">
        <v>1430</v>
      </c>
      <c r="C291" s="1" t="s">
        <v>872</v>
      </c>
      <c r="D291" s="1" t="s">
        <v>596</v>
      </c>
      <c r="E291" s="1" t="s">
        <v>1381</v>
      </c>
      <c r="F291" s="1" t="s">
        <v>288</v>
      </c>
      <c r="G291" s="1">
        <f>IF(ISNA(VLOOKUP(F291,Monster!B:E,4,FALSE)),0,VLOOKUP(F291,Monster!B:E,4,FALSE))</f>
        <v>41</v>
      </c>
      <c r="I291" s="1" t="s">
        <v>1431</v>
      </c>
      <c r="J291" s="1">
        <v>1567</v>
      </c>
      <c r="K291" s="1">
        <v>-15</v>
      </c>
      <c r="L291" s="1">
        <v>496</v>
      </c>
      <c r="M291" s="1" t="s">
        <v>95</v>
      </c>
      <c r="O291" s="1">
        <f>((NOT(ISNA(VLOOKUP(M291,Monster!$H$2:$I$6,2,FALSE)))*L291)+J291)*(1+K291/100*0.25)</f>
        <v>1508.2375</v>
      </c>
      <c r="P291" s="1" t="s">
        <v>253</v>
      </c>
      <c r="Q291" s="1">
        <v>1</v>
      </c>
    </row>
    <row r="292" spans="2:17" ht="12.75" x14ac:dyDescent="0.2">
      <c r="B292" s="1" t="s">
        <v>1432</v>
      </c>
      <c r="C292" s="1" t="s">
        <v>875</v>
      </c>
      <c r="D292" s="1" t="s">
        <v>596</v>
      </c>
      <c r="E292" s="1" t="s">
        <v>1381</v>
      </c>
      <c r="F292" s="1" t="s">
        <v>293</v>
      </c>
      <c r="G292" s="1">
        <f>IF(ISNA(VLOOKUP(F292,Monster!B:E,4,FALSE)),0,VLOOKUP(F292,Monster!B:E,4,FALSE))</f>
        <v>42</v>
      </c>
      <c r="I292" s="1" t="s">
        <v>1433</v>
      </c>
      <c r="J292" s="1">
        <v>2198</v>
      </c>
      <c r="K292" s="1">
        <v>-40</v>
      </c>
      <c r="L292" s="1">
        <v>0</v>
      </c>
      <c r="M292" s="1" t="s">
        <v>107</v>
      </c>
      <c r="O292" s="1">
        <f>((NOT(ISNA(VLOOKUP(M292,Monster!$H$2:$I$6,2,FALSE)))*L292)+J292)*(1+K292/100*0.25)</f>
        <v>1978.2</v>
      </c>
      <c r="P292" s="1" t="s">
        <v>194</v>
      </c>
      <c r="Q292" s="1">
        <v>1</v>
      </c>
    </row>
    <row r="293" spans="2:17" ht="12.75" hidden="1" x14ac:dyDescent="0.2">
      <c r="C293" s="1" t="s">
        <v>880</v>
      </c>
      <c r="D293" s="1" t="s">
        <v>596</v>
      </c>
      <c r="E293" s="1" t="s">
        <v>1381</v>
      </c>
      <c r="F293" s="1" t="s">
        <v>298</v>
      </c>
      <c r="G293" s="1">
        <f>IF(ISNA(VLOOKUP(F293,Monster!B:E,4,FALSE)),0,VLOOKUP(F293,Monster!B:E,4,FALSE))</f>
        <v>43</v>
      </c>
      <c r="J293" s="1">
        <v>2198</v>
      </c>
      <c r="K293" s="1">
        <v>-10</v>
      </c>
      <c r="L293" s="1">
        <v>0</v>
      </c>
      <c r="M293" s="1" t="s">
        <v>107</v>
      </c>
      <c r="O293" s="1">
        <f>((NOT(ISNA(VLOOKUP(M293,Monster!$H$2:$I$6,2,FALSE)))*L293)+J293)*(1+K293/100*0.25)</f>
        <v>2143.0499999999997</v>
      </c>
      <c r="P293" s="1" t="s">
        <v>28</v>
      </c>
      <c r="Q293" s="1">
        <v>5</v>
      </c>
    </row>
    <row r="294" spans="2:17" ht="12.75" hidden="1" x14ac:dyDescent="0.2">
      <c r="C294" s="1" t="s">
        <v>885</v>
      </c>
      <c r="D294" s="1" t="s">
        <v>596</v>
      </c>
      <c r="E294" s="1" t="s">
        <v>1381</v>
      </c>
      <c r="F294" s="1" t="s">
        <v>302</v>
      </c>
      <c r="G294" s="1">
        <f>IF(ISNA(VLOOKUP(F294,Monster!B:E,4,FALSE)),0,VLOOKUP(F294,Monster!B:E,4,FALSE))</f>
        <v>44</v>
      </c>
      <c r="J294" s="1">
        <v>1205</v>
      </c>
      <c r="K294" s="1">
        <v>0</v>
      </c>
      <c r="L294" s="1">
        <v>1305</v>
      </c>
      <c r="M294" s="1" t="s">
        <v>58</v>
      </c>
      <c r="O294" s="1">
        <f>((NOT(ISNA(VLOOKUP(M294,Monster!$H$2:$I$6,2,FALSE)))*L294)+J294)*(1+K294/100*0.25)</f>
        <v>2510</v>
      </c>
      <c r="P294" s="1" t="s">
        <v>400</v>
      </c>
      <c r="Q294" s="1">
        <v>1</v>
      </c>
    </row>
    <row r="295" spans="2:17" ht="12.75" x14ac:dyDescent="0.2">
      <c r="C295" s="1" t="s">
        <v>888</v>
      </c>
      <c r="D295" s="1" t="s">
        <v>596</v>
      </c>
      <c r="E295" s="1" t="s">
        <v>1381</v>
      </c>
      <c r="F295" s="1" t="s">
        <v>305</v>
      </c>
      <c r="G295" s="1">
        <f>IF(ISNA(VLOOKUP(F295,Monster!B:E,4,FALSE)),0,VLOOKUP(F295,Monster!B:E,4,FALSE))</f>
        <v>45</v>
      </c>
      <c r="J295" s="1">
        <v>1942</v>
      </c>
      <c r="K295" s="1">
        <v>-30</v>
      </c>
      <c r="L295" s="1">
        <v>297</v>
      </c>
      <c r="M295" s="1" t="s">
        <v>100</v>
      </c>
      <c r="O295" s="1">
        <f>((NOT(ISNA(VLOOKUP(M295,Monster!$H$2:$I$6,2,FALSE)))*L295)+J295)*(1+K295/100*0.25)</f>
        <v>1796.3500000000001</v>
      </c>
      <c r="P295" s="1" t="s">
        <v>194</v>
      </c>
      <c r="Q295" s="1">
        <v>1</v>
      </c>
    </row>
    <row r="296" spans="2:17" ht="12.75" hidden="1" x14ac:dyDescent="0.2">
      <c r="B296" s="1" t="s">
        <v>1434</v>
      </c>
      <c r="C296" s="1" t="s">
        <v>892</v>
      </c>
      <c r="D296" s="1" t="s">
        <v>596</v>
      </c>
      <c r="E296" s="1" t="s">
        <v>1381</v>
      </c>
      <c r="F296" s="1" t="s">
        <v>310</v>
      </c>
      <c r="G296" s="1">
        <f>IF(ISNA(VLOOKUP(F296,Monster!B:E,4,FALSE)),0,VLOOKUP(F296,Monster!B:E,4,FALSE))</f>
        <v>46</v>
      </c>
      <c r="I296" s="1" t="s">
        <v>1435</v>
      </c>
      <c r="J296" s="1">
        <v>1834</v>
      </c>
      <c r="K296" s="1">
        <v>10</v>
      </c>
      <c r="L296" s="1">
        <v>0</v>
      </c>
      <c r="M296" s="1" t="s">
        <v>107</v>
      </c>
      <c r="O296" s="1">
        <f>((NOT(ISNA(VLOOKUP(M296,Monster!$H$2:$I$6,2,FALSE)))*L296)+J296)*(1+K296/100*0.25)</f>
        <v>1879.85</v>
      </c>
      <c r="P296" s="1" t="s">
        <v>407</v>
      </c>
      <c r="Q296" s="1">
        <v>1</v>
      </c>
    </row>
    <row r="297" spans="2:17" ht="12.75" hidden="1" x14ac:dyDescent="0.2">
      <c r="B297" s="1" t="s">
        <v>1436</v>
      </c>
      <c r="C297" s="1" t="s">
        <v>896</v>
      </c>
      <c r="D297" s="1" t="s">
        <v>596</v>
      </c>
      <c r="E297" s="1" t="s">
        <v>1381</v>
      </c>
      <c r="F297" s="1" t="s">
        <v>316</v>
      </c>
      <c r="G297" s="1">
        <f>IF(ISNA(VLOOKUP(F297,Monster!B:E,4,FALSE)),0,VLOOKUP(F297,Monster!B:E,4,FALSE))</f>
        <v>47</v>
      </c>
      <c r="I297" s="1" t="s">
        <v>1437</v>
      </c>
      <c r="J297" s="1">
        <v>1971</v>
      </c>
      <c r="K297" s="1">
        <v>-20</v>
      </c>
      <c r="L297" s="1">
        <v>0</v>
      </c>
      <c r="M297" s="1" t="s">
        <v>107</v>
      </c>
      <c r="O297" s="1">
        <f>((NOT(ISNA(VLOOKUP(M297,Monster!$H$2:$I$6,2,FALSE)))*L297)+J297)*(1+K297/100*0.25)</f>
        <v>1872.4499999999998</v>
      </c>
      <c r="P297" s="1" t="s">
        <v>602</v>
      </c>
      <c r="Q297" s="1">
        <v>2</v>
      </c>
    </row>
    <row r="298" spans="2:17" ht="12.75" x14ac:dyDescent="0.2">
      <c r="B298" s="1" t="s">
        <v>1438</v>
      </c>
      <c r="C298" s="1" t="s">
        <v>900</v>
      </c>
      <c r="D298" s="1" t="s">
        <v>596</v>
      </c>
      <c r="E298" s="1" t="s">
        <v>1381</v>
      </c>
      <c r="F298" s="1" t="s">
        <v>320</v>
      </c>
      <c r="G298" s="1">
        <f>IF(ISNA(VLOOKUP(F298,Monster!B:E,4,FALSE)),0,VLOOKUP(F298,Monster!B:E,4,FALSE))</f>
        <v>48</v>
      </c>
      <c r="I298" s="1" t="s">
        <v>1439</v>
      </c>
      <c r="J298" s="1">
        <v>1318</v>
      </c>
      <c r="K298" s="1">
        <v>-30</v>
      </c>
      <c r="L298" s="1">
        <v>1261</v>
      </c>
      <c r="M298" s="1" t="s">
        <v>41</v>
      </c>
      <c r="O298" s="1">
        <f>((NOT(ISNA(VLOOKUP(M298,Monster!$H$2:$I$6,2,FALSE)))*L298)+J298)*(1+K298/100*0.25)</f>
        <v>2385.5750000000003</v>
      </c>
      <c r="P298" s="1" t="s">
        <v>194</v>
      </c>
      <c r="Q298" s="1">
        <v>1</v>
      </c>
    </row>
    <row r="299" spans="2:17" ht="12.75" hidden="1" x14ac:dyDescent="0.2">
      <c r="B299" s="1" t="s">
        <v>1440</v>
      </c>
      <c r="C299" s="1" t="s">
        <v>904</v>
      </c>
      <c r="D299" s="1" t="s">
        <v>596</v>
      </c>
      <c r="E299" s="1" t="s">
        <v>1381</v>
      </c>
      <c r="F299" s="1" t="s">
        <v>328</v>
      </c>
      <c r="G299" s="1">
        <f>IF(ISNA(VLOOKUP(F299,Monster!B:E,4,FALSE)),0,VLOOKUP(F299,Monster!B:E,4,FALSE))</f>
        <v>49</v>
      </c>
      <c r="I299" s="1" t="s">
        <v>1440</v>
      </c>
      <c r="J299" s="1">
        <v>1741</v>
      </c>
      <c r="K299" s="1">
        <v>0</v>
      </c>
      <c r="L299" s="1">
        <v>505</v>
      </c>
      <c r="M299" s="1" t="s">
        <v>79</v>
      </c>
      <c r="O299" s="1">
        <f>((NOT(ISNA(VLOOKUP(M299,Monster!$H$2:$I$6,2,FALSE)))*L299)+J299)*(1+K299/100*0.25)</f>
        <v>1741</v>
      </c>
      <c r="P299" s="1" t="s">
        <v>624</v>
      </c>
      <c r="Q299" s="1">
        <v>2</v>
      </c>
    </row>
    <row r="300" spans="2:17" ht="12.75" hidden="1" x14ac:dyDescent="0.2">
      <c r="B300" s="1" t="s">
        <v>1441</v>
      </c>
      <c r="C300" s="1" t="s">
        <v>908</v>
      </c>
      <c r="D300" s="1" t="s">
        <v>596</v>
      </c>
      <c r="E300" s="1" t="s">
        <v>1381</v>
      </c>
      <c r="F300" s="1" t="s">
        <v>334</v>
      </c>
      <c r="G300" s="1">
        <f>IF(ISNA(VLOOKUP(F300,Monster!B:E,4,FALSE)),0,VLOOKUP(F300,Monster!B:E,4,FALSE))</f>
        <v>50</v>
      </c>
      <c r="I300" s="1" t="s">
        <v>1442</v>
      </c>
      <c r="J300" s="1">
        <v>1647</v>
      </c>
      <c r="K300" s="1">
        <v>10</v>
      </c>
      <c r="L300" s="1">
        <v>307</v>
      </c>
      <c r="M300" s="1" t="s">
        <v>79</v>
      </c>
      <c r="O300" s="1">
        <f>((NOT(ISNA(VLOOKUP(M300,Monster!$H$2:$I$6,2,FALSE)))*L300)+J300)*(1+K300/100*0.25)</f>
        <v>1688.175</v>
      </c>
      <c r="P300" s="1" t="s">
        <v>412</v>
      </c>
      <c r="Q300" s="1">
        <v>1</v>
      </c>
    </row>
    <row r="301" spans="2:17" ht="12.75" hidden="1" x14ac:dyDescent="0.2">
      <c r="B301" s="1" t="s">
        <v>1443</v>
      </c>
      <c r="C301" s="1" t="s">
        <v>913</v>
      </c>
      <c r="D301" s="1" t="s">
        <v>596</v>
      </c>
      <c r="E301" s="1" t="s">
        <v>1381</v>
      </c>
      <c r="F301" s="1" t="s">
        <v>339</v>
      </c>
      <c r="G301" s="1">
        <f>IF(ISNA(VLOOKUP(F301,Monster!B:E,4,FALSE)),0,VLOOKUP(F301,Monster!B:E,4,FALSE))</f>
        <v>51</v>
      </c>
      <c r="I301" s="1" t="s">
        <v>1444</v>
      </c>
      <c r="J301" s="1">
        <v>1764</v>
      </c>
      <c r="K301" s="1">
        <v>0</v>
      </c>
      <c r="L301" s="1">
        <v>0</v>
      </c>
      <c r="M301" s="1" t="s">
        <v>107</v>
      </c>
      <c r="O301" s="1">
        <f>((NOT(ISNA(VLOOKUP(M301,Monster!$H$2:$I$6,2,FALSE)))*L301)+J301)*(1+K301/100*0.25)</f>
        <v>1764</v>
      </c>
      <c r="P301" s="1" t="s">
        <v>560</v>
      </c>
      <c r="Q301" s="1">
        <v>2</v>
      </c>
    </row>
    <row r="302" spans="2:17" ht="12.75" hidden="1" x14ac:dyDescent="0.2">
      <c r="C302" s="1" t="s">
        <v>917</v>
      </c>
      <c r="D302" s="1" t="s">
        <v>596</v>
      </c>
      <c r="E302" s="1" t="s">
        <v>1381</v>
      </c>
      <c r="F302" s="1" t="s">
        <v>343</v>
      </c>
      <c r="G302" s="1">
        <f>IF(ISNA(VLOOKUP(F302,Monster!B:E,4,FALSE)),0,VLOOKUP(F302,Monster!B:E,4,FALSE))</f>
        <v>52</v>
      </c>
      <c r="J302" s="1">
        <v>1293</v>
      </c>
      <c r="K302" s="1">
        <v>0</v>
      </c>
      <c r="L302" s="1">
        <v>910</v>
      </c>
      <c r="M302" s="1" t="s">
        <v>66</v>
      </c>
      <c r="O302" s="1">
        <f>((NOT(ISNA(VLOOKUP(M302,Monster!$H$2:$I$6,2,FALSE)))*L302)+J302)*(1+K302/100*0.25)</f>
        <v>2203</v>
      </c>
      <c r="P302" s="1" t="s">
        <v>648</v>
      </c>
      <c r="Q302" s="1">
        <v>1</v>
      </c>
    </row>
    <row r="303" spans="2:17" ht="12.75" hidden="1" x14ac:dyDescent="0.2">
      <c r="B303" s="1" t="s">
        <v>1445</v>
      </c>
      <c r="C303" s="1" t="s">
        <v>922</v>
      </c>
      <c r="D303" s="1" t="s">
        <v>596</v>
      </c>
      <c r="E303" s="1" t="s">
        <v>1381</v>
      </c>
      <c r="F303" s="1" t="s">
        <v>349</v>
      </c>
      <c r="G303" s="1">
        <f>IF(ISNA(VLOOKUP(F303,Monster!B:E,4,FALSE)),0,VLOOKUP(F303,Monster!B:E,4,FALSE))</f>
        <v>53</v>
      </c>
      <c r="I303" s="1" t="s">
        <v>1446</v>
      </c>
      <c r="J303" s="1">
        <v>1738</v>
      </c>
      <c r="K303" s="1">
        <v>40</v>
      </c>
      <c r="L303" s="1">
        <v>0</v>
      </c>
      <c r="M303" s="1" t="s">
        <v>107</v>
      </c>
      <c r="O303" s="1">
        <f>((NOT(ISNA(VLOOKUP(M303,Monster!$H$2:$I$6,2,FALSE)))*L303)+J303)*(1+K303/100*0.25)</f>
        <v>1911.8000000000002</v>
      </c>
      <c r="P303" s="1" t="s">
        <v>535</v>
      </c>
      <c r="Q303" s="1">
        <v>2</v>
      </c>
    </row>
    <row r="304" spans="2:17" ht="12.75" hidden="1" x14ac:dyDescent="0.2">
      <c r="C304" s="1" t="s">
        <v>926</v>
      </c>
      <c r="D304" s="1" t="s">
        <v>596</v>
      </c>
      <c r="E304" s="1" t="s">
        <v>1381</v>
      </c>
      <c r="F304" s="1" t="s">
        <v>354</v>
      </c>
      <c r="G304" s="1">
        <f>IF(ISNA(VLOOKUP(F304,Monster!B:E,4,FALSE)),0,VLOOKUP(F304,Monster!B:E,4,FALSE))</f>
        <v>54</v>
      </c>
      <c r="J304" s="1">
        <v>1328</v>
      </c>
      <c r="K304" s="1">
        <v>20</v>
      </c>
      <c r="L304" s="1">
        <v>1074</v>
      </c>
      <c r="M304" s="1" t="s">
        <v>50</v>
      </c>
      <c r="O304" s="1">
        <f>((NOT(ISNA(VLOOKUP(M304,Monster!$H$2:$I$6,2,FALSE)))*L304)+J304)*(1+K304/100*0.25)</f>
        <v>2522.1</v>
      </c>
      <c r="P304" s="1" t="s">
        <v>677</v>
      </c>
      <c r="Q304" s="1">
        <v>1</v>
      </c>
    </row>
    <row r="305" spans="2:35" ht="12.75" hidden="1" x14ac:dyDescent="0.2">
      <c r="B305" s="1" t="s">
        <v>1447</v>
      </c>
      <c r="C305" s="1" t="s">
        <v>930</v>
      </c>
      <c r="D305" s="1" t="s">
        <v>596</v>
      </c>
      <c r="E305" s="1" t="s">
        <v>1381</v>
      </c>
      <c r="F305" s="1" t="s">
        <v>360</v>
      </c>
      <c r="G305" s="1">
        <f>IF(ISNA(VLOOKUP(F305,Monster!B:E,4,FALSE)),0,VLOOKUP(F305,Monster!B:E,4,FALSE))</f>
        <v>55</v>
      </c>
      <c r="I305" s="1" t="s">
        <v>1448</v>
      </c>
      <c r="J305" s="1">
        <v>1979</v>
      </c>
      <c r="K305" s="1">
        <v>0</v>
      </c>
      <c r="L305" s="1">
        <v>0</v>
      </c>
      <c r="M305" s="1" t="s">
        <v>107</v>
      </c>
      <c r="O305" s="1">
        <f>((NOT(ISNA(VLOOKUP(M305,Monster!$H$2:$I$6,2,FALSE)))*L305)+J305)*(1+K305/100*0.25)</f>
        <v>1979</v>
      </c>
      <c r="P305" s="1" t="s">
        <v>515</v>
      </c>
      <c r="Q305" s="1">
        <v>1</v>
      </c>
    </row>
    <row r="306" spans="2:35" ht="12.75" hidden="1" x14ac:dyDescent="0.2">
      <c r="B306" s="1" t="s">
        <v>1449</v>
      </c>
      <c r="C306" s="1" t="s">
        <v>934</v>
      </c>
      <c r="D306" s="1" t="s">
        <v>596</v>
      </c>
      <c r="E306" s="1" t="s">
        <v>1381</v>
      </c>
      <c r="F306" s="1" t="s">
        <v>365</v>
      </c>
      <c r="G306" s="1">
        <f>IF(ISNA(VLOOKUP(F306,Monster!B:E,4,FALSE)),0,VLOOKUP(F306,Monster!B:E,4,FALSE))</f>
        <v>56</v>
      </c>
      <c r="I306" s="1" t="s">
        <v>1450</v>
      </c>
      <c r="J306" s="1">
        <v>1020</v>
      </c>
      <c r="K306" s="1">
        <v>0</v>
      </c>
      <c r="L306" s="1">
        <v>1173</v>
      </c>
      <c r="M306" s="1" t="s">
        <v>66</v>
      </c>
      <c r="O306" s="1">
        <f>((NOT(ISNA(VLOOKUP(M306,Monster!$H$2:$I$6,2,FALSE)))*L306)+J306)*(1+K306/100*0.25)</f>
        <v>2193</v>
      </c>
      <c r="P306" s="1" t="s">
        <v>659</v>
      </c>
      <c r="Q306" s="1">
        <v>1</v>
      </c>
    </row>
    <row r="307" spans="2:35" ht="12.75" hidden="1" x14ac:dyDescent="0.2">
      <c r="B307" s="1" t="s">
        <v>1451</v>
      </c>
      <c r="C307" s="1" t="s">
        <v>939</v>
      </c>
      <c r="D307" s="1" t="s">
        <v>596</v>
      </c>
      <c r="E307" s="1" t="s">
        <v>1381</v>
      </c>
      <c r="F307" s="1" t="s">
        <v>370</v>
      </c>
      <c r="G307" s="1">
        <f>IF(ISNA(VLOOKUP(F307,Monster!B:E,4,FALSE)),0,VLOOKUP(F307,Monster!B:E,4,FALSE))</f>
        <v>57</v>
      </c>
      <c r="I307" s="1" t="s">
        <v>1452</v>
      </c>
      <c r="J307" s="1">
        <v>1197</v>
      </c>
      <c r="K307" s="1">
        <v>20</v>
      </c>
      <c r="L307" s="1">
        <v>1154</v>
      </c>
      <c r="M307" s="1" t="s">
        <v>41</v>
      </c>
      <c r="O307" s="1">
        <f>((NOT(ISNA(VLOOKUP(M307,Monster!$H$2:$I$6,2,FALSE)))*L307)+J307)*(1+K307/100*0.25)</f>
        <v>2468.5500000000002</v>
      </c>
      <c r="P307" s="1" t="s">
        <v>615</v>
      </c>
      <c r="Q307" s="1">
        <v>2</v>
      </c>
    </row>
    <row r="308" spans="2:35" ht="12.75" hidden="1" x14ac:dyDescent="0.2">
      <c r="B308" s="3" t="s">
        <v>1453</v>
      </c>
      <c r="C308" s="3" t="s">
        <v>943</v>
      </c>
      <c r="D308" s="3" t="s">
        <v>596</v>
      </c>
      <c r="E308" s="1" t="s">
        <v>1381</v>
      </c>
      <c r="F308" s="3" t="s">
        <v>374</v>
      </c>
      <c r="G308" s="4">
        <f>IF(ISNA(VLOOKUP(F308,Monster!B:E,4,FALSE)),0,VLOOKUP(F308,Monster!B:E,4,FALSE))</f>
        <v>58</v>
      </c>
      <c r="H308" s="3"/>
      <c r="I308" s="3" t="s">
        <v>1453</v>
      </c>
      <c r="J308" s="4">
        <v>1205</v>
      </c>
      <c r="K308" s="4">
        <v>0</v>
      </c>
      <c r="L308" s="4">
        <v>1305</v>
      </c>
      <c r="M308" s="3" t="s">
        <v>71</v>
      </c>
      <c r="N308" s="3"/>
      <c r="O308" s="4">
        <f>((NOT(ISNA(VLOOKUP(M308,Monster!$H$2:$I$6,2,FALSE)))*L308)+J308)*(1+K308/100*0.25)</f>
        <v>2510</v>
      </c>
      <c r="P308" s="3" t="s">
        <v>689</v>
      </c>
      <c r="Q308" s="4">
        <v>1</v>
      </c>
      <c r="R308" s="3" t="s">
        <v>372</v>
      </c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</row>
    <row r="309" spans="2:35" ht="12.75" hidden="1" x14ac:dyDescent="0.2">
      <c r="B309" s="1" t="s">
        <v>1454</v>
      </c>
      <c r="C309" s="1" t="s">
        <v>949</v>
      </c>
      <c r="D309" s="1" t="s">
        <v>596</v>
      </c>
      <c r="E309" s="1" t="s">
        <v>1381</v>
      </c>
      <c r="F309" s="1"/>
      <c r="G309" s="1">
        <f>IF(ISNA(VLOOKUP(F309,Monster!B:E,4,FALSE)),0,VLOOKUP(F309,Monster!B:E,4,FALSE))</f>
        <v>0</v>
      </c>
      <c r="I309" s="1" t="s">
        <v>1455</v>
      </c>
      <c r="J309" s="1">
        <v>1596</v>
      </c>
      <c r="K309" s="1">
        <v>0</v>
      </c>
      <c r="L309" s="1">
        <v>0</v>
      </c>
      <c r="M309" s="1" t="s">
        <v>107</v>
      </c>
      <c r="O309" s="1">
        <f>((NOT(ISNA(VLOOKUP(M309,Monster!$H$2:$I$6,2,FALSE)))*L309)+J309)*(1+K309/100*0.25)</f>
        <v>1596</v>
      </c>
      <c r="P309" s="1" t="s">
        <v>158</v>
      </c>
      <c r="Q309" s="1">
        <v>1</v>
      </c>
    </row>
    <row r="310" spans="2:35" ht="12.75" hidden="1" x14ac:dyDescent="0.2">
      <c r="B310" s="1" t="s">
        <v>1456</v>
      </c>
      <c r="C310" s="1" t="s">
        <v>1152</v>
      </c>
      <c r="D310" s="1" t="s">
        <v>596</v>
      </c>
      <c r="E310" s="1" t="s">
        <v>1381</v>
      </c>
      <c r="F310" s="1" t="s">
        <v>131</v>
      </c>
      <c r="G310" s="1">
        <f>IF(ISNA(VLOOKUP(F310,Monster!B:E,4,FALSE)),0,VLOOKUP(F310,Monster!B:E,4,FALSE))</f>
        <v>14</v>
      </c>
      <c r="I310" s="1" t="s">
        <v>1456</v>
      </c>
      <c r="J310" s="1">
        <v>1293</v>
      </c>
      <c r="K310" s="1">
        <v>0</v>
      </c>
      <c r="L310" s="1">
        <v>910</v>
      </c>
      <c r="M310" s="1" t="s">
        <v>71</v>
      </c>
      <c r="O310" s="1">
        <f>((NOT(ISNA(VLOOKUP(M310,Monster!$H$2:$I$6,2,FALSE)))*L310)+J310)*(1+K310/100*0.25)</f>
        <v>2203</v>
      </c>
      <c r="P310" s="1" t="s">
        <v>228</v>
      </c>
      <c r="Q310" s="1">
        <v>2</v>
      </c>
    </row>
    <row r="311" spans="2:35" ht="12.75" hidden="1" x14ac:dyDescent="0.2">
      <c r="B311" s="1" t="s">
        <v>1457</v>
      </c>
      <c r="C311" s="1" t="s">
        <v>958</v>
      </c>
      <c r="D311" s="1" t="s">
        <v>596</v>
      </c>
      <c r="E311" s="1" t="s">
        <v>1381</v>
      </c>
      <c r="F311" s="1"/>
      <c r="G311" s="1">
        <f>IF(ISNA(VLOOKUP(F311,Monster!B:E,4,FALSE)),0,VLOOKUP(F311,Monster!B:E,4,FALSE))</f>
        <v>0</v>
      </c>
      <c r="I311" s="1" t="s">
        <v>1458</v>
      </c>
      <c r="J311" s="1">
        <v>1878</v>
      </c>
      <c r="K311" s="1">
        <v>0</v>
      </c>
      <c r="L311" s="1">
        <v>0</v>
      </c>
      <c r="M311" s="1" t="s">
        <v>107</v>
      </c>
      <c r="O311" s="1">
        <f>((NOT(ISNA(VLOOKUP(M311,Monster!$H$2:$I$6,2,FALSE)))*L311)+J311)*(1+K311/100*0.25)</f>
        <v>1878</v>
      </c>
      <c r="P311" s="1" t="s">
        <v>412</v>
      </c>
      <c r="Q311" s="1">
        <v>1</v>
      </c>
    </row>
    <row r="312" spans="2:35" ht="12.75" hidden="1" x14ac:dyDescent="0.2">
      <c r="B312" s="1" t="s">
        <v>1459</v>
      </c>
      <c r="C312" s="1" t="s">
        <v>34</v>
      </c>
      <c r="D312" s="1" t="s">
        <v>596</v>
      </c>
      <c r="E312" s="1" t="s">
        <v>1460</v>
      </c>
      <c r="F312" s="1"/>
      <c r="G312" s="1">
        <f>IF(ISNA(VLOOKUP(F312,Monster!B:E,4,FALSE)),0,VLOOKUP(F312,Monster!B:E,4,FALSE))</f>
        <v>0</v>
      </c>
      <c r="I312" s="1" t="s">
        <v>1461</v>
      </c>
      <c r="J312" s="1">
        <v>1596</v>
      </c>
      <c r="K312" s="1">
        <v>0</v>
      </c>
      <c r="L312" s="1">
        <v>0</v>
      </c>
      <c r="M312" s="1" t="s">
        <v>107</v>
      </c>
      <c r="O312" s="1">
        <f>((NOT(ISNA(VLOOKUP(M312,Monster!$H$2:$I$6,2,FALSE)))*L312)+J312)*(1+K312/100*0.25)</f>
        <v>1596</v>
      </c>
      <c r="P312" s="1" t="s">
        <v>410</v>
      </c>
      <c r="Q312" s="1">
        <v>2</v>
      </c>
      <c r="S312" s="1" t="s">
        <v>1462</v>
      </c>
      <c r="T312" s="1" t="s">
        <v>1463</v>
      </c>
      <c r="U312" s="1" t="s">
        <v>1464</v>
      </c>
    </row>
    <row r="313" spans="2:35" ht="12.75" hidden="1" x14ac:dyDescent="0.2">
      <c r="C313" s="1" t="s">
        <v>324</v>
      </c>
      <c r="D313" s="1" t="s">
        <v>596</v>
      </c>
      <c r="E313" s="1" t="s">
        <v>1460</v>
      </c>
      <c r="F313" s="1" t="s">
        <v>11</v>
      </c>
      <c r="G313" s="1">
        <f>IF(ISNA(VLOOKUP(F313,Monster!B:E,4,FALSE)),0,VLOOKUP(F313,Monster!B:E,4,FALSE))</f>
        <v>1</v>
      </c>
      <c r="J313" s="1">
        <v>1373</v>
      </c>
      <c r="K313" s="1">
        <v>0</v>
      </c>
      <c r="L313" s="1">
        <v>607</v>
      </c>
      <c r="M313" s="1" t="s">
        <v>50</v>
      </c>
      <c r="O313" s="1">
        <f>((NOT(ISNA(VLOOKUP(M313,Monster!$H$2:$I$6,2,FALSE)))*L313)+J313)*(1+K313/100*0.25)</f>
        <v>1980</v>
      </c>
      <c r="P313" s="1" t="s">
        <v>348</v>
      </c>
      <c r="Q313" s="1">
        <v>2</v>
      </c>
    </row>
    <row r="314" spans="2:35" ht="12.75" hidden="1" x14ac:dyDescent="0.2">
      <c r="B314" s="1" t="s">
        <v>1465</v>
      </c>
      <c r="C314" s="1" t="s">
        <v>439</v>
      </c>
      <c r="D314" s="1" t="s">
        <v>596</v>
      </c>
      <c r="E314" s="1" t="s">
        <v>1460</v>
      </c>
      <c r="F314" s="1" t="s">
        <v>47</v>
      </c>
      <c r="G314" s="1">
        <f>IF(ISNA(VLOOKUP(F314,Monster!B:E,4,FALSE)),0,VLOOKUP(F314,Monster!B:E,4,FALSE))</f>
        <v>2</v>
      </c>
      <c r="I314" s="1" t="s">
        <v>1466</v>
      </c>
      <c r="J314" s="1">
        <v>1596</v>
      </c>
      <c r="K314" s="1">
        <v>30</v>
      </c>
      <c r="L314" s="1">
        <v>0</v>
      </c>
      <c r="M314" s="1" t="s">
        <v>107</v>
      </c>
      <c r="O314" s="1">
        <f>((NOT(ISNA(VLOOKUP(M314,Monster!$H$2:$I$6,2,FALSE)))*L314)+J314)*(1+K314/100*0.25)</f>
        <v>1715.6999999999998</v>
      </c>
      <c r="P314" s="1" t="s">
        <v>319</v>
      </c>
      <c r="Q314" s="1">
        <v>2</v>
      </c>
      <c r="S314" s="1" t="s">
        <v>1467</v>
      </c>
      <c r="T314" s="1" t="s">
        <v>1468</v>
      </c>
      <c r="U314" s="1" t="s">
        <v>1469</v>
      </c>
    </row>
    <row r="315" spans="2:35" ht="12.75" hidden="1" x14ac:dyDescent="0.2">
      <c r="B315" s="1" t="s">
        <v>1470</v>
      </c>
      <c r="C315" s="1" t="s">
        <v>541</v>
      </c>
      <c r="D315" s="1" t="s">
        <v>596</v>
      </c>
      <c r="E315" s="1" t="s">
        <v>1460</v>
      </c>
      <c r="F315" s="1" t="s">
        <v>52</v>
      </c>
      <c r="G315" s="1">
        <f>IF(ISNA(VLOOKUP(F315,Monster!B:E,4,FALSE)),0,VLOOKUP(F315,Monster!B:E,4,FALSE))</f>
        <v>3</v>
      </c>
      <c r="I315" s="1" t="s">
        <v>1471</v>
      </c>
      <c r="J315" s="1">
        <v>1596</v>
      </c>
      <c r="K315" s="1">
        <v>0</v>
      </c>
      <c r="L315" s="1">
        <v>400</v>
      </c>
      <c r="M315" s="1" t="s">
        <v>79</v>
      </c>
      <c r="O315" s="1">
        <f>((NOT(ISNA(VLOOKUP(M315,Monster!$H$2:$I$6,2,FALSE)))*L315)+J315)*(1+K315/100*0.25)</f>
        <v>1596</v>
      </c>
      <c r="P315" s="1" t="s">
        <v>590</v>
      </c>
      <c r="Q315" s="1">
        <v>1</v>
      </c>
      <c r="S315" s="1" t="s">
        <v>1472</v>
      </c>
      <c r="T315" s="1" t="s">
        <v>1473</v>
      </c>
      <c r="U315" s="1" t="s">
        <v>1469</v>
      </c>
    </row>
    <row r="316" spans="2:35" ht="12.75" hidden="1" x14ac:dyDescent="0.2">
      <c r="B316" s="1" t="s">
        <v>1474</v>
      </c>
      <c r="C316" s="1" t="s">
        <v>617</v>
      </c>
      <c r="D316" s="1" t="s">
        <v>596</v>
      </c>
      <c r="E316" s="1" t="s">
        <v>1460</v>
      </c>
      <c r="F316" s="1" t="s">
        <v>60</v>
      </c>
      <c r="G316" s="1">
        <f>IF(ISNA(VLOOKUP(F316,Monster!B:E,4,FALSE)),0,VLOOKUP(F316,Monster!B:E,4,FALSE))</f>
        <v>4</v>
      </c>
      <c r="I316" s="1" t="s">
        <v>1474</v>
      </c>
      <c r="J316" s="1">
        <v>1221</v>
      </c>
      <c r="K316" s="1">
        <v>0</v>
      </c>
      <c r="L316" s="1">
        <v>1142</v>
      </c>
      <c r="M316" s="1" t="s">
        <v>50</v>
      </c>
      <c r="O316" s="1">
        <f>((NOT(ISNA(VLOOKUP(M316,Monster!$H$2:$I$6,2,FALSE)))*L316)+J316)*(1+K316/100*0.25)</f>
        <v>2363</v>
      </c>
      <c r="P316" s="1" t="s">
        <v>244</v>
      </c>
      <c r="Q316" s="1">
        <v>1</v>
      </c>
      <c r="S316" s="1" t="s">
        <v>1475</v>
      </c>
      <c r="T316" s="1" t="s">
        <v>1476</v>
      </c>
      <c r="U316" s="1" t="s">
        <v>1477</v>
      </c>
    </row>
    <row r="317" spans="2:35" ht="12.75" hidden="1" x14ac:dyDescent="0.2">
      <c r="B317" s="1" t="s">
        <v>1478</v>
      </c>
      <c r="C317" s="1" t="s">
        <v>696</v>
      </c>
      <c r="D317" s="1" t="s">
        <v>596</v>
      </c>
      <c r="E317" s="1" t="s">
        <v>1460</v>
      </c>
      <c r="F317" s="1" t="s">
        <v>69</v>
      </c>
      <c r="G317" s="1">
        <f>IF(ISNA(VLOOKUP(F317,Monster!B:E,4,FALSE)),0,VLOOKUP(F317,Monster!B:E,4,FALSE))</f>
        <v>5</v>
      </c>
      <c r="I317" s="1" t="s">
        <v>1479</v>
      </c>
      <c r="J317" s="1">
        <v>1756</v>
      </c>
      <c r="K317" s="1">
        <v>0</v>
      </c>
      <c r="L317" s="1">
        <v>0</v>
      </c>
      <c r="M317" s="1" t="s">
        <v>107</v>
      </c>
      <c r="O317" s="1">
        <f>((NOT(ISNA(VLOOKUP(M317,Monster!$H$2:$I$6,2,FALSE)))*L317)+J317)*(1+K317/100*0.25)</f>
        <v>1756</v>
      </c>
      <c r="P317" s="1" t="s">
        <v>213</v>
      </c>
      <c r="Q317" s="1">
        <v>2</v>
      </c>
      <c r="S317" s="1" t="s">
        <v>1480</v>
      </c>
      <c r="T317" s="1" t="s">
        <v>1481</v>
      </c>
      <c r="U317" s="1" t="s">
        <v>1482</v>
      </c>
    </row>
    <row r="318" spans="2:35" ht="12.75" hidden="1" x14ac:dyDescent="0.2">
      <c r="C318" s="1" t="s">
        <v>719</v>
      </c>
      <c r="D318" s="1" t="s">
        <v>596</v>
      </c>
      <c r="E318" s="1" t="s">
        <v>1460</v>
      </c>
      <c r="F318" s="1" t="s">
        <v>75</v>
      </c>
      <c r="G318" s="1">
        <f>IF(ISNA(VLOOKUP(F318,Monster!B:E,4,FALSE)),0,VLOOKUP(F318,Monster!B:E,4,FALSE))</f>
        <v>6</v>
      </c>
      <c r="J318" s="1">
        <v>1596</v>
      </c>
      <c r="K318" s="1">
        <v>0</v>
      </c>
      <c r="L318" s="1">
        <v>400</v>
      </c>
      <c r="M318" s="1" t="s">
        <v>87</v>
      </c>
      <c r="O318" s="1">
        <f>((NOT(ISNA(VLOOKUP(M318,Monster!$H$2:$I$6,2,FALSE)))*L318)+J318)*(1+K318/100*0.25)</f>
        <v>1596</v>
      </c>
      <c r="P318" s="1" t="s">
        <v>590</v>
      </c>
      <c r="Q318" s="1">
        <v>1</v>
      </c>
    </row>
    <row r="319" spans="2:35" ht="12.75" hidden="1" x14ac:dyDescent="0.2">
      <c r="B319" s="1" t="s">
        <v>1483</v>
      </c>
      <c r="C319" s="1" t="s">
        <v>729</v>
      </c>
      <c r="D319" s="1" t="s">
        <v>596</v>
      </c>
      <c r="E319" s="1" t="s">
        <v>1460</v>
      </c>
      <c r="F319" s="1" t="s">
        <v>81</v>
      </c>
      <c r="G319" s="1">
        <f>IF(ISNA(VLOOKUP(F319,Monster!B:E,4,FALSE)),0,VLOOKUP(F319,Monster!B:E,4,FALSE))</f>
        <v>7</v>
      </c>
      <c r="I319" s="1" t="s">
        <v>1484</v>
      </c>
      <c r="J319" s="1">
        <v>1293</v>
      </c>
      <c r="K319" s="1">
        <v>0</v>
      </c>
      <c r="L319" s="1">
        <v>910</v>
      </c>
      <c r="M319" s="1" t="s">
        <v>58</v>
      </c>
      <c r="O319" s="1">
        <f>((NOT(ISNA(VLOOKUP(M319,Monster!$H$2:$I$6,2,FALSE)))*L319)+J319)*(1+K319/100*0.25)</f>
        <v>2203</v>
      </c>
      <c r="P319" s="1" t="s">
        <v>253</v>
      </c>
      <c r="Q319" s="1">
        <v>1</v>
      </c>
      <c r="S319" s="1" t="s">
        <v>1475</v>
      </c>
      <c r="T319" s="1" t="s">
        <v>1485</v>
      </c>
      <c r="U319" s="1" t="s">
        <v>1482</v>
      </c>
    </row>
    <row r="320" spans="2:35" ht="12.75" hidden="1" x14ac:dyDescent="0.2">
      <c r="B320" s="1" t="s">
        <v>1486</v>
      </c>
      <c r="C320" s="1" t="s">
        <v>735</v>
      </c>
      <c r="D320" s="1" t="s">
        <v>596</v>
      </c>
      <c r="E320" s="1" t="s">
        <v>1460</v>
      </c>
      <c r="F320" s="1" t="s">
        <v>91</v>
      </c>
      <c r="G320" s="1">
        <f>IF(ISNA(VLOOKUP(F320,Monster!B:E,4,FALSE)),0,VLOOKUP(F320,Monster!B:E,4,FALSE))</f>
        <v>8</v>
      </c>
      <c r="I320" s="1" t="s">
        <v>1487</v>
      </c>
      <c r="J320" s="1">
        <v>1764</v>
      </c>
      <c r="K320" s="1">
        <v>0</v>
      </c>
      <c r="L320" s="1">
        <v>0</v>
      </c>
      <c r="M320" s="1" t="s">
        <v>107</v>
      </c>
      <c r="O320" s="1">
        <f>((NOT(ISNA(VLOOKUP(M320,Monster!$H$2:$I$6,2,FALSE)))*L320)+J320)*(1+K320/100*0.25)</f>
        <v>1764</v>
      </c>
      <c r="P320" s="1" t="s">
        <v>228</v>
      </c>
      <c r="Q320" s="1">
        <v>2</v>
      </c>
      <c r="S320" s="1" t="s">
        <v>1475</v>
      </c>
      <c r="T320" s="1" t="s">
        <v>1476</v>
      </c>
      <c r="U320" s="1" t="s">
        <v>1482</v>
      </c>
    </row>
    <row r="321" spans="2:21" ht="12.75" hidden="1" x14ac:dyDescent="0.2">
      <c r="B321" s="1" t="s">
        <v>1488</v>
      </c>
      <c r="C321" s="1" t="s">
        <v>740</v>
      </c>
      <c r="D321" s="1" t="s">
        <v>596</v>
      </c>
      <c r="E321" s="1" t="s">
        <v>1460</v>
      </c>
      <c r="F321" s="1" t="s">
        <v>97</v>
      </c>
      <c r="G321" s="1">
        <f>IF(ISNA(VLOOKUP(F321,Monster!B:E,4,FALSE)),0,VLOOKUP(F321,Monster!B:E,4,FALSE))</f>
        <v>9</v>
      </c>
      <c r="I321" s="1" t="s">
        <v>1488</v>
      </c>
      <c r="J321" s="1">
        <v>1756</v>
      </c>
      <c r="K321" s="1">
        <v>0</v>
      </c>
      <c r="L321" s="1">
        <v>300</v>
      </c>
      <c r="M321" s="1" t="s">
        <v>95</v>
      </c>
      <c r="O321" s="1">
        <f>((NOT(ISNA(VLOOKUP(M321,Monster!$H$2:$I$6,2,FALSE)))*L321)+J321)*(1+K321/100*0.25)</f>
        <v>1756</v>
      </c>
      <c r="P321" s="1" t="s">
        <v>590</v>
      </c>
      <c r="Q321" s="1">
        <v>1</v>
      </c>
      <c r="S321" s="1" t="s">
        <v>1489</v>
      </c>
      <c r="T321" s="1" t="s">
        <v>1473</v>
      </c>
      <c r="U321" s="1" t="s">
        <v>1482</v>
      </c>
    </row>
    <row r="322" spans="2:21" ht="12.75" hidden="1" x14ac:dyDescent="0.2">
      <c r="B322" s="1" t="s">
        <v>1490</v>
      </c>
      <c r="C322" s="1" t="s">
        <v>745</v>
      </c>
      <c r="D322" s="1" t="s">
        <v>596</v>
      </c>
      <c r="E322" s="1" t="s">
        <v>1460</v>
      </c>
      <c r="F322" s="1" t="s">
        <v>102</v>
      </c>
      <c r="G322" s="1">
        <f>IF(ISNA(VLOOKUP(F322,Monster!B:E,4,FALSE)),0,VLOOKUP(F322,Monster!B:E,4,FALSE))</f>
        <v>10</v>
      </c>
      <c r="I322" s="1" t="s">
        <v>1491</v>
      </c>
      <c r="J322" s="1">
        <v>1293</v>
      </c>
      <c r="K322" s="1">
        <v>0</v>
      </c>
      <c r="L322" s="1">
        <v>910</v>
      </c>
      <c r="M322" s="1" t="s">
        <v>50</v>
      </c>
      <c r="O322" s="1">
        <f>((NOT(ISNA(VLOOKUP(M322,Monster!$H$2:$I$6,2,FALSE)))*L322)+J322)*(1+K322/100*0.25)</f>
        <v>2203</v>
      </c>
      <c r="P322" s="1" t="s">
        <v>394</v>
      </c>
      <c r="Q322" s="1">
        <v>1</v>
      </c>
      <c r="S322" s="1" t="s">
        <v>1489</v>
      </c>
      <c r="T322" s="1" t="s">
        <v>1492</v>
      </c>
      <c r="U322" s="1" t="s">
        <v>1482</v>
      </c>
    </row>
    <row r="323" spans="2:21" ht="12.75" hidden="1" x14ac:dyDescent="0.2">
      <c r="B323" s="1" t="s">
        <v>1493</v>
      </c>
      <c r="C323" s="1" t="s">
        <v>750</v>
      </c>
      <c r="D323" s="1" t="s">
        <v>596</v>
      </c>
      <c r="E323" s="1" t="s">
        <v>1460</v>
      </c>
      <c r="F323" s="1" t="s">
        <v>109</v>
      </c>
      <c r="G323" s="1">
        <f>IF(ISNA(VLOOKUP(F323,Monster!B:E,4,FALSE)),0,VLOOKUP(F323,Monster!B:E,4,FALSE))</f>
        <v>11</v>
      </c>
      <c r="I323" s="1" t="s">
        <v>1494</v>
      </c>
      <c r="J323" s="1">
        <v>1293</v>
      </c>
      <c r="K323" s="1">
        <v>0</v>
      </c>
      <c r="L323" s="1">
        <v>910</v>
      </c>
      <c r="M323" s="1" t="s">
        <v>41</v>
      </c>
      <c r="O323" s="1">
        <f>((NOT(ISNA(VLOOKUP(M323,Monster!$H$2:$I$6,2,FALSE)))*L323)+J323)*(1+K323/100*0.25)</f>
        <v>2203</v>
      </c>
      <c r="P323" s="1" t="s">
        <v>543</v>
      </c>
      <c r="Q323" s="1">
        <v>1</v>
      </c>
      <c r="S323" s="1" t="s">
        <v>1495</v>
      </c>
      <c r="T323" s="1" t="s">
        <v>1476</v>
      </c>
      <c r="U323" s="1" t="s">
        <v>1482</v>
      </c>
    </row>
    <row r="324" spans="2:21" ht="12.75" hidden="1" x14ac:dyDescent="0.2">
      <c r="B324" s="1" t="s">
        <v>1496</v>
      </c>
      <c r="C324" s="1" t="s">
        <v>756</v>
      </c>
      <c r="D324" s="1" t="s">
        <v>596</v>
      </c>
      <c r="E324" s="1" t="s">
        <v>1460</v>
      </c>
      <c r="F324" s="1" t="s">
        <v>119</v>
      </c>
      <c r="G324" s="1">
        <f>IF(ISNA(VLOOKUP(F324,Monster!B:E,4,FALSE)),0,VLOOKUP(F324,Monster!B:E,4,FALSE))</f>
        <v>12</v>
      </c>
      <c r="I324" s="1" t="s">
        <v>1496</v>
      </c>
      <c r="J324" s="1">
        <v>1197</v>
      </c>
      <c r="K324" s="1">
        <v>20</v>
      </c>
      <c r="L324" s="1">
        <v>1154</v>
      </c>
      <c r="M324" s="1" t="s">
        <v>58</v>
      </c>
      <c r="O324" s="1">
        <f>((NOT(ISNA(VLOOKUP(M324,Monster!$H$2:$I$6,2,FALSE)))*L324)+J324)*(1+K324/100*0.25)</f>
        <v>2468.5500000000002</v>
      </c>
      <c r="P324" s="1" t="s">
        <v>175</v>
      </c>
      <c r="Q324" s="1">
        <v>1</v>
      </c>
      <c r="S324" s="1" t="s">
        <v>1480</v>
      </c>
      <c r="T324" s="1" t="s">
        <v>1473</v>
      </c>
      <c r="U324" s="1" t="s">
        <v>1469</v>
      </c>
    </row>
    <row r="325" spans="2:21" ht="12.75" hidden="1" x14ac:dyDescent="0.2">
      <c r="B325" s="1" t="s">
        <v>1497</v>
      </c>
      <c r="C325" s="1" t="s">
        <v>761</v>
      </c>
      <c r="D325" s="1" t="s">
        <v>596</v>
      </c>
      <c r="E325" s="1" t="s">
        <v>1460</v>
      </c>
      <c r="F325" s="1" t="s">
        <v>125</v>
      </c>
      <c r="G325" s="1">
        <f>IF(ISNA(VLOOKUP(F325,Monster!B:E,4,FALSE)),0,VLOOKUP(F325,Monster!B:E,4,FALSE))</f>
        <v>13</v>
      </c>
      <c r="I325" s="1" t="s">
        <v>1498</v>
      </c>
      <c r="J325" s="1">
        <v>1516</v>
      </c>
      <c r="K325" s="1">
        <v>0</v>
      </c>
      <c r="L325" s="1">
        <v>496</v>
      </c>
      <c r="M325" s="1" t="s">
        <v>79</v>
      </c>
      <c r="O325" s="1">
        <f>((NOT(ISNA(VLOOKUP(M325,Monster!$H$2:$I$6,2,FALSE)))*L325)+J325)*(1+K325/100*0.25)</f>
        <v>1516</v>
      </c>
      <c r="P325" s="1" t="s">
        <v>348</v>
      </c>
      <c r="Q325" s="1">
        <v>2</v>
      </c>
      <c r="S325" s="1" t="s">
        <v>1499</v>
      </c>
      <c r="T325" s="1" t="s">
        <v>1500</v>
      </c>
      <c r="U325" s="1" t="s">
        <v>1482</v>
      </c>
    </row>
    <row r="326" spans="2:21" ht="12.75" hidden="1" x14ac:dyDescent="0.2">
      <c r="B326" s="1" t="s">
        <v>1501</v>
      </c>
      <c r="C326" s="1" t="s">
        <v>766</v>
      </c>
      <c r="D326" s="1" t="s">
        <v>596</v>
      </c>
      <c r="E326" s="1" t="s">
        <v>1460</v>
      </c>
      <c r="F326" s="1" t="s">
        <v>131</v>
      </c>
      <c r="G326" s="1">
        <f>IF(ISNA(VLOOKUP(F326,Monster!B:E,4,FALSE)),0,VLOOKUP(F326,Monster!B:E,4,FALSE))</f>
        <v>14</v>
      </c>
      <c r="I326" s="1" t="s">
        <v>1502</v>
      </c>
      <c r="J326" s="1">
        <v>1682</v>
      </c>
      <c r="K326" s="1">
        <v>0</v>
      </c>
      <c r="L326" s="1">
        <v>605</v>
      </c>
      <c r="M326" s="1" t="s">
        <v>41</v>
      </c>
      <c r="O326" s="1">
        <f>((NOT(ISNA(VLOOKUP(M326,Monster!$H$2:$I$6,2,FALSE)))*L326)+J326)*(1+K326/100*0.25)</f>
        <v>2287</v>
      </c>
      <c r="P326" s="1" t="s">
        <v>253</v>
      </c>
      <c r="Q326" s="1">
        <v>1</v>
      </c>
      <c r="S326" s="1" t="s">
        <v>1472</v>
      </c>
      <c r="T326" s="1" t="s">
        <v>1485</v>
      </c>
      <c r="U326" s="1" t="s">
        <v>1503</v>
      </c>
    </row>
    <row r="327" spans="2:21" ht="12.75" hidden="1" x14ac:dyDescent="0.2">
      <c r="B327" s="1" t="s">
        <v>1504</v>
      </c>
      <c r="C327" s="1" t="s">
        <v>771</v>
      </c>
      <c r="D327" s="1" t="s">
        <v>596</v>
      </c>
      <c r="E327" s="1" t="s">
        <v>1460</v>
      </c>
      <c r="F327" s="1" t="s">
        <v>137</v>
      </c>
      <c r="G327" s="1">
        <f>IF(ISNA(VLOOKUP(F327,Monster!B:E,4,FALSE)),0,VLOOKUP(F327,Monster!B:E,4,FALSE))</f>
        <v>15</v>
      </c>
      <c r="I327" s="1" t="s">
        <v>1504</v>
      </c>
      <c r="J327" s="1">
        <v>1258</v>
      </c>
      <c r="K327" s="1">
        <v>30</v>
      </c>
      <c r="L327" s="1">
        <v>1082</v>
      </c>
      <c r="M327" s="1" t="s">
        <v>41</v>
      </c>
      <c r="O327" s="1">
        <f>((NOT(ISNA(VLOOKUP(M327,Monster!$H$2:$I$6,2,FALSE)))*L327)+J327)*(1+K327/100*0.25)</f>
        <v>2515.5</v>
      </c>
      <c r="P327" s="1" t="s">
        <v>175</v>
      </c>
      <c r="Q327" s="1">
        <v>2</v>
      </c>
      <c r="S327" s="1" t="s">
        <v>1467</v>
      </c>
      <c r="T327" s="1" t="s">
        <v>1464</v>
      </c>
      <c r="U327" s="1" t="s">
        <v>1469</v>
      </c>
    </row>
    <row r="328" spans="2:21" ht="12.75" hidden="1" x14ac:dyDescent="0.2">
      <c r="B328" s="1" t="s">
        <v>1505</v>
      </c>
      <c r="C328" s="1" t="s">
        <v>775</v>
      </c>
      <c r="D328" s="1" t="s">
        <v>596</v>
      </c>
      <c r="E328" s="1" t="s">
        <v>1460</v>
      </c>
      <c r="F328" s="1" t="s">
        <v>146</v>
      </c>
      <c r="G328" s="1">
        <f>IF(ISNA(VLOOKUP(F328,Monster!B:E,4,FALSE)),0,VLOOKUP(F328,Monster!B:E,4,FALSE))</f>
        <v>16</v>
      </c>
      <c r="I328" s="1" t="s">
        <v>1506</v>
      </c>
      <c r="J328" s="1">
        <v>1221</v>
      </c>
      <c r="K328" s="1">
        <v>0</v>
      </c>
      <c r="L328" s="1">
        <v>1142</v>
      </c>
      <c r="M328" s="1" t="s">
        <v>66</v>
      </c>
      <c r="O328" s="1">
        <f>((NOT(ISNA(VLOOKUP(M328,Monster!$H$2:$I$6,2,FALSE)))*L328)+J328)*(1+K328/100*0.25)</f>
        <v>2363</v>
      </c>
      <c r="P328" s="1" t="s">
        <v>228</v>
      </c>
      <c r="Q328" s="1">
        <v>2</v>
      </c>
      <c r="S328" s="1" t="s">
        <v>1472</v>
      </c>
      <c r="T328" s="1" t="s">
        <v>1492</v>
      </c>
      <c r="U328" s="1" t="s">
        <v>1507</v>
      </c>
    </row>
    <row r="329" spans="2:21" ht="12.75" hidden="1" x14ac:dyDescent="0.2">
      <c r="B329" s="1" t="s">
        <v>1508</v>
      </c>
      <c r="C329" s="1" t="s">
        <v>779</v>
      </c>
      <c r="D329" s="1" t="s">
        <v>596</v>
      </c>
      <c r="E329" s="1" t="s">
        <v>1460</v>
      </c>
      <c r="F329" s="1" t="s">
        <v>151</v>
      </c>
      <c r="G329" s="1">
        <f>IF(ISNA(VLOOKUP(F329,Monster!B:E,4,FALSE)),0,VLOOKUP(F329,Monster!B:E,4,FALSE))</f>
        <v>17</v>
      </c>
      <c r="I329" s="1" t="s">
        <v>1509</v>
      </c>
      <c r="J329" s="1">
        <v>1979</v>
      </c>
      <c r="K329" s="1">
        <v>0</v>
      </c>
      <c r="L329" s="1">
        <v>0</v>
      </c>
      <c r="M329" s="1" t="s">
        <v>107</v>
      </c>
      <c r="O329" s="1">
        <f>((NOT(ISNA(VLOOKUP(M329,Monster!$H$2:$I$6,2,FALSE)))*L329)+J329)*(1+K329/100*0.25)</f>
        <v>1979</v>
      </c>
      <c r="P329" s="1" t="s">
        <v>364</v>
      </c>
      <c r="Q329" s="1">
        <v>1</v>
      </c>
      <c r="S329" s="1" t="s">
        <v>1500</v>
      </c>
      <c r="T329" s="1" t="s">
        <v>1485</v>
      </c>
      <c r="U329" s="1" t="s">
        <v>1464</v>
      </c>
    </row>
    <row r="330" spans="2:21" ht="12.75" hidden="1" x14ac:dyDescent="0.2">
      <c r="C330" s="1" t="s">
        <v>782</v>
      </c>
      <c r="D330" s="1" t="s">
        <v>596</v>
      </c>
      <c r="E330" s="1" t="s">
        <v>1460</v>
      </c>
      <c r="F330" s="1" t="s">
        <v>155</v>
      </c>
      <c r="G330" s="1">
        <f>IF(ISNA(VLOOKUP(F330,Monster!B:E,4,FALSE)),0,VLOOKUP(F330,Monster!B:E,4,FALSE))</f>
        <v>18</v>
      </c>
      <c r="J330" s="1">
        <v>2218</v>
      </c>
      <c r="K330" s="1">
        <v>-30</v>
      </c>
      <c r="L330" s="1">
        <v>0</v>
      </c>
      <c r="M330" s="1" t="s">
        <v>107</v>
      </c>
      <c r="O330" s="1">
        <f>((NOT(ISNA(VLOOKUP(M330,Monster!$H$2:$I$6,2,FALSE)))*L330)+J330)*(1+K330/100*0.25)</f>
        <v>2051.65</v>
      </c>
      <c r="P330" s="1" t="s">
        <v>463</v>
      </c>
      <c r="Q330" s="1">
        <v>1</v>
      </c>
    </row>
    <row r="331" spans="2:21" ht="12.75" hidden="1" x14ac:dyDescent="0.2">
      <c r="B331" s="1" t="s">
        <v>1510</v>
      </c>
      <c r="C331" s="1" t="s">
        <v>786</v>
      </c>
      <c r="D331" s="1" t="s">
        <v>596</v>
      </c>
      <c r="E331" s="1" t="s">
        <v>1460</v>
      </c>
      <c r="F331" s="1" t="s">
        <v>160</v>
      </c>
      <c r="G331" s="1">
        <f>IF(ISNA(VLOOKUP(F331,Monster!B:E,4,FALSE)),0,VLOOKUP(F331,Monster!B:E,4,FALSE))</f>
        <v>19</v>
      </c>
      <c r="I331" s="1" t="s">
        <v>1511</v>
      </c>
      <c r="J331" s="1">
        <v>1221</v>
      </c>
      <c r="K331" s="1">
        <v>0</v>
      </c>
      <c r="L331" s="1">
        <v>1142</v>
      </c>
      <c r="M331" s="1" t="s">
        <v>41</v>
      </c>
      <c r="O331" s="1">
        <f>((NOT(ISNA(VLOOKUP(M331,Monster!$H$2:$I$6,2,FALSE)))*L331)+J331)*(1+K331/100*0.25)</f>
        <v>2363</v>
      </c>
      <c r="P331" s="1" t="s">
        <v>244</v>
      </c>
      <c r="Q331" s="1">
        <v>1</v>
      </c>
      <c r="S331" s="1" t="s">
        <v>1512</v>
      </c>
      <c r="T331" s="1" t="s">
        <v>1495</v>
      </c>
      <c r="U331" s="1" t="s">
        <v>1507</v>
      </c>
    </row>
    <row r="332" spans="2:21" ht="12.75" hidden="1" x14ac:dyDescent="0.2">
      <c r="C332" s="1" t="s">
        <v>790</v>
      </c>
      <c r="D332" s="1" t="s">
        <v>596</v>
      </c>
      <c r="E332" s="1" t="s">
        <v>1460</v>
      </c>
      <c r="F332" s="1" t="s">
        <v>165</v>
      </c>
      <c r="G332" s="1">
        <f>IF(ISNA(VLOOKUP(F332,Monster!B:E,4,FALSE)),0,VLOOKUP(F332,Monster!B:E,4,FALSE))</f>
        <v>20</v>
      </c>
      <c r="J332" s="1">
        <v>1682</v>
      </c>
      <c r="K332" s="1">
        <v>0</v>
      </c>
      <c r="L332" s="1">
        <v>605</v>
      </c>
      <c r="M332" s="1" t="s">
        <v>41</v>
      </c>
      <c r="O332" s="1">
        <f>((NOT(ISNA(VLOOKUP(M332,Monster!$H$2:$I$6,2,FALSE)))*L332)+J332)*(1+K332/100*0.25)</f>
        <v>2287</v>
      </c>
      <c r="P332" s="1" t="s">
        <v>602</v>
      </c>
      <c r="Q332" s="1">
        <v>1</v>
      </c>
    </row>
    <row r="333" spans="2:21" ht="12.75" hidden="1" x14ac:dyDescent="0.2">
      <c r="C333" s="1" t="s">
        <v>794</v>
      </c>
      <c r="D333" s="1" t="s">
        <v>596</v>
      </c>
      <c r="E333" s="1" t="s">
        <v>1460</v>
      </c>
      <c r="F333" s="1" t="s">
        <v>171</v>
      </c>
      <c r="G333" s="1">
        <f>IF(ISNA(VLOOKUP(F333,Monster!B:E,4,FALSE)),0,VLOOKUP(F333,Monster!B:E,4,FALSE))</f>
        <v>21</v>
      </c>
      <c r="J333" s="1">
        <v>1258</v>
      </c>
      <c r="K333" s="1">
        <v>30</v>
      </c>
      <c r="L333" s="1">
        <v>1082</v>
      </c>
      <c r="M333" s="1" t="s">
        <v>41</v>
      </c>
      <c r="O333" s="1">
        <f>((NOT(ISNA(VLOOKUP(M333,Monster!$H$2:$I$6,2,FALSE)))*L333)+J333)*(1+K333/100*0.25)</f>
        <v>2515.5</v>
      </c>
      <c r="P333" s="1" t="s">
        <v>175</v>
      </c>
      <c r="Q333" s="1">
        <v>2</v>
      </c>
    </row>
    <row r="334" spans="2:21" ht="12.75" hidden="1" x14ac:dyDescent="0.2">
      <c r="B334" s="1" t="s">
        <v>1513</v>
      </c>
      <c r="C334" s="1" t="s">
        <v>797</v>
      </c>
      <c r="D334" s="1" t="s">
        <v>596</v>
      </c>
      <c r="E334" s="1" t="s">
        <v>1460</v>
      </c>
      <c r="F334" s="1" t="s">
        <v>176</v>
      </c>
      <c r="G334" s="1">
        <f>IF(ISNA(VLOOKUP(F334,Monster!B:E,4,FALSE)),0,VLOOKUP(F334,Monster!B:E,4,FALSE))</f>
        <v>22</v>
      </c>
      <c r="I334" s="1" t="s">
        <v>1514</v>
      </c>
      <c r="J334" s="1">
        <v>1596</v>
      </c>
      <c r="K334" s="1">
        <v>0</v>
      </c>
      <c r="L334" s="1">
        <v>400</v>
      </c>
      <c r="M334" s="1" t="s">
        <v>95</v>
      </c>
      <c r="O334" s="1">
        <f>((NOT(ISNA(VLOOKUP(M334,Monster!$H$2:$I$6,2,FALSE)))*L334)+J334)*(1+K334/100*0.25)</f>
        <v>1596</v>
      </c>
      <c r="P334" s="1" t="s">
        <v>213</v>
      </c>
      <c r="Q334" s="1">
        <v>2</v>
      </c>
      <c r="S334" s="1" t="s">
        <v>1481</v>
      </c>
      <c r="T334" s="1" t="s">
        <v>1463</v>
      </c>
      <c r="U334" s="1" t="s">
        <v>1469</v>
      </c>
    </row>
    <row r="335" spans="2:21" ht="12.75" hidden="1" x14ac:dyDescent="0.2">
      <c r="C335" s="1" t="s">
        <v>800</v>
      </c>
      <c r="D335" s="1" t="s">
        <v>596</v>
      </c>
      <c r="E335" s="1" t="s">
        <v>1460</v>
      </c>
      <c r="F335" s="1" t="s">
        <v>184</v>
      </c>
      <c r="G335" s="1">
        <f>IF(ISNA(VLOOKUP(F335,Monster!B:E,4,FALSE)),0,VLOOKUP(F335,Monster!B:E,4,FALSE))</f>
        <v>23</v>
      </c>
      <c r="J335" s="1">
        <v>1764</v>
      </c>
      <c r="K335" s="1">
        <v>0</v>
      </c>
      <c r="L335" s="1">
        <v>0</v>
      </c>
      <c r="M335" s="1" t="s">
        <v>107</v>
      </c>
      <c r="O335" s="1">
        <f>((NOT(ISNA(VLOOKUP(M335,Monster!$H$2:$I$6,2,FALSE)))*L335)+J335)*(1+K335/100*0.25)</f>
        <v>1764</v>
      </c>
      <c r="P335" s="1" t="s">
        <v>306</v>
      </c>
      <c r="Q335" s="1">
        <v>2</v>
      </c>
    </row>
    <row r="336" spans="2:21" ht="12.75" hidden="1" x14ac:dyDescent="0.2">
      <c r="B336" s="1" t="s">
        <v>1515</v>
      </c>
      <c r="C336" s="1" t="s">
        <v>803</v>
      </c>
      <c r="D336" s="1" t="s">
        <v>596</v>
      </c>
      <c r="E336" s="1" t="s">
        <v>1460</v>
      </c>
      <c r="F336" s="1" t="s">
        <v>190</v>
      </c>
      <c r="G336" s="1">
        <f>IF(ISNA(VLOOKUP(F336,Monster!B:E,4,FALSE)),0,VLOOKUP(F336,Monster!B:E,4,FALSE))</f>
        <v>24</v>
      </c>
      <c r="I336" s="1" t="s">
        <v>1515</v>
      </c>
      <c r="J336" s="1">
        <v>1191</v>
      </c>
      <c r="K336" s="1">
        <v>20</v>
      </c>
      <c r="L336" s="1">
        <v>910</v>
      </c>
      <c r="M336" s="1" t="s">
        <v>66</v>
      </c>
      <c r="O336" s="1">
        <f>((NOT(ISNA(VLOOKUP(M336,Monster!$H$2:$I$6,2,FALSE)))*L336)+J336)*(1+K336/100*0.25)</f>
        <v>2206.0500000000002</v>
      </c>
      <c r="P336" s="1" t="s">
        <v>253</v>
      </c>
      <c r="Q336" s="1">
        <v>1</v>
      </c>
      <c r="S336" s="1" t="s">
        <v>1516</v>
      </c>
      <c r="T336" s="1" t="s">
        <v>1476</v>
      </c>
      <c r="U336" s="1" t="s">
        <v>1517</v>
      </c>
    </row>
    <row r="337" spans="2:21" ht="12.75" hidden="1" x14ac:dyDescent="0.2">
      <c r="B337" s="1" t="s">
        <v>1518</v>
      </c>
      <c r="C337" s="1" t="s">
        <v>807</v>
      </c>
      <c r="D337" s="1" t="s">
        <v>596</v>
      </c>
      <c r="E337" s="1" t="s">
        <v>1460</v>
      </c>
      <c r="F337" s="1" t="s">
        <v>193</v>
      </c>
      <c r="G337" s="1">
        <f>IF(ISNA(VLOOKUP(F337,Monster!B:E,4,FALSE)),0,VLOOKUP(F337,Monster!B:E,4,FALSE))</f>
        <v>25</v>
      </c>
      <c r="I337" s="1" t="s">
        <v>1519</v>
      </c>
      <c r="J337" s="1">
        <v>1221</v>
      </c>
      <c r="K337" s="1">
        <v>0</v>
      </c>
      <c r="L337" s="1">
        <v>1142</v>
      </c>
      <c r="M337" s="1" t="s">
        <v>58</v>
      </c>
      <c r="O337" s="1">
        <f>((NOT(ISNA(VLOOKUP(M337,Monster!$H$2:$I$6,2,FALSE)))*L337)+J337)*(1+K337/100*0.25)</f>
        <v>2363</v>
      </c>
      <c r="P337" s="1" t="s">
        <v>38</v>
      </c>
      <c r="Q337" s="1">
        <v>1</v>
      </c>
      <c r="S337" s="1" t="s">
        <v>1516</v>
      </c>
      <c r="T337" s="1" t="s">
        <v>1481</v>
      </c>
      <c r="U337" s="1" t="s">
        <v>1520</v>
      </c>
    </row>
    <row r="338" spans="2:21" ht="12.75" hidden="1" x14ac:dyDescent="0.2">
      <c r="C338" s="1" t="s">
        <v>810</v>
      </c>
      <c r="D338" s="1" t="s">
        <v>596</v>
      </c>
      <c r="E338" s="1" t="s">
        <v>1460</v>
      </c>
      <c r="F338" s="1" t="s">
        <v>197</v>
      </c>
      <c r="G338" s="1">
        <f>IF(ISNA(VLOOKUP(F338,Monster!B:E,4,FALSE)),0,VLOOKUP(F338,Monster!B:E,4,FALSE))</f>
        <v>26</v>
      </c>
      <c r="J338" s="1">
        <v>1588</v>
      </c>
      <c r="K338" s="1">
        <v>0</v>
      </c>
      <c r="L338" s="1">
        <v>632</v>
      </c>
      <c r="M338" s="1" t="s">
        <v>58</v>
      </c>
      <c r="O338" s="1">
        <f>((NOT(ISNA(VLOOKUP(M338,Monster!$H$2:$I$6,2,FALSE)))*L338)+J338)*(1+K338/100*0.25)</f>
        <v>2220</v>
      </c>
      <c r="P338" s="1" t="s">
        <v>412</v>
      </c>
      <c r="Q338" s="1">
        <v>1</v>
      </c>
    </row>
    <row r="339" spans="2:21" ht="12.75" hidden="1" x14ac:dyDescent="0.2">
      <c r="C339" s="1" t="s">
        <v>813</v>
      </c>
      <c r="D339" s="1" t="s">
        <v>596</v>
      </c>
      <c r="E339" s="1" t="s">
        <v>1460</v>
      </c>
      <c r="F339" s="1" t="s">
        <v>205</v>
      </c>
      <c r="G339" s="1">
        <f>IF(ISNA(VLOOKUP(F339,Monster!B:E,4,FALSE)),0,VLOOKUP(F339,Monster!B:E,4,FALSE))</f>
        <v>27</v>
      </c>
      <c r="J339" s="1">
        <v>1719</v>
      </c>
      <c r="K339" s="1">
        <v>20</v>
      </c>
      <c r="L339" s="1">
        <v>0</v>
      </c>
      <c r="M339" s="1" t="s">
        <v>107</v>
      </c>
      <c r="O339" s="1">
        <f>((NOT(ISNA(VLOOKUP(M339,Monster!$H$2:$I$6,2,FALSE)))*L339)+J339)*(1+K339/100*0.25)</f>
        <v>1804.95</v>
      </c>
      <c r="P339" s="1" t="s">
        <v>269</v>
      </c>
      <c r="Q339" s="1">
        <v>1</v>
      </c>
    </row>
    <row r="340" spans="2:21" ht="12.75" hidden="1" x14ac:dyDescent="0.2">
      <c r="C340" s="1" t="s">
        <v>816</v>
      </c>
      <c r="D340" s="1" t="s">
        <v>596</v>
      </c>
      <c r="E340" s="1" t="s">
        <v>1460</v>
      </c>
      <c r="F340" s="1" t="s">
        <v>210</v>
      </c>
      <c r="G340" s="1">
        <f>IF(ISNA(VLOOKUP(F340,Monster!B:E,4,FALSE)),0,VLOOKUP(F340,Monster!B:E,4,FALSE))</f>
        <v>28</v>
      </c>
      <c r="J340" s="1">
        <v>1138</v>
      </c>
      <c r="K340" s="1">
        <v>20</v>
      </c>
      <c r="L340" s="1">
        <v>1156</v>
      </c>
      <c r="M340" s="1" t="s">
        <v>71</v>
      </c>
      <c r="O340" s="1">
        <f>((NOT(ISNA(VLOOKUP(M340,Monster!$H$2:$I$6,2,FALSE)))*L340)+J340)*(1+K340/100*0.25)</f>
        <v>2408.7000000000003</v>
      </c>
      <c r="P340" s="1" t="s">
        <v>166</v>
      </c>
      <c r="Q340" s="1">
        <v>1</v>
      </c>
    </row>
    <row r="341" spans="2:21" ht="12.75" hidden="1" x14ac:dyDescent="0.2">
      <c r="B341" s="1" t="s">
        <v>1521</v>
      </c>
      <c r="C341" s="1" t="s">
        <v>821</v>
      </c>
      <c r="D341" s="1" t="s">
        <v>596</v>
      </c>
      <c r="E341" s="1" t="s">
        <v>1460</v>
      </c>
      <c r="F341" s="1" t="s">
        <v>216</v>
      </c>
      <c r="G341" s="1">
        <f>IF(ISNA(VLOOKUP(F341,Monster!B:E,4,FALSE)),0,VLOOKUP(F341,Monster!B:E,4,FALSE))</f>
        <v>29</v>
      </c>
      <c r="I341" s="1" t="s">
        <v>1522</v>
      </c>
      <c r="J341" s="1">
        <v>1318</v>
      </c>
      <c r="K341" s="1">
        <v>-30</v>
      </c>
      <c r="L341" s="1">
        <v>1261</v>
      </c>
      <c r="M341" s="1" t="s">
        <v>71</v>
      </c>
      <c r="O341" s="1">
        <f>((NOT(ISNA(VLOOKUP(M341,Monster!$H$2:$I$6,2,FALSE)))*L341)+J341)*(1+K341/100*0.25)</f>
        <v>2385.5750000000003</v>
      </c>
      <c r="P341" s="1" t="s">
        <v>492</v>
      </c>
      <c r="Q341" s="1">
        <v>1</v>
      </c>
      <c r="S341" s="1" t="s">
        <v>1516</v>
      </c>
      <c r="T341" s="1" t="s">
        <v>1476</v>
      </c>
      <c r="U341" s="1" t="s">
        <v>1482</v>
      </c>
    </row>
    <row r="342" spans="2:21" ht="12.75" hidden="1" x14ac:dyDescent="0.2">
      <c r="B342" s="1" t="s">
        <v>1523</v>
      </c>
      <c r="C342" s="1" t="s">
        <v>825</v>
      </c>
      <c r="D342" s="1" t="s">
        <v>596</v>
      </c>
      <c r="E342" s="1" t="s">
        <v>1460</v>
      </c>
      <c r="F342" s="1" t="s">
        <v>223</v>
      </c>
      <c r="G342" s="1">
        <f>IF(ISNA(VLOOKUP(F342,Monster!B:E,4,FALSE)),0,VLOOKUP(F342,Monster!B:E,4,FALSE))</f>
        <v>30</v>
      </c>
      <c r="I342" s="1" t="s">
        <v>1524</v>
      </c>
      <c r="J342" s="1">
        <v>1666</v>
      </c>
      <c r="K342" s="1">
        <v>-15</v>
      </c>
      <c r="L342" s="1">
        <v>527</v>
      </c>
      <c r="M342" s="1" t="s">
        <v>41</v>
      </c>
      <c r="O342" s="1">
        <f>((NOT(ISNA(VLOOKUP(M342,Monster!$H$2:$I$6,2,FALSE)))*L342)+J342)*(1+K342/100*0.25)</f>
        <v>2110.7625000000003</v>
      </c>
      <c r="P342" s="1" t="s">
        <v>364</v>
      </c>
      <c r="Q342" s="1">
        <v>1</v>
      </c>
      <c r="S342" s="1" t="s">
        <v>1512</v>
      </c>
      <c r="T342" s="1" t="s">
        <v>1463</v>
      </c>
      <c r="U342" s="1" t="s">
        <v>1464</v>
      </c>
    </row>
    <row r="343" spans="2:21" ht="12.75" hidden="1" x14ac:dyDescent="0.2">
      <c r="B343" s="1" t="s">
        <v>1525</v>
      </c>
      <c r="C343" s="1" t="s">
        <v>829</v>
      </c>
      <c r="D343" s="1" t="s">
        <v>596</v>
      </c>
      <c r="E343" s="1" t="s">
        <v>1460</v>
      </c>
      <c r="F343" s="1" t="s">
        <v>229</v>
      </c>
      <c r="G343" s="1">
        <f>IF(ISNA(VLOOKUP(F343,Monster!B:E,4,FALSE)),0,VLOOKUP(F343,Monster!B:E,4,FALSE))</f>
        <v>31</v>
      </c>
      <c r="I343" s="1" t="s">
        <v>1526</v>
      </c>
      <c r="J343" s="1">
        <v>1194</v>
      </c>
      <c r="K343" s="1">
        <v>20</v>
      </c>
      <c r="L343" s="1">
        <v>913</v>
      </c>
      <c r="M343" s="1" t="s">
        <v>58</v>
      </c>
      <c r="O343" s="1">
        <f>((NOT(ISNA(VLOOKUP(M343,Monster!$H$2:$I$6,2,FALSE)))*L343)+J343)*(1+K343/100*0.25)</f>
        <v>2212.35</v>
      </c>
      <c r="P343" s="1" t="s">
        <v>470</v>
      </c>
      <c r="Q343" s="1">
        <v>1</v>
      </c>
      <c r="S343" s="1" t="s">
        <v>1462</v>
      </c>
      <c r="T343" s="1" t="s">
        <v>1468</v>
      </c>
      <c r="U343" s="1" t="s">
        <v>1469</v>
      </c>
    </row>
    <row r="344" spans="2:21" ht="12.75" hidden="1" x14ac:dyDescent="0.2">
      <c r="B344" s="1" t="s">
        <v>1527</v>
      </c>
      <c r="C344" s="1" t="s">
        <v>834</v>
      </c>
      <c r="D344" s="1" t="s">
        <v>596</v>
      </c>
      <c r="E344" s="1" t="s">
        <v>1460</v>
      </c>
      <c r="F344" s="1" t="s">
        <v>234</v>
      </c>
      <c r="G344" s="1">
        <f>IF(ISNA(VLOOKUP(F344,Monster!B:E,4,FALSE)),0,VLOOKUP(F344,Monster!B:E,4,FALSE))</f>
        <v>32</v>
      </c>
      <c r="I344" s="1" t="s">
        <v>1527</v>
      </c>
      <c r="J344" s="1">
        <v>1553</v>
      </c>
      <c r="K344" s="1">
        <v>0</v>
      </c>
      <c r="L344" s="1">
        <v>974</v>
      </c>
      <c r="M344" s="1" t="s">
        <v>66</v>
      </c>
      <c r="O344" s="1">
        <f>((NOT(ISNA(VLOOKUP(M344,Monster!$H$2:$I$6,2,FALSE)))*L344)+J344)*(1+K344/100*0.25)</f>
        <v>2527</v>
      </c>
      <c r="P344" s="1" t="s">
        <v>528</v>
      </c>
      <c r="Q344" s="1">
        <v>2</v>
      </c>
      <c r="S344" s="1" t="s">
        <v>1489</v>
      </c>
      <c r="T344" s="1" t="s">
        <v>1464</v>
      </c>
      <c r="U344" s="1" t="s">
        <v>1528</v>
      </c>
    </row>
    <row r="345" spans="2:21" ht="12.75" hidden="1" x14ac:dyDescent="0.2">
      <c r="B345" s="1" t="s">
        <v>1529</v>
      </c>
      <c r="C345" s="1" t="s">
        <v>839</v>
      </c>
      <c r="D345" s="1" t="s">
        <v>596</v>
      </c>
      <c r="E345" s="1" t="s">
        <v>1460</v>
      </c>
      <c r="F345" s="1" t="s">
        <v>239</v>
      </c>
      <c r="G345" s="1">
        <f>IF(ISNA(VLOOKUP(F345,Monster!B:E,4,FALSE)),0,VLOOKUP(F345,Monster!B:E,4,FALSE))</f>
        <v>33</v>
      </c>
      <c r="I345" s="1" t="s">
        <v>1530</v>
      </c>
      <c r="J345" s="1">
        <v>1138</v>
      </c>
      <c r="K345" s="1">
        <v>20</v>
      </c>
      <c r="L345" s="1">
        <v>1156</v>
      </c>
      <c r="M345" s="1" t="s">
        <v>50</v>
      </c>
      <c r="O345" s="1">
        <f>((NOT(ISNA(VLOOKUP(M345,Monster!$H$2:$I$6,2,FALSE)))*L345)+J345)*(1+K345/100*0.25)</f>
        <v>2408.7000000000003</v>
      </c>
      <c r="P345" s="1" t="s">
        <v>38</v>
      </c>
      <c r="Q345" s="1">
        <v>1</v>
      </c>
      <c r="S345" s="1" t="s">
        <v>1499</v>
      </c>
      <c r="T345" s="1" t="s">
        <v>1473</v>
      </c>
      <c r="U345" s="1" t="s">
        <v>1517</v>
      </c>
    </row>
    <row r="346" spans="2:21" ht="12.75" hidden="1" x14ac:dyDescent="0.2">
      <c r="B346" s="1" t="s">
        <v>1531</v>
      </c>
      <c r="C346" s="1" t="s">
        <v>845</v>
      </c>
      <c r="D346" s="1" t="s">
        <v>596</v>
      </c>
      <c r="E346" s="1" t="s">
        <v>1460</v>
      </c>
      <c r="F346" s="1" t="s">
        <v>245</v>
      </c>
      <c r="G346" s="1">
        <f>IF(ISNA(VLOOKUP(F346,Monster!B:E,4,FALSE)),0,VLOOKUP(F346,Monster!B:E,4,FALSE))</f>
        <v>34</v>
      </c>
      <c r="I346" s="1" t="s">
        <v>1531</v>
      </c>
      <c r="J346" s="1">
        <v>1684</v>
      </c>
      <c r="K346" s="1">
        <v>0</v>
      </c>
      <c r="L346" s="1">
        <v>502</v>
      </c>
      <c r="M346" s="1" t="s">
        <v>100</v>
      </c>
      <c r="O346" s="1">
        <f>((NOT(ISNA(VLOOKUP(M346,Monster!$H$2:$I$6,2,FALSE)))*L346)+J346)*(1+K346/100*0.25)</f>
        <v>1684</v>
      </c>
      <c r="P346" s="1" t="s">
        <v>364</v>
      </c>
      <c r="Q346" s="1">
        <v>2</v>
      </c>
      <c r="S346" s="1" t="s">
        <v>1532</v>
      </c>
      <c r="T346" s="1" t="s">
        <v>1533</v>
      </c>
      <c r="U346" s="1" t="s">
        <v>1534</v>
      </c>
    </row>
    <row r="347" spans="2:21" ht="12.75" hidden="1" x14ac:dyDescent="0.2">
      <c r="C347" s="1" t="s">
        <v>849</v>
      </c>
      <c r="D347" s="1" t="s">
        <v>596</v>
      </c>
      <c r="E347" s="1" t="s">
        <v>1460</v>
      </c>
      <c r="F347" s="1" t="s">
        <v>251</v>
      </c>
      <c r="G347" s="1">
        <f>IF(ISNA(VLOOKUP(F347,Monster!B:E,4,FALSE)),0,VLOOKUP(F347,Monster!B:E,4,FALSE))</f>
        <v>35</v>
      </c>
      <c r="J347" s="1">
        <v>1588</v>
      </c>
      <c r="K347" s="1">
        <v>0</v>
      </c>
      <c r="L347" s="1">
        <v>632</v>
      </c>
      <c r="M347" s="1" t="s">
        <v>41</v>
      </c>
      <c r="O347" s="1">
        <f>((NOT(ISNA(VLOOKUP(M347,Monster!$H$2:$I$6,2,FALSE)))*L347)+J347)*(1+K347/100*0.25)</f>
        <v>2220</v>
      </c>
      <c r="P347" s="1" t="s">
        <v>412</v>
      </c>
      <c r="Q347" s="1">
        <v>1</v>
      </c>
    </row>
    <row r="348" spans="2:21" ht="12.75" hidden="1" x14ac:dyDescent="0.2">
      <c r="B348" s="1" t="s">
        <v>1535</v>
      </c>
      <c r="C348" s="1" t="s">
        <v>853</v>
      </c>
      <c r="D348" s="1" t="s">
        <v>596</v>
      </c>
      <c r="E348" s="1" t="s">
        <v>1460</v>
      </c>
      <c r="F348" s="1" t="s">
        <v>256</v>
      </c>
      <c r="G348" s="1">
        <f>IF(ISNA(VLOOKUP(F348,Monster!B:E,4,FALSE)),0,VLOOKUP(F348,Monster!B:E,4,FALSE))</f>
        <v>36</v>
      </c>
      <c r="I348" s="1" t="s">
        <v>1536</v>
      </c>
      <c r="J348" s="1">
        <v>1516</v>
      </c>
      <c r="K348" s="1">
        <v>0</v>
      </c>
      <c r="L348" s="1">
        <v>496</v>
      </c>
      <c r="M348" s="1" t="s">
        <v>100</v>
      </c>
      <c r="O348" s="1">
        <f>((NOT(ISNA(VLOOKUP(M348,Monster!$H$2:$I$6,2,FALSE)))*L348)+J348)*(1+K348/100*0.25)</f>
        <v>1516</v>
      </c>
      <c r="P348" s="1" t="s">
        <v>463</v>
      </c>
      <c r="Q348" s="1">
        <v>1</v>
      </c>
      <c r="S348" s="1" t="s">
        <v>1475</v>
      </c>
      <c r="T348" s="1" t="s">
        <v>1481</v>
      </c>
      <c r="U348" s="1" t="s">
        <v>1507</v>
      </c>
    </row>
    <row r="349" spans="2:21" ht="12.75" hidden="1" x14ac:dyDescent="0.2">
      <c r="B349" s="1" t="s">
        <v>1537</v>
      </c>
      <c r="C349" s="1" t="s">
        <v>857</v>
      </c>
      <c r="D349" s="1" t="s">
        <v>596</v>
      </c>
      <c r="E349" s="1" t="s">
        <v>1460</v>
      </c>
      <c r="F349" s="1" t="s">
        <v>263</v>
      </c>
      <c r="G349" s="1">
        <f>IF(ISNA(VLOOKUP(F349,Monster!B:E,4,FALSE)),0,VLOOKUP(F349,Monster!B:E,4,FALSE))</f>
        <v>37</v>
      </c>
      <c r="I349" s="1" t="s">
        <v>1538</v>
      </c>
      <c r="J349" s="1">
        <v>1318</v>
      </c>
      <c r="K349" s="1">
        <v>-30</v>
      </c>
      <c r="L349" s="1">
        <v>1261</v>
      </c>
      <c r="M349" s="1" t="s">
        <v>58</v>
      </c>
      <c r="O349" s="1">
        <f>((NOT(ISNA(VLOOKUP(M349,Monster!$H$2:$I$6,2,FALSE)))*L349)+J349)*(1+K349/100*0.25)</f>
        <v>2385.5750000000003</v>
      </c>
      <c r="P349" s="1" t="s">
        <v>509</v>
      </c>
      <c r="Q349" s="1">
        <v>1</v>
      </c>
      <c r="S349" s="1" t="s">
        <v>1539</v>
      </c>
      <c r="T349" s="1" t="s">
        <v>1492</v>
      </c>
      <c r="U349" s="1" t="s">
        <v>1507</v>
      </c>
    </row>
    <row r="350" spans="2:21" ht="12.75" hidden="1" x14ac:dyDescent="0.2">
      <c r="B350" s="1" t="s">
        <v>1540</v>
      </c>
      <c r="C350" s="1" t="s">
        <v>863</v>
      </c>
      <c r="D350" s="1" t="s">
        <v>596</v>
      </c>
      <c r="E350" s="1" t="s">
        <v>1460</v>
      </c>
      <c r="F350" s="1" t="s">
        <v>268</v>
      </c>
      <c r="G350" s="1">
        <f>IF(ISNA(VLOOKUP(F350,Monster!B:E,4,FALSE)),0,VLOOKUP(F350,Monster!B:E,4,FALSE))</f>
        <v>38</v>
      </c>
      <c r="I350" s="1" t="s">
        <v>1540</v>
      </c>
      <c r="J350" s="1">
        <v>1553</v>
      </c>
      <c r="K350" s="1">
        <v>0</v>
      </c>
      <c r="L350" s="1">
        <v>974</v>
      </c>
      <c r="M350" s="1" t="s">
        <v>71</v>
      </c>
      <c r="O350" s="1">
        <f>((NOT(ISNA(VLOOKUP(M350,Monster!$H$2:$I$6,2,FALSE)))*L350)+J350)*(1+K350/100*0.25)</f>
        <v>2527</v>
      </c>
      <c r="P350" s="1" t="s">
        <v>463</v>
      </c>
      <c r="Q350" s="1">
        <v>2</v>
      </c>
      <c r="S350" s="1" t="s">
        <v>1539</v>
      </c>
      <c r="T350" s="1" t="s">
        <v>1481</v>
      </c>
      <c r="U350" s="1" t="s">
        <v>1507</v>
      </c>
    </row>
    <row r="351" spans="2:21" ht="12.75" hidden="1" x14ac:dyDescent="0.2">
      <c r="C351" s="1" t="s">
        <v>866</v>
      </c>
      <c r="D351" s="1" t="s">
        <v>596</v>
      </c>
      <c r="E351" s="1" t="s">
        <v>1460</v>
      </c>
      <c r="F351" s="1" t="s">
        <v>273</v>
      </c>
      <c r="G351" s="1">
        <f>IF(ISNA(VLOOKUP(F351,Monster!B:E,4,FALSE)),0,VLOOKUP(F351,Monster!B:E,4,FALSE))</f>
        <v>39</v>
      </c>
      <c r="J351" s="1">
        <v>1588</v>
      </c>
      <c r="K351" s="1">
        <v>0</v>
      </c>
      <c r="L351" s="1">
        <v>632</v>
      </c>
      <c r="M351" s="1" t="s">
        <v>66</v>
      </c>
      <c r="O351" s="1">
        <f>((NOT(ISNA(VLOOKUP(M351,Monster!$H$2:$I$6,2,FALSE)))*L351)+J351)*(1+K351/100*0.25)</f>
        <v>2220</v>
      </c>
      <c r="P351" s="1" t="s">
        <v>412</v>
      </c>
      <c r="Q351" s="1">
        <v>1</v>
      </c>
    </row>
    <row r="352" spans="2:21" ht="12.75" hidden="1" x14ac:dyDescent="0.2">
      <c r="C352" s="1" t="s">
        <v>869</v>
      </c>
      <c r="D352" s="1" t="s">
        <v>596</v>
      </c>
      <c r="E352" s="1" t="s">
        <v>1460</v>
      </c>
      <c r="F352" s="1" t="s">
        <v>278</v>
      </c>
      <c r="G352" s="1">
        <f>IF(ISNA(VLOOKUP(F352,Monster!B:E,4,FALSE)),0,VLOOKUP(F352,Monster!B:E,4,FALSE))</f>
        <v>40</v>
      </c>
      <c r="J352" s="1">
        <v>1516</v>
      </c>
      <c r="K352" s="1">
        <v>0</v>
      </c>
      <c r="L352" s="1">
        <v>496</v>
      </c>
      <c r="M352" s="1" t="s">
        <v>87</v>
      </c>
      <c r="O352" s="1">
        <f>((NOT(ISNA(VLOOKUP(M352,Monster!$H$2:$I$6,2,FALSE)))*L352)+J352)*(1+K352/100*0.25)</f>
        <v>1516</v>
      </c>
      <c r="P352" s="1" t="s">
        <v>253</v>
      </c>
      <c r="Q352" s="1">
        <v>1</v>
      </c>
    </row>
    <row r="353" spans="2:21" ht="12.75" hidden="1" x14ac:dyDescent="0.2">
      <c r="B353" s="1" t="s">
        <v>1541</v>
      </c>
      <c r="C353" s="1" t="s">
        <v>872</v>
      </c>
      <c r="D353" s="1" t="s">
        <v>596</v>
      </c>
      <c r="E353" s="1" t="s">
        <v>1460</v>
      </c>
      <c r="F353" s="1" t="s">
        <v>288</v>
      </c>
      <c r="G353" s="1">
        <f>IF(ISNA(VLOOKUP(F353,Monster!B:E,4,FALSE)),0,VLOOKUP(F353,Monster!B:E,4,FALSE))</f>
        <v>41</v>
      </c>
      <c r="I353" s="1" t="s">
        <v>1542</v>
      </c>
      <c r="J353" s="1">
        <v>1567</v>
      </c>
      <c r="K353" s="1">
        <v>-15</v>
      </c>
      <c r="L353" s="1">
        <v>496</v>
      </c>
      <c r="M353" s="1" t="s">
        <v>95</v>
      </c>
      <c r="O353" s="1">
        <f>((NOT(ISNA(VLOOKUP(M353,Monster!$H$2:$I$6,2,FALSE)))*L353)+J353)*(1+K353/100*0.25)</f>
        <v>1508.2375</v>
      </c>
      <c r="P353" s="1" t="s">
        <v>253</v>
      </c>
      <c r="Q353" s="1">
        <v>1</v>
      </c>
      <c r="S353" s="1" t="s">
        <v>1467</v>
      </c>
      <c r="T353" s="1" t="s">
        <v>1481</v>
      </c>
      <c r="U353" s="1" t="s">
        <v>1507</v>
      </c>
    </row>
    <row r="354" spans="2:21" ht="12.75" x14ac:dyDescent="0.2">
      <c r="B354" s="1" t="s">
        <v>1543</v>
      </c>
      <c r="C354" s="1" t="s">
        <v>875</v>
      </c>
      <c r="D354" s="1" t="s">
        <v>596</v>
      </c>
      <c r="E354" s="1" t="s">
        <v>1460</v>
      </c>
      <c r="F354" s="1" t="s">
        <v>293</v>
      </c>
      <c r="G354" s="1">
        <f>IF(ISNA(VLOOKUP(F354,Monster!B:E,4,FALSE)),0,VLOOKUP(F354,Monster!B:E,4,FALSE))</f>
        <v>42</v>
      </c>
      <c r="I354" s="1" t="s">
        <v>1544</v>
      </c>
      <c r="J354" s="1">
        <v>2198</v>
      </c>
      <c r="K354" s="1">
        <v>-40</v>
      </c>
      <c r="L354" s="1">
        <v>0</v>
      </c>
      <c r="M354" s="1" t="s">
        <v>107</v>
      </c>
      <c r="O354" s="1">
        <f>((NOT(ISNA(VLOOKUP(M354,Monster!$H$2:$I$6,2,FALSE)))*L354)+J354)*(1+K354/100*0.25)</f>
        <v>1978.2</v>
      </c>
      <c r="P354" s="1" t="s">
        <v>194</v>
      </c>
      <c r="Q354" s="1">
        <v>1</v>
      </c>
      <c r="S354" s="1" t="s">
        <v>1480</v>
      </c>
      <c r="T354" s="1" t="s">
        <v>1495</v>
      </c>
      <c r="U354" s="1" t="s">
        <v>1469</v>
      </c>
    </row>
    <row r="355" spans="2:21" ht="12.75" hidden="1" x14ac:dyDescent="0.2">
      <c r="B355" s="1" t="s">
        <v>1545</v>
      </c>
      <c r="C355" s="1" t="s">
        <v>880</v>
      </c>
      <c r="D355" s="1" t="s">
        <v>596</v>
      </c>
      <c r="E355" s="1" t="s">
        <v>1460</v>
      </c>
      <c r="F355" s="1" t="s">
        <v>298</v>
      </c>
      <c r="G355" s="1">
        <f>IF(ISNA(VLOOKUP(F355,Monster!B:E,4,FALSE)),0,VLOOKUP(F355,Monster!B:E,4,FALSE))</f>
        <v>43</v>
      </c>
      <c r="I355" s="1" t="s">
        <v>1546</v>
      </c>
      <c r="J355" s="1">
        <v>2198</v>
      </c>
      <c r="K355" s="1">
        <v>-10</v>
      </c>
      <c r="L355" s="1">
        <v>0</v>
      </c>
      <c r="M355" s="1" t="s">
        <v>107</v>
      </c>
      <c r="O355" s="1">
        <f>((NOT(ISNA(VLOOKUP(M355,Monster!$H$2:$I$6,2,FALSE)))*L355)+J355)*(1+K355/100*0.25)</f>
        <v>2143.0499999999997</v>
      </c>
      <c r="P355" s="1" t="s">
        <v>492</v>
      </c>
      <c r="Q355" s="1">
        <v>5</v>
      </c>
      <c r="S355" s="1" t="s">
        <v>1500</v>
      </c>
      <c r="T355" s="1" t="s">
        <v>1473</v>
      </c>
      <c r="U355" s="1" t="s">
        <v>1482</v>
      </c>
    </row>
    <row r="356" spans="2:21" ht="12.75" hidden="1" x14ac:dyDescent="0.2">
      <c r="B356" s="1" t="s">
        <v>1547</v>
      </c>
      <c r="C356" s="1" t="s">
        <v>885</v>
      </c>
      <c r="D356" s="1" t="s">
        <v>596</v>
      </c>
      <c r="E356" s="1" t="s">
        <v>1460</v>
      </c>
      <c r="F356" s="1" t="s">
        <v>302</v>
      </c>
      <c r="G356" s="1">
        <f>IF(ISNA(VLOOKUP(F356,Monster!B:E,4,FALSE)),0,VLOOKUP(F356,Monster!B:E,4,FALSE))</f>
        <v>44</v>
      </c>
      <c r="I356" s="1" t="s">
        <v>1547</v>
      </c>
      <c r="J356" s="1">
        <v>1205</v>
      </c>
      <c r="K356" s="1">
        <v>0</v>
      </c>
      <c r="L356" s="1">
        <v>1305</v>
      </c>
      <c r="M356" s="1" t="s">
        <v>58</v>
      </c>
      <c r="O356" s="1">
        <f>((NOT(ISNA(VLOOKUP(M356,Monster!$H$2:$I$6,2,FALSE)))*L356)+J356)*(1+K356/100*0.25)</f>
        <v>2510</v>
      </c>
      <c r="P356" s="1" t="s">
        <v>400</v>
      </c>
      <c r="Q356" s="1">
        <v>1</v>
      </c>
      <c r="S356" s="1" t="s">
        <v>1500</v>
      </c>
      <c r="T356" s="1" t="s">
        <v>1495</v>
      </c>
      <c r="U356" s="1" t="s">
        <v>1517</v>
      </c>
    </row>
    <row r="357" spans="2:21" ht="12.75" x14ac:dyDescent="0.2">
      <c r="C357" s="1" t="s">
        <v>888</v>
      </c>
      <c r="D357" s="1" t="s">
        <v>596</v>
      </c>
      <c r="E357" s="1" t="s">
        <v>1460</v>
      </c>
      <c r="F357" s="1" t="s">
        <v>305</v>
      </c>
      <c r="G357" s="1">
        <f>IF(ISNA(VLOOKUP(F357,Monster!B:E,4,FALSE)),0,VLOOKUP(F357,Monster!B:E,4,FALSE))</f>
        <v>45</v>
      </c>
      <c r="J357" s="1">
        <v>1942</v>
      </c>
      <c r="K357" s="1">
        <v>-30</v>
      </c>
      <c r="L357" s="1">
        <v>297</v>
      </c>
      <c r="M357" s="1" t="s">
        <v>100</v>
      </c>
      <c r="O357" s="1">
        <f>((NOT(ISNA(VLOOKUP(M357,Monster!$H$2:$I$6,2,FALSE)))*L357)+J357)*(1+K357/100*0.25)</f>
        <v>1796.3500000000001</v>
      </c>
      <c r="P357" s="1" t="s">
        <v>194</v>
      </c>
      <c r="Q357" s="1">
        <v>1</v>
      </c>
    </row>
    <row r="358" spans="2:21" ht="12.75" hidden="1" x14ac:dyDescent="0.2">
      <c r="C358" s="1" t="s">
        <v>892</v>
      </c>
      <c r="D358" s="1" t="s">
        <v>596</v>
      </c>
      <c r="E358" s="1" t="s">
        <v>1460</v>
      </c>
      <c r="F358" s="1" t="s">
        <v>310</v>
      </c>
      <c r="G358" s="1">
        <f>IF(ISNA(VLOOKUP(F358,Monster!B:E,4,FALSE)),0,VLOOKUP(F358,Monster!B:E,4,FALSE))</f>
        <v>46</v>
      </c>
      <c r="J358" s="1">
        <v>1834</v>
      </c>
      <c r="K358" s="1">
        <v>10</v>
      </c>
      <c r="L358" s="1">
        <v>0</v>
      </c>
      <c r="M358" s="1" t="s">
        <v>107</v>
      </c>
      <c r="O358" s="1">
        <f>((NOT(ISNA(VLOOKUP(M358,Monster!$H$2:$I$6,2,FALSE)))*L358)+J358)*(1+K358/100*0.25)</f>
        <v>1879.85</v>
      </c>
      <c r="P358" s="1" t="s">
        <v>407</v>
      </c>
      <c r="Q358" s="1">
        <v>1</v>
      </c>
    </row>
    <row r="359" spans="2:21" ht="12.75" hidden="1" x14ac:dyDescent="0.2">
      <c r="C359" s="1" t="s">
        <v>896</v>
      </c>
      <c r="D359" s="1" t="s">
        <v>596</v>
      </c>
      <c r="E359" s="1" t="s">
        <v>1460</v>
      </c>
      <c r="F359" s="1" t="s">
        <v>316</v>
      </c>
      <c r="G359" s="1">
        <f>IF(ISNA(VLOOKUP(F359,Monster!B:E,4,FALSE)),0,VLOOKUP(F359,Monster!B:E,4,FALSE))</f>
        <v>47</v>
      </c>
      <c r="J359" s="1">
        <v>1971</v>
      </c>
      <c r="K359" s="1">
        <v>-20</v>
      </c>
      <c r="L359" s="1">
        <v>0</v>
      </c>
      <c r="M359" s="1" t="s">
        <v>107</v>
      </c>
      <c r="O359" s="1">
        <f>((NOT(ISNA(VLOOKUP(M359,Monster!$H$2:$I$6,2,FALSE)))*L359)+J359)*(1+K359/100*0.25)</f>
        <v>1872.4499999999998</v>
      </c>
      <c r="P359" s="1" t="s">
        <v>602</v>
      </c>
      <c r="Q359" s="1">
        <v>2</v>
      </c>
    </row>
    <row r="360" spans="2:21" ht="12.75" x14ac:dyDescent="0.2">
      <c r="C360" s="1" t="s">
        <v>900</v>
      </c>
      <c r="D360" s="1" t="s">
        <v>596</v>
      </c>
      <c r="E360" s="1" t="s">
        <v>1460</v>
      </c>
      <c r="F360" s="1" t="s">
        <v>320</v>
      </c>
      <c r="G360" s="1">
        <f>IF(ISNA(VLOOKUP(F360,Monster!B:E,4,FALSE)),0,VLOOKUP(F360,Monster!B:E,4,FALSE))</f>
        <v>48</v>
      </c>
      <c r="J360" s="1">
        <v>1318</v>
      </c>
      <c r="K360" s="1">
        <v>-30</v>
      </c>
      <c r="L360" s="1">
        <v>1261</v>
      </c>
      <c r="M360" s="1" t="s">
        <v>41</v>
      </c>
      <c r="O360" s="1">
        <f>((NOT(ISNA(VLOOKUP(M360,Monster!$H$2:$I$6,2,FALSE)))*L360)+J360)*(1+K360/100*0.25)</f>
        <v>2385.5750000000003</v>
      </c>
      <c r="P360" s="1" t="s">
        <v>194</v>
      </c>
      <c r="Q360" s="1">
        <v>1</v>
      </c>
    </row>
    <row r="361" spans="2:21" ht="12.75" hidden="1" x14ac:dyDescent="0.2">
      <c r="C361" s="1" t="s">
        <v>904</v>
      </c>
      <c r="D361" s="1" t="s">
        <v>596</v>
      </c>
      <c r="E361" s="1" t="s">
        <v>1460</v>
      </c>
      <c r="F361" s="1" t="s">
        <v>328</v>
      </c>
      <c r="G361" s="1">
        <f>IF(ISNA(VLOOKUP(F361,Monster!B:E,4,FALSE)),0,VLOOKUP(F361,Monster!B:E,4,FALSE))</f>
        <v>49</v>
      </c>
      <c r="J361" s="1">
        <v>1741</v>
      </c>
      <c r="K361" s="1">
        <v>0</v>
      </c>
      <c r="L361" s="1">
        <v>505</v>
      </c>
      <c r="M361" s="1" t="s">
        <v>79</v>
      </c>
      <c r="O361" s="1">
        <f>((NOT(ISNA(VLOOKUP(M361,Monster!$H$2:$I$6,2,FALSE)))*L361)+J361)*(1+K361/100*0.25)</f>
        <v>1741</v>
      </c>
      <c r="P361" s="1" t="s">
        <v>624</v>
      </c>
      <c r="Q361" s="1">
        <v>2</v>
      </c>
    </row>
    <row r="362" spans="2:21" ht="12.75" hidden="1" x14ac:dyDescent="0.2">
      <c r="C362" s="1" t="s">
        <v>908</v>
      </c>
      <c r="D362" s="1" t="s">
        <v>596</v>
      </c>
      <c r="E362" s="1" t="s">
        <v>1460</v>
      </c>
      <c r="F362" s="1" t="s">
        <v>334</v>
      </c>
      <c r="G362" s="1">
        <f>IF(ISNA(VLOOKUP(F362,Monster!B:E,4,FALSE)),0,VLOOKUP(F362,Monster!B:E,4,FALSE))</f>
        <v>50</v>
      </c>
      <c r="J362" s="1">
        <v>1647</v>
      </c>
      <c r="K362" s="1">
        <v>10</v>
      </c>
      <c r="L362" s="1">
        <v>307</v>
      </c>
      <c r="M362" s="1" t="s">
        <v>79</v>
      </c>
      <c r="O362" s="1">
        <f>((NOT(ISNA(VLOOKUP(M362,Monster!$H$2:$I$6,2,FALSE)))*L362)+J362)*(1+K362/100*0.25)</f>
        <v>1688.175</v>
      </c>
      <c r="P362" s="1" t="s">
        <v>412</v>
      </c>
      <c r="Q362" s="1">
        <v>1</v>
      </c>
    </row>
    <row r="363" spans="2:21" ht="12.75" hidden="1" x14ac:dyDescent="0.2">
      <c r="C363" s="1" t="s">
        <v>913</v>
      </c>
      <c r="D363" s="1" t="s">
        <v>596</v>
      </c>
      <c r="E363" s="1" t="s">
        <v>1460</v>
      </c>
      <c r="F363" s="1" t="s">
        <v>339</v>
      </c>
      <c r="G363" s="1">
        <f>IF(ISNA(VLOOKUP(F363,Monster!B:E,4,FALSE)),0,VLOOKUP(F363,Monster!B:E,4,FALSE))</f>
        <v>51</v>
      </c>
      <c r="J363" s="1">
        <v>1764</v>
      </c>
      <c r="K363" s="1">
        <v>0</v>
      </c>
      <c r="L363" s="1">
        <v>0</v>
      </c>
      <c r="M363" s="1" t="s">
        <v>107</v>
      </c>
      <c r="O363" s="1">
        <f>((NOT(ISNA(VLOOKUP(M363,Monster!$H$2:$I$6,2,FALSE)))*L363)+J363)*(1+K363/100*0.25)</f>
        <v>1764</v>
      </c>
      <c r="P363" s="1" t="s">
        <v>560</v>
      </c>
      <c r="Q363" s="1">
        <v>2</v>
      </c>
    </row>
    <row r="364" spans="2:21" ht="12.75" hidden="1" x14ac:dyDescent="0.2">
      <c r="C364" s="1" t="s">
        <v>917</v>
      </c>
      <c r="D364" s="1" t="s">
        <v>596</v>
      </c>
      <c r="E364" s="1" t="s">
        <v>1460</v>
      </c>
      <c r="F364" s="1" t="s">
        <v>343</v>
      </c>
      <c r="G364" s="1">
        <f>IF(ISNA(VLOOKUP(F364,Monster!B:E,4,FALSE)),0,VLOOKUP(F364,Monster!B:E,4,FALSE))</f>
        <v>52</v>
      </c>
      <c r="J364" s="1">
        <v>1293</v>
      </c>
      <c r="K364" s="1">
        <v>0</v>
      </c>
      <c r="L364" s="1">
        <v>910</v>
      </c>
      <c r="M364" s="1" t="s">
        <v>66</v>
      </c>
      <c r="O364" s="1">
        <f>((NOT(ISNA(VLOOKUP(M364,Monster!$H$2:$I$6,2,FALSE)))*L364)+J364)*(1+K364/100*0.25)</f>
        <v>2203</v>
      </c>
      <c r="P364" s="1" t="s">
        <v>648</v>
      </c>
      <c r="Q364" s="1">
        <v>1</v>
      </c>
    </row>
    <row r="365" spans="2:21" ht="12.75" hidden="1" x14ac:dyDescent="0.2">
      <c r="B365" s="1" t="s">
        <v>1548</v>
      </c>
      <c r="C365" s="1" t="s">
        <v>922</v>
      </c>
      <c r="D365" s="1" t="s">
        <v>596</v>
      </c>
      <c r="E365" s="1" t="s">
        <v>1460</v>
      </c>
      <c r="F365" s="1" t="s">
        <v>349</v>
      </c>
      <c r="G365" s="1">
        <f>IF(ISNA(VLOOKUP(F365,Monster!B:E,4,FALSE)),0,VLOOKUP(F365,Monster!B:E,4,FALSE))</f>
        <v>53</v>
      </c>
      <c r="I365" s="1" t="s">
        <v>1549</v>
      </c>
      <c r="J365" s="1">
        <v>1738</v>
      </c>
      <c r="K365" s="1">
        <v>40</v>
      </c>
      <c r="L365" s="1">
        <v>0</v>
      </c>
      <c r="M365" s="1" t="s">
        <v>107</v>
      </c>
      <c r="O365" s="1">
        <f>((NOT(ISNA(VLOOKUP(M365,Monster!$H$2:$I$6,2,FALSE)))*L365)+J365)*(1+K365/100*0.25)</f>
        <v>1911.8000000000002</v>
      </c>
      <c r="P365" s="1" t="s">
        <v>535</v>
      </c>
      <c r="Q365" s="1">
        <v>2</v>
      </c>
      <c r="S365" s="1" t="s">
        <v>1473</v>
      </c>
      <c r="T365" s="1" t="s">
        <v>1468</v>
      </c>
      <c r="U365" s="1" t="s">
        <v>1534</v>
      </c>
    </row>
    <row r="366" spans="2:21" ht="12.75" hidden="1" x14ac:dyDescent="0.2">
      <c r="B366" s="1" t="s">
        <v>1550</v>
      </c>
      <c r="C366" s="1" t="s">
        <v>926</v>
      </c>
      <c r="D366" s="1" t="s">
        <v>596</v>
      </c>
      <c r="E366" s="1" t="s">
        <v>1460</v>
      </c>
      <c r="F366" s="1" t="s">
        <v>354</v>
      </c>
      <c r="G366" s="1">
        <f>IF(ISNA(VLOOKUP(F366,Monster!B:E,4,FALSE)),0,VLOOKUP(F366,Monster!B:E,4,FALSE))</f>
        <v>54</v>
      </c>
      <c r="I366" s="1" t="s">
        <v>1550</v>
      </c>
      <c r="J366" s="1">
        <v>1328</v>
      </c>
      <c r="K366" s="1">
        <v>20</v>
      </c>
      <c r="L366" s="1">
        <v>1074</v>
      </c>
      <c r="M366" s="1" t="s">
        <v>50</v>
      </c>
      <c r="O366" s="1">
        <f>((NOT(ISNA(VLOOKUP(M366,Monster!$H$2:$I$6,2,FALSE)))*L366)+J366)*(1+K366/100*0.25)</f>
        <v>2522.1</v>
      </c>
      <c r="P366" s="1" t="s">
        <v>677</v>
      </c>
      <c r="Q366" s="1">
        <v>1</v>
      </c>
      <c r="S366" s="1" t="s">
        <v>1551</v>
      </c>
      <c r="T366" s="1" t="s">
        <v>1468</v>
      </c>
      <c r="U366" s="1" t="s">
        <v>1469</v>
      </c>
    </row>
    <row r="367" spans="2:21" ht="12.75" hidden="1" x14ac:dyDescent="0.2">
      <c r="B367" s="1" t="s">
        <v>1552</v>
      </c>
      <c r="C367" s="1" t="s">
        <v>930</v>
      </c>
      <c r="D367" s="1" t="s">
        <v>596</v>
      </c>
      <c r="E367" s="1" t="s">
        <v>1460</v>
      </c>
      <c r="F367" s="1" t="s">
        <v>360</v>
      </c>
      <c r="G367" s="1">
        <f>IF(ISNA(VLOOKUP(F367,Monster!B:E,4,FALSE)),0,VLOOKUP(F367,Monster!B:E,4,FALSE))</f>
        <v>55</v>
      </c>
      <c r="I367" s="1" t="s">
        <v>1553</v>
      </c>
      <c r="J367" s="1">
        <v>1979</v>
      </c>
      <c r="K367" s="1">
        <v>0</v>
      </c>
      <c r="L367" s="1">
        <v>0</v>
      </c>
      <c r="M367" s="1" t="s">
        <v>107</v>
      </c>
      <c r="O367" s="1">
        <f>((NOT(ISNA(VLOOKUP(M367,Monster!$H$2:$I$6,2,FALSE)))*L367)+J367)*(1+K367/100*0.25)</f>
        <v>1979</v>
      </c>
      <c r="P367" s="1" t="s">
        <v>515</v>
      </c>
      <c r="Q367" s="1">
        <v>1</v>
      </c>
      <c r="S367" s="1" t="s">
        <v>1462</v>
      </c>
      <c r="T367" s="1" t="s">
        <v>1464</v>
      </c>
      <c r="U367" s="1" t="s">
        <v>1469</v>
      </c>
    </row>
    <row r="368" spans="2:21" ht="12.75" hidden="1" x14ac:dyDescent="0.2">
      <c r="B368" s="1" t="s">
        <v>1554</v>
      </c>
      <c r="C368" s="1" t="s">
        <v>934</v>
      </c>
      <c r="D368" s="1" t="s">
        <v>596</v>
      </c>
      <c r="E368" s="1" t="s">
        <v>1460</v>
      </c>
      <c r="F368" s="1" t="s">
        <v>365</v>
      </c>
      <c r="G368" s="1">
        <f>IF(ISNA(VLOOKUP(F368,Monster!B:E,4,FALSE)),0,VLOOKUP(F368,Monster!B:E,4,FALSE))</f>
        <v>56</v>
      </c>
      <c r="I368" s="1" t="s">
        <v>1555</v>
      </c>
      <c r="J368" s="1">
        <v>1020</v>
      </c>
      <c r="K368" s="1">
        <v>0</v>
      </c>
      <c r="L368" s="1">
        <v>1173</v>
      </c>
      <c r="M368" s="1" t="s">
        <v>66</v>
      </c>
      <c r="O368" s="1">
        <f>((NOT(ISNA(VLOOKUP(M368,Monster!$H$2:$I$6,2,FALSE)))*L368)+J368)*(1+K368/100*0.25)</f>
        <v>2193</v>
      </c>
      <c r="P368" s="1" t="s">
        <v>659</v>
      </c>
      <c r="Q368" s="1">
        <v>1</v>
      </c>
      <c r="S368" s="1" t="s">
        <v>1516</v>
      </c>
      <c r="T368" s="1" t="s">
        <v>1467</v>
      </c>
      <c r="U368" s="1" t="s">
        <v>1482</v>
      </c>
    </row>
    <row r="369" spans="2:35" ht="12.75" hidden="1" x14ac:dyDescent="0.2">
      <c r="B369" s="1" t="s">
        <v>1556</v>
      </c>
      <c r="C369" s="1" t="s">
        <v>939</v>
      </c>
      <c r="D369" s="1" t="s">
        <v>596</v>
      </c>
      <c r="E369" s="1" t="s">
        <v>1460</v>
      </c>
      <c r="F369" s="1" t="s">
        <v>370</v>
      </c>
      <c r="G369" s="1">
        <f>IF(ISNA(VLOOKUP(F369,Monster!B:E,4,FALSE)),0,VLOOKUP(F369,Monster!B:E,4,FALSE))</f>
        <v>57</v>
      </c>
      <c r="I369" s="1" t="s">
        <v>1557</v>
      </c>
      <c r="J369" s="1">
        <v>1756</v>
      </c>
      <c r="K369" s="1">
        <v>20</v>
      </c>
      <c r="L369" s="1">
        <v>282</v>
      </c>
      <c r="M369" s="1" t="s">
        <v>79</v>
      </c>
      <c r="O369" s="1">
        <f>((NOT(ISNA(VLOOKUP(M369,Monster!$H$2:$I$6,2,FALSE)))*L369)+J369)*(1+K369/100*0.25)</f>
        <v>1843.8000000000002</v>
      </c>
      <c r="P369" s="1" t="s">
        <v>615</v>
      </c>
      <c r="Q369" s="1">
        <v>2</v>
      </c>
      <c r="S369" s="1" t="s">
        <v>1539</v>
      </c>
      <c r="T369" s="1" t="s">
        <v>1481</v>
      </c>
      <c r="U369" s="1" t="s">
        <v>1517</v>
      </c>
    </row>
    <row r="370" spans="2:35" ht="12.75" hidden="1" x14ac:dyDescent="0.2">
      <c r="B370" s="3" t="s">
        <v>1558</v>
      </c>
      <c r="C370" s="3" t="s">
        <v>943</v>
      </c>
      <c r="D370" s="3" t="s">
        <v>596</v>
      </c>
      <c r="E370" s="1" t="s">
        <v>1460</v>
      </c>
      <c r="F370" s="3" t="s">
        <v>374</v>
      </c>
      <c r="G370" s="4">
        <f>IF(ISNA(VLOOKUP(F370,Monster!B:E,4,FALSE)),0,VLOOKUP(F370,Monster!B:E,4,FALSE))</f>
        <v>58</v>
      </c>
      <c r="H370" s="3"/>
      <c r="I370" s="3" t="s">
        <v>1558</v>
      </c>
      <c r="J370" s="4">
        <v>1205</v>
      </c>
      <c r="K370" s="4">
        <v>0</v>
      </c>
      <c r="L370" s="4">
        <v>1305</v>
      </c>
      <c r="M370" s="3" t="s">
        <v>71</v>
      </c>
      <c r="N370" s="3"/>
      <c r="O370" s="4">
        <f>((NOT(ISNA(VLOOKUP(M370,Monster!$H$2:$I$6,2,FALSE)))*L370)+J370)*(1+K370/100*0.25)</f>
        <v>2510</v>
      </c>
      <c r="P370" s="3" t="s">
        <v>689</v>
      </c>
      <c r="Q370" s="4">
        <v>1</v>
      </c>
      <c r="R370" s="3" t="s">
        <v>372</v>
      </c>
      <c r="S370" s="1" t="s">
        <v>1473</v>
      </c>
      <c r="T370" s="1" t="s">
        <v>1533</v>
      </c>
      <c r="U370" s="1" t="s">
        <v>1469</v>
      </c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</row>
    <row r="371" spans="2:35" ht="12.75" hidden="1" x14ac:dyDescent="0.2">
      <c r="B371" s="1" t="s">
        <v>1559</v>
      </c>
      <c r="C371" s="1" t="s">
        <v>949</v>
      </c>
      <c r="D371" s="1" t="s">
        <v>596</v>
      </c>
      <c r="E371" s="1" t="s">
        <v>1460</v>
      </c>
      <c r="F371" s="1"/>
      <c r="G371" s="1">
        <f>IF(ISNA(VLOOKUP(F371,Monster!B:E,4,FALSE)),0,VLOOKUP(F371,Monster!B:E,4,FALSE))</f>
        <v>0</v>
      </c>
      <c r="I371" s="1" t="s">
        <v>1560</v>
      </c>
      <c r="J371" s="1">
        <v>1596</v>
      </c>
      <c r="K371" s="1">
        <v>0</v>
      </c>
      <c r="L371" s="1">
        <v>0</v>
      </c>
      <c r="M371" s="1" t="s">
        <v>107</v>
      </c>
      <c r="O371" s="1">
        <f>((NOT(ISNA(VLOOKUP(M371,Monster!$H$2:$I$6,2,FALSE)))*L371)+J371)*(1+K371/100*0.25)</f>
        <v>1596</v>
      </c>
      <c r="P371" s="1" t="s">
        <v>158</v>
      </c>
      <c r="Q371" s="1">
        <v>1</v>
      </c>
      <c r="S371" s="1" t="s">
        <v>1473</v>
      </c>
      <c r="T371" s="1" t="s">
        <v>1492</v>
      </c>
      <c r="U371" s="1" t="s">
        <v>1482</v>
      </c>
    </row>
    <row r="372" spans="2:35" ht="12.75" hidden="1" x14ac:dyDescent="0.2">
      <c r="B372" s="1" t="s">
        <v>1561</v>
      </c>
      <c r="C372" s="1" t="s">
        <v>1274</v>
      </c>
      <c r="D372" s="1" t="s">
        <v>596</v>
      </c>
      <c r="E372" s="1" t="s">
        <v>1460</v>
      </c>
      <c r="F372" s="1"/>
      <c r="G372" s="1">
        <f>IF(ISNA(VLOOKUP(F372,Monster!B:E,4,FALSE)),0,VLOOKUP(F372,Monster!B:E,4,FALSE))</f>
        <v>0</v>
      </c>
      <c r="I372" s="1" t="s">
        <v>1561</v>
      </c>
      <c r="J372" s="1">
        <v>1596</v>
      </c>
      <c r="K372" s="1">
        <v>0</v>
      </c>
      <c r="L372" s="1">
        <v>400</v>
      </c>
      <c r="M372" s="1" t="s">
        <v>87</v>
      </c>
      <c r="O372" s="1">
        <f>((NOT(ISNA(VLOOKUP(M372,Monster!$H$2:$I$6,2,FALSE)))*L372)+J372)*(1+K372/100*0.25)</f>
        <v>1596</v>
      </c>
      <c r="P372" s="1" t="s">
        <v>560</v>
      </c>
      <c r="Q372" s="1">
        <v>3</v>
      </c>
      <c r="S372" s="1" t="s">
        <v>1485</v>
      </c>
      <c r="T372" s="1" t="s">
        <v>1463</v>
      </c>
      <c r="U372" s="1" t="s">
        <v>1464</v>
      </c>
    </row>
    <row r="373" spans="2:35" ht="12.75" hidden="1" x14ac:dyDescent="0.2">
      <c r="B373" s="1" t="s">
        <v>1562</v>
      </c>
      <c r="C373" s="1" t="s">
        <v>34</v>
      </c>
      <c r="D373" s="1" t="s">
        <v>596</v>
      </c>
      <c r="E373" s="1" t="s">
        <v>1563</v>
      </c>
      <c r="F373" s="1"/>
      <c r="G373" s="1">
        <f>IF(ISNA(VLOOKUP(F373,Monster!B:E,4,FALSE)),0,VLOOKUP(F373,Monster!B:E,4,FALSE))</f>
        <v>0</v>
      </c>
      <c r="I373" s="1" t="s">
        <v>1564</v>
      </c>
      <c r="J373" s="1">
        <v>1596</v>
      </c>
      <c r="K373" s="1">
        <v>0</v>
      </c>
      <c r="L373" s="1">
        <v>0</v>
      </c>
      <c r="M373" s="1" t="s">
        <v>107</v>
      </c>
      <c r="O373" s="1">
        <f>((NOT(ISNA(VLOOKUP(M373,Monster!$H$2:$I$6,2,FALSE)))*L373)+J373)*(1+K373/100*0.25)</f>
        <v>1596</v>
      </c>
      <c r="P373" s="1" t="s">
        <v>410</v>
      </c>
      <c r="Q373" s="1">
        <v>2</v>
      </c>
    </row>
    <row r="374" spans="2:35" ht="12.75" hidden="1" x14ac:dyDescent="0.2">
      <c r="C374" s="1" t="s">
        <v>324</v>
      </c>
      <c r="D374" s="1" t="s">
        <v>596</v>
      </c>
      <c r="E374" s="1" t="s">
        <v>1563</v>
      </c>
      <c r="F374" s="1" t="s">
        <v>11</v>
      </c>
      <c r="G374" s="1">
        <f>IF(ISNA(VLOOKUP(F374,Monster!B:E,4,FALSE)),0,VLOOKUP(F374,Monster!B:E,4,FALSE))</f>
        <v>1</v>
      </c>
      <c r="J374" s="1">
        <v>1373</v>
      </c>
      <c r="K374" s="1">
        <v>0</v>
      </c>
      <c r="L374" s="1">
        <v>607</v>
      </c>
      <c r="M374" s="1" t="s">
        <v>50</v>
      </c>
      <c r="O374" s="1">
        <f>((NOT(ISNA(VLOOKUP(M374,Monster!$H$2:$I$6,2,FALSE)))*L374)+J374)*(1+K374/100*0.25)</f>
        <v>1980</v>
      </c>
      <c r="P374" s="1" t="s">
        <v>348</v>
      </c>
      <c r="Q374" s="1">
        <v>2</v>
      </c>
    </row>
    <row r="375" spans="2:35" ht="12.75" hidden="1" x14ac:dyDescent="0.2">
      <c r="B375" s="1" t="s">
        <v>1565</v>
      </c>
      <c r="C375" s="1" t="s">
        <v>439</v>
      </c>
      <c r="D375" s="1" t="s">
        <v>596</v>
      </c>
      <c r="E375" s="1" t="s">
        <v>1563</v>
      </c>
      <c r="F375" s="1" t="s">
        <v>47</v>
      </c>
      <c r="G375" s="1">
        <f>IF(ISNA(VLOOKUP(F375,Monster!B:E,4,FALSE)),0,VLOOKUP(F375,Monster!B:E,4,FALSE))</f>
        <v>2</v>
      </c>
      <c r="I375" s="1" t="s">
        <v>1566</v>
      </c>
      <c r="J375" s="1">
        <v>1596</v>
      </c>
      <c r="K375" s="1">
        <v>30</v>
      </c>
      <c r="L375" s="1">
        <v>0</v>
      </c>
      <c r="M375" s="1" t="s">
        <v>107</v>
      </c>
      <c r="O375" s="1">
        <f>((NOT(ISNA(VLOOKUP(M375,Monster!$H$2:$I$6,2,FALSE)))*L375)+J375)*(1+K375/100*0.25)</f>
        <v>1715.6999999999998</v>
      </c>
      <c r="P375" s="1" t="s">
        <v>319</v>
      </c>
      <c r="Q375" s="1">
        <v>2</v>
      </c>
    </row>
    <row r="376" spans="2:35" ht="12.75" hidden="1" x14ac:dyDescent="0.2">
      <c r="B376" s="1" t="s">
        <v>1567</v>
      </c>
      <c r="C376" s="1" t="s">
        <v>541</v>
      </c>
      <c r="D376" s="1" t="s">
        <v>596</v>
      </c>
      <c r="E376" s="1" t="s">
        <v>1563</v>
      </c>
      <c r="F376" s="1" t="s">
        <v>52</v>
      </c>
      <c r="G376" s="1">
        <f>IF(ISNA(VLOOKUP(F376,Monster!B:E,4,FALSE)),0,VLOOKUP(F376,Monster!B:E,4,FALSE))</f>
        <v>3</v>
      </c>
      <c r="I376" s="1" t="s">
        <v>1568</v>
      </c>
      <c r="J376" s="1">
        <v>1596</v>
      </c>
      <c r="K376" s="1">
        <v>0</v>
      </c>
      <c r="L376" s="1">
        <v>400</v>
      </c>
      <c r="M376" s="1" t="s">
        <v>79</v>
      </c>
      <c r="O376" s="1">
        <f>((NOT(ISNA(VLOOKUP(M376,Monster!$H$2:$I$6,2,FALSE)))*L376)+J376)*(1+K376/100*0.25)</f>
        <v>1596</v>
      </c>
      <c r="P376" s="1" t="s">
        <v>590</v>
      </c>
      <c r="Q376" s="1">
        <v>1</v>
      </c>
    </row>
    <row r="377" spans="2:35" ht="12.75" hidden="1" x14ac:dyDescent="0.2">
      <c r="B377" s="1" t="s">
        <v>1569</v>
      </c>
      <c r="C377" s="1" t="s">
        <v>617</v>
      </c>
      <c r="D377" s="1" t="s">
        <v>596</v>
      </c>
      <c r="E377" s="1" t="s">
        <v>1563</v>
      </c>
      <c r="F377" s="1" t="s">
        <v>60</v>
      </c>
      <c r="G377" s="1">
        <f>IF(ISNA(VLOOKUP(F377,Monster!B:E,4,FALSE)),0,VLOOKUP(F377,Monster!B:E,4,FALSE))</f>
        <v>4</v>
      </c>
      <c r="I377" s="1" t="s">
        <v>1569</v>
      </c>
      <c r="J377" s="1">
        <v>1221</v>
      </c>
      <c r="K377" s="1">
        <v>0</v>
      </c>
      <c r="L377" s="1">
        <v>1142</v>
      </c>
      <c r="M377" s="1" t="s">
        <v>50</v>
      </c>
      <c r="O377" s="1">
        <f>((NOT(ISNA(VLOOKUP(M377,Monster!$H$2:$I$6,2,FALSE)))*L377)+J377)*(1+K377/100*0.25)</f>
        <v>2363</v>
      </c>
      <c r="P377" s="1" t="s">
        <v>244</v>
      </c>
      <c r="Q377" s="1">
        <v>1</v>
      </c>
    </row>
    <row r="378" spans="2:35" ht="12.75" hidden="1" x14ac:dyDescent="0.2">
      <c r="B378" s="1" t="s">
        <v>1570</v>
      </c>
      <c r="C378" s="1" t="s">
        <v>696</v>
      </c>
      <c r="D378" s="1" t="s">
        <v>596</v>
      </c>
      <c r="E378" s="1" t="s">
        <v>1563</v>
      </c>
      <c r="F378" s="1" t="s">
        <v>69</v>
      </c>
      <c r="G378" s="1">
        <f>IF(ISNA(VLOOKUP(F378,Monster!B:E,4,FALSE)),0,VLOOKUP(F378,Monster!B:E,4,FALSE))</f>
        <v>5</v>
      </c>
      <c r="I378" s="1" t="s">
        <v>1571</v>
      </c>
      <c r="J378" s="1">
        <v>1756</v>
      </c>
      <c r="K378" s="1">
        <v>0</v>
      </c>
      <c r="L378" s="1">
        <v>0</v>
      </c>
      <c r="M378" s="1" t="s">
        <v>107</v>
      </c>
      <c r="O378" s="1">
        <f>((NOT(ISNA(VLOOKUP(M378,Monster!$H$2:$I$6,2,FALSE)))*L378)+J378)*(1+K378/100*0.25)</f>
        <v>1756</v>
      </c>
      <c r="P378" s="1" t="s">
        <v>213</v>
      </c>
      <c r="Q378" s="1">
        <v>2</v>
      </c>
    </row>
    <row r="379" spans="2:35" ht="12.75" hidden="1" x14ac:dyDescent="0.2">
      <c r="C379" s="1" t="s">
        <v>719</v>
      </c>
      <c r="D379" s="1" t="s">
        <v>596</v>
      </c>
      <c r="E379" s="1" t="s">
        <v>1563</v>
      </c>
      <c r="F379" s="1" t="s">
        <v>75</v>
      </c>
      <c r="G379" s="1">
        <f>IF(ISNA(VLOOKUP(F379,Monster!B:E,4,FALSE)),0,VLOOKUP(F379,Monster!B:E,4,FALSE))</f>
        <v>6</v>
      </c>
      <c r="J379" s="1">
        <v>1596</v>
      </c>
      <c r="K379" s="1">
        <v>0</v>
      </c>
      <c r="L379" s="1">
        <v>400</v>
      </c>
      <c r="M379" s="1" t="s">
        <v>87</v>
      </c>
      <c r="O379" s="1">
        <f>((NOT(ISNA(VLOOKUP(M379,Monster!$H$2:$I$6,2,FALSE)))*L379)+J379)*(1+K379/100*0.25)</f>
        <v>1596</v>
      </c>
      <c r="P379" s="1" t="s">
        <v>590</v>
      </c>
      <c r="Q379" s="1">
        <v>1</v>
      </c>
    </row>
    <row r="380" spans="2:35" ht="12.75" hidden="1" x14ac:dyDescent="0.2">
      <c r="B380" s="1" t="s">
        <v>1572</v>
      </c>
      <c r="C380" s="1" t="s">
        <v>729</v>
      </c>
      <c r="D380" s="1" t="s">
        <v>596</v>
      </c>
      <c r="E380" s="1" t="s">
        <v>1563</v>
      </c>
      <c r="F380" s="1" t="s">
        <v>81</v>
      </c>
      <c r="G380" s="1">
        <f>IF(ISNA(VLOOKUP(F380,Monster!B:E,4,FALSE)),0,VLOOKUP(F380,Monster!B:E,4,FALSE))</f>
        <v>7</v>
      </c>
      <c r="I380" s="1" t="s">
        <v>1573</v>
      </c>
      <c r="J380" s="1">
        <v>1293</v>
      </c>
      <c r="K380" s="1">
        <v>0</v>
      </c>
      <c r="L380" s="1">
        <v>910</v>
      </c>
      <c r="M380" s="1" t="s">
        <v>58</v>
      </c>
      <c r="O380" s="1">
        <f>((NOT(ISNA(VLOOKUP(M380,Monster!$H$2:$I$6,2,FALSE)))*L380)+J380)*(1+K380/100*0.25)</f>
        <v>2203</v>
      </c>
      <c r="P380" s="1" t="s">
        <v>253</v>
      </c>
      <c r="Q380" s="1">
        <v>1</v>
      </c>
    </row>
    <row r="381" spans="2:35" ht="12.75" hidden="1" x14ac:dyDescent="0.2">
      <c r="C381" s="1" t="s">
        <v>735</v>
      </c>
      <c r="D381" s="1" t="s">
        <v>596</v>
      </c>
      <c r="E381" s="1" t="s">
        <v>1563</v>
      </c>
      <c r="F381" s="1" t="s">
        <v>91</v>
      </c>
      <c r="G381" s="1">
        <f>IF(ISNA(VLOOKUP(F381,Monster!B:E,4,FALSE)),0,VLOOKUP(F381,Monster!B:E,4,FALSE))</f>
        <v>8</v>
      </c>
      <c r="J381" s="1">
        <v>1764</v>
      </c>
      <c r="K381" s="1">
        <v>0</v>
      </c>
      <c r="L381" s="1">
        <v>0</v>
      </c>
      <c r="M381" s="1" t="s">
        <v>107</v>
      </c>
      <c r="O381" s="1">
        <f>((NOT(ISNA(VLOOKUP(M381,Monster!$H$2:$I$6,2,FALSE)))*L381)+J381)*(1+K381/100*0.25)</f>
        <v>1764</v>
      </c>
      <c r="P381" s="1" t="s">
        <v>228</v>
      </c>
      <c r="Q381" s="1">
        <v>2</v>
      </c>
    </row>
    <row r="382" spans="2:35" ht="12.75" hidden="1" x14ac:dyDescent="0.2">
      <c r="B382" s="1" t="s">
        <v>1574</v>
      </c>
      <c r="C382" s="1" t="s">
        <v>740</v>
      </c>
      <c r="D382" s="1" t="s">
        <v>596</v>
      </c>
      <c r="E382" s="1" t="s">
        <v>1563</v>
      </c>
      <c r="F382" s="1" t="s">
        <v>97</v>
      </c>
      <c r="G382" s="1">
        <f>IF(ISNA(VLOOKUP(F382,Monster!B:E,4,FALSE)),0,VLOOKUP(F382,Monster!B:E,4,FALSE))</f>
        <v>9</v>
      </c>
      <c r="I382" s="1" t="s">
        <v>1574</v>
      </c>
      <c r="J382" s="1">
        <v>1756</v>
      </c>
      <c r="K382" s="1">
        <v>0</v>
      </c>
      <c r="L382" s="1">
        <v>300</v>
      </c>
      <c r="M382" s="1" t="s">
        <v>95</v>
      </c>
      <c r="O382" s="1">
        <f>((NOT(ISNA(VLOOKUP(M382,Monster!$H$2:$I$6,2,FALSE)))*L382)+J382)*(1+K382/100*0.25)</f>
        <v>1756</v>
      </c>
      <c r="P382" s="1" t="s">
        <v>590</v>
      </c>
      <c r="Q382" s="1">
        <v>1</v>
      </c>
    </row>
    <row r="383" spans="2:35" ht="12.75" hidden="1" x14ac:dyDescent="0.2">
      <c r="B383" s="1" t="s">
        <v>1575</v>
      </c>
      <c r="C383" s="1" t="s">
        <v>745</v>
      </c>
      <c r="D383" s="1" t="s">
        <v>596</v>
      </c>
      <c r="E383" s="1" t="s">
        <v>1563</v>
      </c>
      <c r="F383" s="1" t="s">
        <v>102</v>
      </c>
      <c r="G383" s="1">
        <f>IF(ISNA(VLOOKUP(F383,Monster!B:E,4,FALSE)),0,VLOOKUP(F383,Monster!B:E,4,FALSE))</f>
        <v>10</v>
      </c>
      <c r="I383" s="1" t="s">
        <v>1576</v>
      </c>
      <c r="J383" s="1">
        <v>1293</v>
      </c>
      <c r="K383" s="1">
        <v>0</v>
      </c>
      <c r="L383" s="1">
        <v>910</v>
      </c>
      <c r="M383" s="1" t="s">
        <v>50</v>
      </c>
      <c r="O383" s="1">
        <f>((NOT(ISNA(VLOOKUP(M383,Monster!$H$2:$I$6,2,FALSE)))*L383)+J383)*(1+K383/100*0.25)</f>
        <v>2203</v>
      </c>
      <c r="P383" s="1" t="s">
        <v>394</v>
      </c>
      <c r="Q383" s="1">
        <v>1</v>
      </c>
    </row>
    <row r="384" spans="2:35" ht="12.75" hidden="1" x14ac:dyDescent="0.2">
      <c r="C384" s="1" t="s">
        <v>750</v>
      </c>
      <c r="D384" s="1" t="s">
        <v>596</v>
      </c>
      <c r="E384" s="1" t="s">
        <v>1563</v>
      </c>
      <c r="F384" s="1" t="s">
        <v>109</v>
      </c>
      <c r="G384" s="1">
        <f>IF(ISNA(VLOOKUP(F384,Monster!B:E,4,FALSE)),0,VLOOKUP(F384,Monster!B:E,4,FALSE))</f>
        <v>11</v>
      </c>
      <c r="J384" s="1">
        <v>1293</v>
      </c>
      <c r="K384" s="1">
        <v>0</v>
      </c>
      <c r="L384" s="1">
        <v>910</v>
      </c>
      <c r="M384" s="1" t="s">
        <v>41</v>
      </c>
      <c r="O384" s="1">
        <f>((NOT(ISNA(VLOOKUP(M384,Monster!$H$2:$I$6,2,FALSE)))*L384)+J384)*(1+K384/100*0.25)</f>
        <v>2203</v>
      </c>
      <c r="P384" s="1" t="s">
        <v>543</v>
      </c>
      <c r="Q384" s="1">
        <v>1</v>
      </c>
    </row>
    <row r="385" spans="2:17" ht="12.75" hidden="1" x14ac:dyDescent="0.2">
      <c r="C385" s="1" t="s">
        <v>756</v>
      </c>
      <c r="D385" s="1" t="s">
        <v>596</v>
      </c>
      <c r="E385" s="1" t="s">
        <v>1563</v>
      </c>
      <c r="F385" s="1" t="s">
        <v>119</v>
      </c>
      <c r="G385" s="1">
        <f>IF(ISNA(VLOOKUP(F385,Monster!B:E,4,FALSE)),0,VLOOKUP(F385,Monster!B:E,4,FALSE))</f>
        <v>12</v>
      </c>
      <c r="J385" s="1">
        <v>1197</v>
      </c>
      <c r="K385" s="1">
        <v>20</v>
      </c>
      <c r="L385" s="1">
        <v>1154</v>
      </c>
      <c r="M385" s="1" t="s">
        <v>58</v>
      </c>
      <c r="O385" s="1">
        <f>((NOT(ISNA(VLOOKUP(M385,Monster!$H$2:$I$6,2,FALSE)))*L385)+J385)*(1+K385/100*0.25)</f>
        <v>2468.5500000000002</v>
      </c>
      <c r="P385" s="1" t="s">
        <v>175</v>
      </c>
      <c r="Q385" s="1">
        <v>1</v>
      </c>
    </row>
    <row r="386" spans="2:17" ht="12.75" hidden="1" x14ac:dyDescent="0.2">
      <c r="C386" s="1" t="s">
        <v>761</v>
      </c>
      <c r="D386" s="1" t="s">
        <v>596</v>
      </c>
      <c r="E386" s="1" t="s">
        <v>1563</v>
      </c>
      <c r="F386" s="1" t="s">
        <v>125</v>
      </c>
      <c r="G386" s="1">
        <f>IF(ISNA(VLOOKUP(F386,Monster!B:E,4,FALSE)),0,VLOOKUP(F386,Monster!B:E,4,FALSE))</f>
        <v>13</v>
      </c>
      <c r="J386" s="1">
        <v>1516</v>
      </c>
      <c r="K386" s="1">
        <v>0</v>
      </c>
      <c r="L386" s="1">
        <v>496</v>
      </c>
      <c r="M386" s="1" t="s">
        <v>79</v>
      </c>
      <c r="O386" s="1">
        <f>((NOT(ISNA(VLOOKUP(M386,Monster!$H$2:$I$6,2,FALSE)))*L386)+J386)*(1+K386/100*0.25)</f>
        <v>1516</v>
      </c>
      <c r="P386" s="1" t="s">
        <v>348</v>
      </c>
      <c r="Q386" s="1">
        <v>2</v>
      </c>
    </row>
    <row r="387" spans="2:17" ht="12.75" hidden="1" x14ac:dyDescent="0.2">
      <c r="C387" s="1" t="s">
        <v>766</v>
      </c>
      <c r="D387" s="1" t="s">
        <v>596</v>
      </c>
      <c r="E387" s="1" t="s">
        <v>1563</v>
      </c>
      <c r="F387" s="1" t="s">
        <v>131</v>
      </c>
      <c r="G387" s="1">
        <f>IF(ISNA(VLOOKUP(F387,Monster!B:E,4,FALSE)),0,VLOOKUP(F387,Monster!B:E,4,FALSE))</f>
        <v>14</v>
      </c>
      <c r="J387" s="1">
        <v>1756</v>
      </c>
      <c r="K387" s="1">
        <v>0</v>
      </c>
      <c r="L387" s="1">
        <v>300</v>
      </c>
      <c r="M387" s="1" t="s">
        <v>79</v>
      </c>
      <c r="O387" s="1">
        <f>((NOT(ISNA(VLOOKUP(M387,Monster!$H$2:$I$6,2,FALSE)))*L387)+J387)*(1+K387/100*0.25)</f>
        <v>1756</v>
      </c>
      <c r="P387" s="1" t="s">
        <v>253</v>
      </c>
      <c r="Q387" s="1">
        <v>1</v>
      </c>
    </row>
    <row r="388" spans="2:17" ht="12.75" hidden="1" x14ac:dyDescent="0.2">
      <c r="C388" s="1" t="s">
        <v>771</v>
      </c>
      <c r="D388" s="1" t="s">
        <v>596</v>
      </c>
      <c r="E388" s="1" t="s">
        <v>1563</v>
      </c>
      <c r="F388" s="1" t="s">
        <v>137</v>
      </c>
      <c r="G388" s="1">
        <f>IF(ISNA(VLOOKUP(F388,Monster!B:E,4,FALSE)),0,VLOOKUP(F388,Monster!B:E,4,FALSE))</f>
        <v>15</v>
      </c>
      <c r="J388" s="1">
        <v>1675</v>
      </c>
      <c r="K388" s="1">
        <v>30</v>
      </c>
      <c r="L388" s="1">
        <v>399</v>
      </c>
      <c r="M388" s="1" t="s">
        <v>79</v>
      </c>
      <c r="O388" s="1">
        <f>((NOT(ISNA(VLOOKUP(M388,Monster!$H$2:$I$6,2,FALSE)))*L388)+J388)*(1+K388/100*0.25)</f>
        <v>1800.625</v>
      </c>
      <c r="P388" s="1" t="s">
        <v>483</v>
      </c>
      <c r="Q388" s="1">
        <v>2</v>
      </c>
    </row>
    <row r="389" spans="2:17" ht="12.75" hidden="1" x14ac:dyDescent="0.2">
      <c r="B389" s="1" t="s">
        <v>1577</v>
      </c>
      <c r="C389" s="1" t="s">
        <v>775</v>
      </c>
      <c r="D389" s="1" t="s">
        <v>596</v>
      </c>
      <c r="E389" s="1" t="s">
        <v>1563</v>
      </c>
      <c r="F389" s="1" t="s">
        <v>146</v>
      </c>
      <c r="G389" s="1">
        <f>IF(ISNA(VLOOKUP(F389,Monster!B:E,4,FALSE)),0,VLOOKUP(F389,Monster!B:E,4,FALSE))</f>
        <v>16</v>
      </c>
      <c r="I389" s="1" t="s">
        <v>1578</v>
      </c>
      <c r="J389" s="1">
        <v>1221</v>
      </c>
      <c r="K389" s="1">
        <v>0</v>
      </c>
      <c r="L389" s="1">
        <v>1142</v>
      </c>
      <c r="M389" s="1" t="s">
        <v>66</v>
      </c>
      <c r="O389" s="1">
        <f>((NOT(ISNA(VLOOKUP(M389,Monster!$H$2:$I$6,2,FALSE)))*L389)+J389)*(1+K389/100*0.25)</f>
        <v>2363</v>
      </c>
      <c r="P389" s="1" t="s">
        <v>228</v>
      </c>
      <c r="Q389" s="1">
        <v>2</v>
      </c>
    </row>
    <row r="390" spans="2:17" ht="12.75" hidden="1" x14ac:dyDescent="0.2">
      <c r="C390" s="1" t="s">
        <v>779</v>
      </c>
      <c r="D390" s="1" t="s">
        <v>596</v>
      </c>
      <c r="E390" s="1" t="s">
        <v>1563</v>
      </c>
      <c r="F390" s="1" t="s">
        <v>151</v>
      </c>
      <c r="G390" s="1">
        <f>IF(ISNA(VLOOKUP(F390,Monster!B:E,4,FALSE)),0,VLOOKUP(F390,Monster!B:E,4,FALSE))</f>
        <v>17</v>
      </c>
      <c r="J390" s="1">
        <v>1979</v>
      </c>
      <c r="K390" s="1">
        <v>0</v>
      </c>
      <c r="L390" s="1">
        <v>0</v>
      </c>
      <c r="M390" s="1" t="s">
        <v>107</v>
      </c>
      <c r="O390" s="1">
        <f>((NOT(ISNA(VLOOKUP(M390,Monster!$H$2:$I$6,2,FALSE)))*L390)+J390)*(1+K390/100*0.25)</f>
        <v>1979</v>
      </c>
      <c r="P390" s="1" t="s">
        <v>364</v>
      </c>
      <c r="Q390" s="1">
        <v>1</v>
      </c>
    </row>
    <row r="391" spans="2:17" ht="12.75" hidden="1" x14ac:dyDescent="0.2">
      <c r="C391" s="1" t="s">
        <v>782</v>
      </c>
      <c r="D391" s="1" t="s">
        <v>596</v>
      </c>
      <c r="E391" s="1" t="s">
        <v>1563</v>
      </c>
      <c r="F391" s="1" t="s">
        <v>155</v>
      </c>
      <c r="G391" s="1">
        <f>IF(ISNA(VLOOKUP(F391,Monster!B:E,4,FALSE)),0,VLOOKUP(F391,Monster!B:E,4,FALSE))</f>
        <v>18</v>
      </c>
      <c r="J391" s="1">
        <v>2218</v>
      </c>
      <c r="K391" s="1">
        <v>-30</v>
      </c>
      <c r="L391" s="1">
        <v>0</v>
      </c>
      <c r="M391" s="1" t="s">
        <v>107</v>
      </c>
      <c r="O391" s="1">
        <f>((NOT(ISNA(VLOOKUP(M391,Monster!$H$2:$I$6,2,FALSE)))*L391)+J391)*(1+K391/100*0.25)</f>
        <v>2051.65</v>
      </c>
      <c r="P391" s="1" t="s">
        <v>463</v>
      </c>
      <c r="Q391" s="1">
        <v>1</v>
      </c>
    </row>
    <row r="392" spans="2:17" ht="12.75" hidden="1" x14ac:dyDescent="0.2">
      <c r="B392" s="1" t="s">
        <v>1579</v>
      </c>
      <c r="C392" s="1" t="s">
        <v>786</v>
      </c>
      <c r="D392" s="1" t="s">
        <v>596</v>
      </c>
      <c r="E392" s="1" t="s">
        <v>1563</v>
      </c>
      <c r="F392" s="1" t="s">
        <v>160</v>
      </c>
      <c r="G392" s="1">
        <f>IF(ISNA(VLOOKUP(F392,Monster!B:E,4,FALSE)),0,VLOOKUP(F392,Monster!B:E,4,FALSE))</f>
        <v>19</v>
      </c>
      <c r="I392" s="1" t="s">
        <v>1580</v>
      </c>
      <c r="J392" s="1">
        <v>1221</v>
      </c>
      <c r="K392" s="1">
        <v>0</v>
      </c>
      <c r="L392" s="1">
        <v>1142</v>
      </c>
      <c r="M392" s="1" t="s">
        <v>41</v>
      </c>
      <c r="O392" s="1">
        <f>((NOT(ISNA(VLOOKUP(M392,Monster!$H$2:$I$6,2,FALSE)))*L392)+J392)*(1+K392/100*0.25)</f>
        <v>2363</v>
      </c>
      <c r="P392" s="1" t="s">
        <v>244</v>
      </c>
      <c r="Q392" s="1">
        <v>1</v>
      </c>
    </row>
    <row r="393" spans="2:17" ht="12.75" hidden="1" x14ac:dyDescent="0.2">
      <c r="B393" s="1" t="s">
        <v>1581</v>
      </c>
      <c r="C393" s="1" t="s">
        <v>790</v>
      </c>
      <c r="D393" s="1" t="s">
        <v>596</v>
      </c>
      <c r="E393" s="1" t="s">
        <v>1563</v>
      </c>
      <c r="F393" s="1" t="s">
        <v>165</v>
      </c>
      <c r="G393" s="1">
        <f>IF(ISNA(VLOOKUP(F393,Monster!B:E,4,FALSE)),0,VLOOKUP(F393,Monster!B:E,4,FALSE))</f>
        <v>20</v>
      </c>
      <c r="I393" s="1" t="s">
        <v>1582</v>
      </c>
      <c r="J393" s="1">
        <v>1682</v>
      </c>
      <c r="K393" s="1">
        <v>0</v>
      </c>
      <c r="L393" s="1">
        <v>605</v>
      </c>
      <c r="M393" s="1" t="s">
        <v>41</v>
      </c>
      <c r="O393" s="1">
        <f>((NOT(ISNA(VLOOKUP(M393,Monster!$H$2:$I$6,2,FALSE)))*L393)+J393)*(1+K393/100*0.25)</f>
        <v>2287</v>
      </c>
      <c r="P393" s="1" t="s">
        <v>602</v>
      </c>
      <c r="Q393" s="1">
        <v>1</v>
      </c>
    </row>
    <row r="394" spans="2:17" ht="12.75" hidden="1" x14ac:dyDescent="0.2">
      <c r="B394" s="1" t="s">
        <v>1583</v>
      </c>
      <c r="C394" s="1" t="s">
        <v>794</v>
      </c>
      <c r="D394" s="1" t="s">
        <v>596</v>
      </c>
      <c r="E394" s="1" t="s">
        <v>1563</v>
      </c>
      <c r="F394" s="1" t="s">
        <v>171</v>
      </c>
      <c r="G394" s="1">
        <f>IF(ISNA(VLOOKUP(F394,Monster!B:E,4,FALSE)),0,VLOOKUP(F394,Monster!B:E,4,FALSE))</f>
        <v>21</v>
      </c>
      <c r="I394" s="1" t="s">
        <v>1583</v>
      </c>
      <c r="J394" s="1">
        <v>1258</v>
      </c>
      <c r="K394" s="1">
        <v>30</v>
      </c>
      <c r="L394" s="1">
        <v>1082</v>
      </c>
      <c r="M394" s="1" t="s">
        <v>41</v>
      </c>
      <c r="O394" s="1">
        <f>((NOT(ISNA(VLOOKUP(M394,Monster!$H$2:$I$6,2,FALSE)))*L394)+J394)*(1+K394/100*0.25)</f>
        <v>2515.5</v>
      </c>
      <c r="P394" s="1" t="s">
        <v>175</v>
      </c>
      <c r="Q394" s="1">
        <v>2</v>
      </c>
    </row>
    <row r="395" spans="2:17" ht="12.75" hidden="1" x14ac:dyDescent="0.2">
      <c r="C395" s="1" t="s">
        <v>797</v>
      </c>
      <c r="D395" s="1" t="s">
        <v>596</v>
      </c>
      <c r="E395" s="1" t="s">
        <v>1563</v>
      </c>
      <c r="F395" s="1" t="s">
        <v>176</v>
      </c>
      <c r="G395" s="1">
        <f>IF(ISNA(VLOOKUP(F395,Monster!B:E,4,FALSE)),0,VLOOKUP(F395,Monster!B:E,4,FALSE))</f>
        <v>22</v>
      </c>
      <c r="J395" s="1">
        <v>1596</v>
      </c>
      <c r="K395" s="1">
        <v>0</v>
      </c>
      <c r="L395" s="1">
        <v>400</v>
      </c>
      <c r="M395" s="1" t="s">
        <v>95</v>
      </c>
      <c r="O395" s="1">
        <f>((NOT(ISNA(VLOOKUP(M395,Monster!$H$2:$I$6,2,FALSE)))*L395)+J395)*(1+K395/100*0.25)</f>
        <v>1596</v>
      </c>
      <c r="P395" s="1" t="s">
        <v>213</v>
      </c>
      <c r="Q395" s="1">
        <v>2</v>
      </c>
    </row>
    <row r="396" spans="2:17" ht="12.75" hidden="1" x14ac:dyDescent="0.2">
      <c r="C396" s="1" t="s">
        <v>800</v>
      </c>
      <c r="D396" s="1" t="s">
        <v>596</v>
      </c>
      <c r="E396" s="1" t="s">
        <v>1563</v>
      </c>
      <c r="F396" s="1" t="s">
        <v>184</v>
      </c>
      <c r="G396" s="1">
        <f>IF(ISNA(VLOOKUP(F396,Monster!B:E,4,FALSE)),0,VLOOKUP(F396,Monster!B:E,4,FALSE))</f>
        <v>23</v>
      </c>
      <c r="J396" s="1">
        <v>1764</v>
      </c>
      <c r="K396" s="1">
        <v>0</v>
      </c>
      <c r="L396" s="1">
        <v>0</v>
      </c>
      <c r="M396" s="1" t="s">
        <v>107</v>
      </c>
      <c r="O396" s="1">
        <f>((NOT(ISNA(VLOOKUP(M396,Monster!$H$2:$I$6,2,FALSE)))*L396)+J396)*(1+K396/100*0.25)</f>
        <v>1764</v>
      </c>
      <c r="P396" s="1" t="s">
        <v>306</v>
      </c>
      <c r="Q396" s="1">
        <v>2</v>
      </c>
    </row>
    <row r="397" spans="2:17" ht="12.75" hidden="1" x14ac:dyDescent="0.2">
      <c r="B397" s="1" t="s">
        <v>1584</v>
      </c>
      <c r="C397" s="1" t="s">
        <v>803</v>
      </c>
      <c r="D397" s="1" t="s">
        <v>596</v>
      </c>
      <c r="E397" s="1" t="s">
        <v>1563</v>
      </c>
      <c r="F397" s="1" t="s">
        <v>190</v>
      </c>
      <c r="G397" s="1">
        <f>IF(ISNA(VLOOKUP(F397,Monster!B:E,4,FALSE)),0,VLOOKUP(F397,Monster!B:E,4,FALSE))</f>
        <v>24</v>
      </c>
      <c r="I397" s="1" t="s">
        <v>1585</v>
      </c>
      <c r="J397" s="1">
        <v>1191</v>
      </c>
      <c r="K397" s="1">
        <v>20</v>
      </c>
      <c r="L397" s="1">
        <v>910</v>
      </c>
      <c r="M397" s="1" t="s">
        <v>66</v>
      </c>
      <c r="O397" s="1">
        <f>((NOT(ISNA(VLOOKUP(M397,Monster!$H$2:$I$6,2,FALSE)))*L397)+J397)*(1+K397/100*0.25)</f>
        <v>2206.0500000000002</v>
      </c>
      <c r="P397" s="1" t="s">
        <v>253</v>
      </c>
      <c r="Q397" s="1">
        <v>1</v>
      </c>
    </row>
    <row r="398" spans="2:17" ht="12.75" hidden="1" x14ac:dyDescent="0.2">
      <c r="B398" s="1" t="s">
        <v>1586</v>
      </c>
      <c r="C398" s="1" t="s">
        <v>807</v>
      </c>
      <c r="D398" s="1" t="s">
        <v>596</v>
      </c>
      <c r="E398" s="1" t="s">
        <v>1563</v>
      </c>
      <c r="F398" s="1" t="s">
        <v>193</v>
      </c>
      <c r="G398" s="1">
        <f>IF(ISNA(VLOOKUP(F398,Monster!B:E,4,FALSE)),0,VLOOKUP(F398,Monster!B:E,4,FALSE))</f>
        <v>25</v>
      </c>
      <c r="I398" s="1" t="s">
        <v>1586</v>
      </c>
      <c r="J398" s="1">
        <v>1221</v>
      </c>
      <c r="K398" s="1">
        <v>0</v>
      </c>
      <c r="L398" s="1">
        <v>1142</v>
      </c>
      <c r="M398" s="1" t="s">
        <v>58</v>
      </c>
      <c r="O398" s="1">
        <f>((NOT(ISNA(VLOOKUP(M398,Monster!$H$2:$I$6,2,FALSE)))*L398)+J398)*(1+K398/100*0.25)</f>
        <v>2363</v>
      </c>
      <c r="P398" s="1" t="s">
        <v>38</v>
      </c>
      <c r="Q398" s="1">
        <v>1</v>
      </c>
    </row>
    <row r="399" spans="2:17" ht="12.75" hidden="1" x14ac:dyDescent="0.2">
      <c r="C399" s="1" t="s">
        <v>810</v>
      </c>
      <c r="D399" s="1" t="s">
        <v>596</v>
      </c>
      <c r="E399" s="1" t="s">
        <v>1563</v>
      </c>
      <c r="F399" s="1" t="s">
        <v>197</v>
      </c>
      <c r="G399" s="1">
        <f>IF(ISNA(VLOOKUP(F399,Monster!B:E,4,FALSE)),0,VLOOKUP(F399,Monster!B:E,4,FALSE))</f>
        <v>26</v>
      </c>
      <c r="J399" s="1">
        <v>1588</v>
      </c>
      <c r="K399" s="1">
        <v>0</v>
      </c>
      <c r="L399" s="1">
        <v>632</v>
      </c>
      <c r="M399" s="1" t="s">
        <v>58</v>
      </c>
      <c r="O399" s="1">
        <f>((NOT(ISNA(VLOOKUP(M399,Monster!$H$2:$I$6,2,FALSE)))*L399)+J399)*(1+K399/100*0.25)</f>
        <v>2220</v>
      </c>
      <c r="P399" s="1" t="s">
        <v>412</v>
      </c>
      <c r="Q399" s="1">
        <v>1</v>
      </c>
    </row>
    <row r="400" spans="2:17" ht="12.75" hidden="1" x14ac:dyDescent="0.2">
      <c r="B400" s="1" t="s">
        <v>1587</v>
      </c>
      <c r="C400" s="1" t="s">
        <v>813</v>
      </c>
      <c r="D400" s="1" t="s">
        <v>596</v>
      </c>
      <c r="E400" s="1" t="s">
        <v>1563</v>
      </c>
      <c r="F400" s="1" t="s">
        <v>205</v>
      </c>
      <c r="G400" s="1">
        <f>IF(ISNA(VLOOKUP(F400,Monster!B:E,4,FALSE)),0,VLOOKUP(F400,Monster!B:E,4,FALSE))</f>
        <v>27</v>
      </c>
      <c r="I400" s="1" t="s">
        <v>1588</v>
      </c>
      <c r="J400" s="1">
        <v>1719</v>
      </c>
      <c r="K400" s="1">
        <v>20</v>
      </c>
      <c r="L400" s="1">
        <v>0</v>
      </c>
      <c r="M400" s="1" t="s">
        <v>107</v>
      </c>
      <c r="O400" s="1">
        <f>((NOT(ISNA(VLOOKUP(M400,Monster!$H$2:$I$6,2,FALSE)))*L400)+J400)*(1+K400/100*0.25)</f>
        <v>1804.95</v>
      </c>
      <c r="P400" s="1" t="s">
        <v>269</v>
      </c>
      <c r="Q400" s="1">
        <v>1</v>
      </c>
    </row>
    <row r="401" spans="2:18" ht="12.75" hidden="1" x14ac:dyDescent="0.2">
      <c r="B401" s="1" t="s">
        <v>1589</v>
      </c>
      <c r="C401" s="1" t="s">
        <v>816</v>
      </c>
      <c r="D401" s="1" t="s">
        <v>596</v>
      </c>
      <c r="E401" s="1" t="s">
        <v>1563</v>
      </c>
      <c r="F401" s="1" t="s">
        <v>210</v>
      </c>
      <c r="G401" s="1">
        <f>IF(ISNA(VLOOKUP(F401,Monster!B:E,4,FALSE)),0,VLOOKUP(F401,Monster!B:E,4,FALSE))</f>
        <v>28</v>
      </c>
      <c r="I401" s="1" t="s">
        <v>1589</v>
      </c>
      <c r="J401" s="1">
        <v>1138</v>
      </c>
      <c r="K401" s="1">
        <v>20</v>
      </c>
      <c r="L401" s="1">
        <v>1156</v>
      </c>
      <c r="M401" s="1" t="s">
        <v>71</v>
      </c>
      <c r="O401" s="1">
        <f>((NOT(ISNA(VLOOKUP(M401,Monster!$H$2:$I$6,2,FALSE)))*L401)+J401)*(1+K401/100*0.25)</f>
        <v>2408.7000000000003</v>
      </c>
      <c r="P401" s="1" t="s">
        <v>166</v>
      </c>
      <c r="Q401" s="1">
        <v>1</v>
      </c>
    </row>
    <row r="402" spans="2:18" ht="12.75" hidden="1" x14ac:dyDescent="0.2">
      <c r="B402" s="1" t="s">
        <v>1590</v>
      </c>
      <c r="C402" s="1" t="s">
        <v>821</v>
      </c>
      <c r="D402" s="1" t="s">
        <v>596</v>
      </c>
      <c r="E402" s="1" t="s">
        <v>1563</v>
      </c>
      <c r="F402" s="1" t="s">
        <v>216</v>
      </c>
      <c r="G402" s="1">
        <f>IF(ISNA(VLOOKUP(F402,Monster!B:E,4,FALSE)),0,VLOOKUP(F402,Monster!B:E,4,FALSE))</f>
        <v>29</v>
      </c>
      <c r="I402" s="1" t="s">
        <v>1591</v>
      </c>
      <c r="J402" s="1">
        <v>1318</v>
      </c>
      <c r="K402" s="1">
        <v>-30</v>
      </c>
      <c r="L402" s="1">
        <v>1261</v>
      </c>
      <c r="M402" s="1" t="s">
        <v>71</v>
      </c>
      <c r="O402" s="1">
        <f>((NOT(ISNA(VLOOKUP(M402,Monster!$H$2:$I$6,2,FALSE)))*L402)+J402)*(1+K402/100*0.25)</f>
        <v>2385.5750000000003</v>
      </c>
      <c r="P402" s="1" t="s">
        <v>440</v>
      </c>
      <c r="Q402" s="1">
        <v>2</v>
      </c>
    </row>
    <row r="403" spans="2:18" ht="12.75" hidden="1" x14ac:dyDescent="0.2">
      <c r="B403" s="1" t="s">
        <v>1592</v>
      </c>
      <c r="C403" s="1" t="s">
        <v>825</v>
      </c>
      <c r="D403" s="1" t="s">
        <v>596</v>
      </c>
      <c r="E403" s="1" t="s">
        <v>1563</v>
      </c>
      <c r="F403" s="1" t="s">
        <v>223</v>
      </c>
      <c r="G403" s="1">
        <f>IF(ISNA(VLOOKUP(F403,Monster!B:E,4,FALSE)),0,VLOOKUP(F403,Monster!B:E,4,FALSE))</f>
        <v>30</v>
      </c>
      <c r="I403" s="1" t="s">
        <v>1593</v>
      </c>
      <c r="J403" s="1">
        <v>1671</v>
      </c>
      <c r="K403" s="1">
        <v>-15</v>
      </c>
      <c r="L403" s="1">
        <v>342</v>
      </c>
      <c r="M403" s="1" t="s">
        <v>79</v>
      </c>
      <c r="O403" s="1">
        <f>((NOT(ISNA(VLOOKUP(M403,Monster!$H$2:$I$6,2,FALSE)))*L403)+J403)*(1+K403/100*0.25)</f>
        <v>1608.3375000000001</v>
      </c>
      <c r="P403" s="1" t="s">
        <v>364</v>
      </c>
      <c r="Q403" s="1">
        <v>1</v>
      </c>
    </row>
    <row r="404" spans="2:18" ht="12.75" hidden="1" x14ac:dyDescent="0.2">
      <c r="C404" s="1" t="s">
        <v>829</v>
      </c>
      <c r="D404" s="1" t="s">
        <v>596</v>
      </c>
      <c r="E404" s="1" t="s">
        <v>1563</v>
      </c>
      <c r="F404" s="1" t="s">
        <v>229</v>
      </c>
      <c r="G404" s="1">
        <f>IF(ISNA(VLOOKUP(F404,Monster!B:E,4,FALSE)),0,VLOOKUP(F404,Monster!B:E,4,FALSE))</f>
        <v>31</v>
      </c>
      <c r="J404" s="1">
        <v>1194</v>
      </c>
      <c r="K404" s="1">
        <v>20</v>
      </c>
      <c r="L404" s="1">
        <v>913</v>
      </c>
      <c r="M404" s="1" t="s">
        <v>58</v>
      </c>
      <c r="O404" s="1">
        <f>((NOT(ISNA(VLOOKUP(M404,Monster!$H$2:$I$6,2,FALSE)))*L404)+J404)*(1+K404/100*0.25)</f>
        <v>2212.35</v>
      </c>
      <c r="P404" s="1" t="s">
        <v>470</v>
      </c>
      <c r="Q404" s="1">
        <v>1</v>
      </c>
    </row>
    <row r="405" spans="2:18" ht="12.75" hidden="1" x14ac:dyDescent="0.2">
      <c r="B405" s="1" t="s">
        <v>1594</v>
      </c>
      <c r="C405" s="1" t="s">
        <v>834</v>
      </c>
      <c r="D405" s="1" t="s">
        <v>596</v>
      </c>
      <c r="E405" s="1" t="s">
        <v>1563</v>
      </c>
      <c r="F405" s="1" t="s">
        <v>234</v>
      </c>
      <c r="G405" s="1">
        <f>IF(ISNA(VLOOKUP(F405,Monster!B:E,4,FALSE)),0,VLOOKUP(F405,Monster!B:E,4,FALSE))</f>
        <v>32</v>
      </c>
      <c r="I405" s="1" t="s">
        <v>1594</v>
      </c>
      <c r="J405" s="1">
        <v>1553</v>
      </c>
      <c r="K405" s="1">
        <v>0</v>
      </c>
      <c r="L405" s="1">
        <v>974</v>
      </c>
      <c r="M405" s="1" t="s">
        <v>66</v>
      </c>
      <c r="O405" s="1">
        <f>((NOT(ISNA(VLOOKUP(M405,Monster!$H$2:$I$6,2,FALSE)))*L405)+J405)*(1+K405/100*0.25)</f>
        <v>2527</v>
      </c>
      <c r="P405" s="1" t="s">
        <v>528</v>
      </c>
      <c r="Q405" s="1">
        <v>2</v>
      </c>
      <c r="R405" s="1" t="s">
        <v>372</v>
      </c>
    </row>
    <row r="406" spans="2:18" ht="12.75" hidden="1" x14ac:dyDescent="0.2">
      <c r="B406" s="1" t="s">
        <v>1595</v>
      </c>
      <c r="C406" s="1" t="s">
        <v>839</v>
      </c>
      <c r="D406" s="1" t="s">
        <v>596</v>
      </c>
      <c r="E406" s="1" t="s">
        <v>1563</v>
      </c>
      <c r="F406" s="1" t="s">
        <v>239</v>
      </c>
      <c r="G406" s="1">
        <f>IF(ISNA(VLOOKUP(F406,Monster!B:E,4,FALSE)),0,VLOOKUP(F406,Monster!B:E,4,FALSE))</f>
        <v>33</v>
      </c>
      <c r="I406" s="1" t="s">
        <v>1596</v>
      </c>
      <c r="J406" s="1">
        <v>1138</v>
      </c>
      <c r="K406" s="1">
        <v>20</v>
      </c>
      <c r="L406" s="1">
        <v>1156</v>
      </c>
      <c r="M406" s="1" t="s">
        <v>50</v>
      </c>
      <c r="O406" s="1">
        <f>((NOT(ISNA(VLOOKUP(M406,Monster!$H$2:$I$6,2,FALSE)))*L406)+J406)*(1+K406/100*0.25)</f>
        <v>2408.7000000000003</v>
      </c>
      <c r="P406" s="1" t="s">
        <v>38</v>
      </c>
      <c r="Q406" s="1">
        <v>1</v>
      </c>
    </row>
    <row r="407" spans="2:18" ht="12.75" hidden="1" x14ac:dyDescent="0.2">
      <c r="B407" s="1" t="s">
        <v>1597</v>
      </c>
      <c r="C407" s="1" t="s">
        <v>845</v>
      </c>
      <c r="D407" s="1" t="s">
        <v>596</v>
      </c>
      <c r="E407" s="1" t="s">
        <v>1563</v>
      </c>
      <c r="F407" s="1" t="s">
        <v>245</v>
      </c>
      <c r="G407" s="1">
        <f>IF(ISNA(VLOOKUP(F407,Monster!B:E,4,FALSE)),0,VLOOKUP(F407,Monster!B:E,4,FALSE))</f>
        <v>34</v>
      </c>
      <c r="I407" s="1" t="s">
        <v>1597</v>
      </c>
      <c r="J407" s="1">
        <v>1684</v>
      </c>
      <c r="K407" s="1">
        <v>0</v>
      </c>
      <c r="L407" s="1">
        <v>502</v>
      </c>
      <c r="M407" s="1" t="s">
        <v>100</v>
      </c>
      <c r="O407" s="1">
        <f>((NOT(ISNA(VLOOKUP(M407,Monster!$H$2:$I$6,2,FALSE)))*L407)+J407)*(1+K407/100*0.25)</f>
        <v>1684</v>
      </c>
      <c r="P407" s="1" t="s">
        <v>364</v>
      </c>
      <c r="Q407" s="1">
        <v>2</v>
      </c>
      <c r="R407" s="1" t="s">
        <v>372</v>
      </c>
    </row>
    <row r="408" spans="2:18" ht="12.75" hidden="1" x14ac:dyDescent="0.2">
      <c r="B408" s="1" t="s">
        <v>1598</v>
      </c>
      <c r="C408" s="1" t="s">
        <v>849</v>
      </c>
      <c r="D408" s="1" t="s">
        <v>596</v>
      </c>
      <c r="E408" s="1" t="s">
        <v>1563</v>
      </c>
      <c r="F408" s="1" t="s">
        <v>251</v>
      </c>
      <c r="G408" s="1">
        <f>IF(ISNA(VLOOKUP(F408,Monster!B:E,4,FALSE)),0,VLOOKUP(F408,Monster!B:E,4,FALSE))</f>
        <v>35</v>
      </c>
      <c r="I408" s="1" t="s">
        <v>1599</v>
      </c>
      <c r="J408" s="1">
        <v>1588</v>
      </c>
      <c r="K408" s="1">
        <v>0</v>
      </c>
      <c r="L408" s="1">
        <v>632</v>
      </c>
      <c r="M408" s="1" t="s">
        <v>41</v>
      </c>
      <c r="O408" s="1">
        <f>((NOT(ISNA(VLOOKUP(M408,Monster!$H$2:$I$6,2,FALSE)))*L408)+J408)*(1+K408/100*0.25)</f>
        <v>2220</v>
      </c>
      <c r="P408" s="1" t="s">
        <v>412</v>
      </c>
      <c r="Q408" s="1">
        <v>1</v>
      </c>
    </row>
    <row r="409" spans="2:18" ht="12.75" hidden="1" x14ac:dyDescent="0.2">
      <c r="B409" s="1" t="s">
        <v>1600</v>
      </c>
      <c r="C409" s="1" t="s">
        <v>853</v>
      </c>
      <c r="D409" s="1" t="s">
        <v>596</v>
      </c>
      <c r="E409" s="1" t="s">
        <v>1563</v>
      </c>
      <c r="F409" s="1" t="s">
        <v>256</v>
      </c>
      <c r="G409" s="1">
        <f>IF(ISNA(VLOOKUP(F409,Monster!B:E,4,FALSE)),0,VLOOKUP(F409,Monster!B:E,4,FALSE))</f>
        <v>36</v>
      </c>
      <c r="I409" s="1" t="s">
        <v>1601</v>
      </c>
      <c r="J409" s="1">
        <v>1516</v>
      </c>
      <c r="K409" s="1">
        <v>0</v>
      </c>
      <c r="L409" s="1">
        <v>496</v>
      </c>
      <c r="M409" s="1" t="s">
        <v>100</v>
      </c>
      <c r="O409" s="1">
        <f>((NOT(ISNA(VLOOKUP(M409,Monster!$H$2:$I$6,2,FALSE)))*L409)+J409)*(1+K409/100*0.25)</f>
        <v>1516</v>
      </c>
      <c r="P409" s="1" t="s">
        <v>463</v>
      </c>
      <c r="Q409" s="1">
        <v>1</v>
      </c>
    </row>
    <row r="410" spans="2:18" ht="12.75" hidden="1" x14ac:dyDescent="0.2">
      <c r="B410" s="1" t="s">
        <v>1602</v>
      </c>
      <c r="C410" s="1" t="s">
        <v>857</v>
      </c>
      <c r="D410" s="1" t="s">
        <v>596</v>
      </c>
      <c r="E410" s="1" t="s">
        <v>1563</v>
      </c>
      <c r="F410" s="1" t="s">
        <v>263</v>
      </c>
      <c r="G410" s="1">
        <f>IF(ISNA(VLOOKUP(F410,Monster!B:E,4,FALSE)),0,VLOOKUP(F410,Monster!B:E,4,FALSE))</f>
        <v>37</v>
      </c>
      <c r="I410" s="1" t="s">
        <v>1603</v>
      </c>
      <c r="J410" s="1">
        <v>1318</v>
      </c>
      <c r="K410" s="1">
        <v>-30</v>
      </c>
      <c r="L410" s="1">
        <v>1261</v>
      </c>
      <c r="M410" s="1" t="s">
        <v>58</v>
      </c>
      <c r="O410" s="1">
        <f>((NOT(ISNA(VLOOKUP(M410,Monster!$H$2:$I$6,2,FALSE)))*L410)+J410)*(1+K410/100*0.25)</f>
        <v>2385.5750000000003</v>
      </c>
      <c r="P410" s="1" t="s">
        <v>144</v>
      </c>
      <c r="Q410" s="1">
        <v>2</v>
      </c>
    </row>
    <row r="411" spans="2:18" ht="12.75" hidden="1" x14ac:dyDescent="0.2">
      <c r="B411" s="1" t="s">
        <v>1604</v>
      </c>
      <c r="C411" s="1" t="s">
        <v>863</v>
      </c>
      <c r="D411" s="1" t="s">
        <v>596</v>
      </c>
      <c r="E411" s="1" t="s">
        <v>1563</v>
      </c>
      <c r="F411" s="1" t="s">
        <v>268</v>
      </c>
      <c r="G411" s="1">
        <f>IF(ISNA(VLOOKUP(F411,Monster!B:E,4,FALSE)),0,VLOOKUP(F411,Monster!B:E,4,FALSE))</f>
        <v>38</v>
      </c>
      <c r="I411" s="1" t="s">
        <v>1604</v>
      </c>
      <c r="J411" s="1">
        <v>1553</v>
      </c>
      <c r="K411" s="1">
        <v>0</v>
      </c>
      <c r="L411" s="1">
        <v>974</v>
      </c>
      <c r="M411" s="1" t="s">
        <v>71</v>
      </c>
      <c r="O411" s="1">
        <f>((NOT(ISNA(VLOOKUP(M411,Monster!$H$2:$I$6,2,FALSE)))*L411)+J411)*(1+K411/100*0.25)</f>
        <v>2527</v>
      </c>
      <c r="P411" s="1" t="s">
        <v>463</v>
      </c>
      <c r="Q411" s="1">
        <v>2</v>
      </c>
      <c r="R411" s="1" t="s">
        <v>372</v>
      </c>
    </row>
    <row r="412" spans="2:18" ht="12.75" hidden="1" x14ac:dyDescent="0.2">
      <c r="C412" s="1" t="s">
        <v>866</v>
      </c>
      <c r="D412" s="1" t="s">
        <v>596</v>
      </c>
      <c r="E412" s="1" t="s">
        <v>1563</v>
      </c>
      <c r="F412" s="1" t="s">
        <v>273</v>
      </c>
      <c r="G412" s="1">
        <f>IF(ISNA(VLOOKUP(F412,Monster!B:E,4,FALSE)),0,VLOOKUP(F412,Monster!B:E,4,FALSE))</f>
        <v>39</v>
      </c>
      <c r="J412" s="1">
        <v>1588</v>
      </c>
      <c r="K412" s="1">
        <v>0</v>
      </c>
      <c r="L412" s="1">
        <v>632</v>
      </c>
      <c r="M412" s="1" t="s">
        <v>66</v>
      </c>
      <c r="O412" s="1">
        <f>((NOT(ISNA(VLOOKUP(M412,Monster!$H$2:$I$6,2,FALSE)))*L412)+J412)*(1+K412/100*0.25)</f>
        <v>2220</v>
      </c>
      <c r="P412" s="1" t="s">
        <v>412</v>
      </c>
      <c r="Q412" s="1">
        <v>1</v>
      </c>
    </row>
    <row r="413" spans="2:18" ht="12.75" hidden="1" x14ac:dyDescent="0.2">
      <c r="B413" s="1" t="s">
        <v>1605</v>
      </c>
      <c r="C413" s="1" t="s">
        <v>869</v>
      </c>
      <c r="D413" s="1" t="s">
        <v>596</v>
      </c>
      <c r="E413" s="1" t="s">
        <v>1563</v>
      </c>
      <c r="F413" s="1" t="s">
        <v>278</v>
      </c>
      <c r="G413" s="1">
        <f>IF(ISNA(VLOOKUP(F413,Monster!B:E,4,FALSE)),0,VLOOKUP(F413,Monster!B:E,4,FALSE))</f>
        <v>40</v>
      </c>
      <c r="I413" s="1" t="s">
        <v>1606</v>
      </c>
      <c r="J413" s="1">
        <v>1516</v>
      </c>
      <c r="K413" s="1">
        <v>0</v>
      </c>
      <c r="L413" s="1">
        <v>496</v>
      </c>
      <c r="M413" s="1" t="s">
        <v>87</v>
      </c>
      <c r="O413" s="1">
        <f>((NOT(ISNA(VLOOKUP(M413,Monster!$H$2:$I$6,2,FALSE)))*L413)+J413)*(1+K413/100*0.25)</f>
        <v>1516</v>
      </c>
      <c r="P413" s="1" t="s">
        <v>253</v>
      </c>
      <c r="Q413" s="1">
        <v>1</v>
      </c>
    </row>
    <row r="414" spans="2:18" ht="12.75" hidden="1" x14ac:dyDescent="0.2">
      <c r="C414" s="1" t="s">
        <v>872</v>
      </c>
      <c r="D414" s="1" t="s">
        <v>596</v>
      </c>
      <c r="E414" s="1" t="s">
        <v>1563</v>
      </c>
      <c r="F414" s="1" t="s">
        <v>288</v>
      </c>
      <c r="G414" s="1">
        <f>IF(ISNA(VLOOKUP(F414,Monster!B:E,4,FALSE)),0,VLOOKUP(F414,Monster!B:E,4,FALSE))</f>
        <v>41</v>
      </c>
      <c r="J414" s="1">
        <v>1567</v>
      </c>
      <c r="K414" s="1">
        <v>-15</v>
      </c>
      <c r="L414" s="1">
        <v>496</v>
      </c>
      <c r="M414" s="1" t="s">
        <v>95</v>
      </c>
      <c r="O414" s="1">
        <f>((NOT(ISNA(VLOOKUP(M414,Monster!$H$2:$I$6,2,FALSE)))*L414)+J414)*(1+K414/100*0.25)</f>
        <v>1508.2375</v>
      </c>
      <c r="P414" s="1" t="s">
        <v>253</v>
      </c>
      <c r="Q414" s="1">
        <v>1</v>
      </c>
    </row>
    <row r="415" spans="2:18" ht="12.75" x14ac:dyDescent="0.2">
      <c r="B415" s="1" t="s">
        <v>1607</v>
      </c>
      <c r="C415" s="1" t="s">
        <v>875</v>
      </c>
      <c r="D415" s="1" t="s">
        <v>596</v>
      </c>
      <c r="E415" s="1" t="s">
        <v>1563</v>
      </c>
      <c r="F415" s="1" t="s">
        <v>293</v>
      </c>
      <c r="G415" s="1">
        <f>IF(ISNA(VLOOKUP(F415,Monster!B:E,4,FALSE)),0,VLOOKUP(F415,Monster!B:E,4,FALSE))</f>
        <v>42</v>
      </c>
      <c r="I415" s="1" t="s">
        <v>1608</v>
      </c>
      <c r="J415" s="1">
        <v>2198</v>
      </c>
      <c r="K415" s="1">
        <v>-40</v>
      </c>
      <c r="L415" s="1">
        <v>0</v>
      </c>
      <c r="M415" s="1" t="s">
        <v>107</v>
      </c>
      <c r="O415" s="1">
        <f>((NOT(ISNA(VLOOKUP(M415,Monster!$H$2:$I$6,2,FALSE)))*L415)+J415)*(1+K415/100*0.25)</f>
        <v>1978.2</v>
      </c>
      <c r="P415" s="1" t="s">
        <v>194</v>
      </c>
      <c r="Q415" s="1">
        <v>1</v>
      </c>
    </row>
    <row r="416" spans="2:18" ht="12.75" hidden="1" x14ac:dyDescent="0.2">
      <c r="B416" s="1" t="s">
        <v>1609</v>
      </c>
      <c r="C416" s="1" t="s">
        <v>880</v>
      </c>
      <c r="D416" s="1" t="s">
        <v>596</v>
      </c>
      <c r="E416" s="1" t="s">
        <v>1563</v>
      </c>
      <c r="F416" s="1" t="s">
        <v>298</v>
      </c>
      <c r="G416" s="1">
        <f>IF(ISNA(VLOOKUP(F416,Monster!B:E,4,FALSE)),0,VLOOKUP(F416,Monster!B:E,4,FALSE))</f>
        <v>43</v>
      </c>
      <c r="I416" s="1" t="s">
        <v>1610</v>
      </c>
      <c r="J416" s="1">
        <v>2198</v>
      </c>
      <c r="K416" s="1">
        <v>-10</v>
      </c>
      <c r="L416" s="1">
        <v>0</v>
      </c>
      <c r="M416" s="1" t="s">
        <v>107</v>
      </c>
      <c r="O416" s="1">
        <f>((NOT(ISNA(VLOOKUP(M416,Monster!$H$2:$I$6,2,FALSE)))*L416)+J416)*(1+K416/100*0.25)</f>
        <v>2143.0499999999997</v>
      </c>
      <c r="P416" s="1" t="s">
        <v>204</v>
      </c>
      <c r="Q416" s="1">
        <v>5</v>
      </c>
    </row>
    <row r="417" spans="2:35" ht="12.75" hidden="1" x14ac:dyDescent="0.2">
      <c r="B417" s="1" t="s">
        <v>1611</v>
      </c>
      <c r="C417" s="1" t="s">
        <v>885</v>
      </c>
      <c r="D417" s="1" t="s">
        <v>596</v>
      </c>
      <c r="E417" s="1" t="s">
        <v>1563</v>
      </c>
      <c r="F417" s="1" t="s">
        <v>302</v>
      </c>
      <c r="G417" s="1">
        <f>IF(ISNA(VLOOKUP(F417,Monster!B:E,4,FALSE)),0,VLOOKUP(F417,Monster!B:E,4,FALSE))</f>
        <v>44</v>
      </c>
      <c r="I417" s="1" t="s">
        <v>1611</v>
      </c>
      <c r="J417" s="1">
        <v>1205</v>
      </c>
      <c r="K417" s="1">
        <v>0</v>
      </c>
      <c r="L417" s="1">
        <v>1305</v>
      </c>
      <c r="M417" s="1" t="s">
        <v>58</v>
      </c>
      <c r="O417" s="1">
        <f>((NOT(ISNA(VLOOKUP(M417,Monster!$H$2:$I$6,2,FALSE)))*L417)+J417)*(1+K417/100*0.25)</f>
        <v>2510</v>
      </c>
      <c r="P417" s="1" t="s">
        <v>400</v>
      </c>
      <c r="Q417" s="1">
        <v>1</v>
      </c>
      <c r="R417" s="1" t="s">
        <v>372</v>
      </c>
    </row>
    <row r="418" spans="2:35" ht="12.75" hidden="1" x14ac:dyDescent="0.2">
      <c r="B418" s="1" t="s">
        <v>1612</v>
      </c>
      <c r="C418" s="1" t="s">
        <v>888</v>
      </c>
      <c r="D418" s="1" t="s">
        <v>596</v>
      </c>
      <c r="E418" s="1" t="s">
        <v>1563</v>
      </c>
      <c r="F418" s="1" t="s">
        <v>305</v>
      </c>
      <c r="G418" s="1">
        <f>IF(ISNA(VLOOKUP(F418,Monster!B:E,4,FALSE)),0,VLOOKUP(F418,Monster!B:E,4,FALSE))</f>
        <v>45</v>
      </c>
      <c r="I418" s="1" t="s">
        <v>1613</v>
      </c>
      <c r="J418" s="1">
        <v>1942</v>
      </c>
      <c r="K418" s="1">
        <v>-30</v>
      </c>
      <c r="L418" s="1">
        <v>297</v>
      </c>
      <c r="M418" s="1" t="s">
        <v>100</v>
      </c>
      <c r="O418" s="1">
        <f>((NOT(ISNA(VLOOKUP(M418,Monster!$H$2:$I$6,2,FALSE)))*L418)+J418)*(1+K418/100*0.25)</f>
        <v>1796.3500000000001</v>
      </c>
      <c r="P418" s="1" t="s">
        <v>440</v>
      </c>
      <c r="Q418" s="1">
        <v>2</v>
      </c>
    </row>
    <row r="419" spans="2:35" ht="12.75" hidden="1" x14ac:dyDescent="0.2">
      <c r="C419" s="1" t="s">
        <v>892</v>
      </c>
      <c r="D419" s="1" t="s">
        <v>596</v>
      </c>
      <c r="E419" s="1" t="s">
        <v>1563</v>
      </c>
      <c r="F419" s="1" t="s">
        <v>310</v>
      </c>
      <c r="G419" s="1">
        <f>IF(ISNA(VLOOKUP(F419,Monster!B:E,4,FALSE)),0,VLOOKUP(F419,Monster!B:E,4,FALSE))</f>
        <v>46</v>
      </c>
      <c r="J419" s="1">
        <v>1834</v>
      </c>
      <c r="K419" s="1">
        <v>10</v>
      </c>
      <c r="L419" s="1">
        <v>0</v>
      </c>
      <c r="M419" s="1" t="s">
        <v>107</v>
      </c>
      <c r="O419" s="1">
        <f>((NOT(ISNA(VLOOKUP(M419,Monster!$H$2:$I$6,2,FALSE)))*L419)+J419)*(1+K419/100*0.25)</f>
        <v>1879.85</v>
      </c>
      <c r="P419" s="1" t="s">
        <v>407</v>
      </c>
      <c r="Q419" s="1">
        <v>1</v>
      </c>
    </row>
    <row r="420" spans="2:35" ht="12.75" hidden="1" x14ac:dyDescent="0.2">
      <c r="C420" s="1" t="s">
        <v>896</v>
      </c>
      <c r="D420" s="1" t="s">
        <v>596</v>
      </c>
      <c r="E420" s="1" t="s">
        <v>1563</v>
      </c>
      <c r="F420" s="1" t="s">
        <v>316</v>
      </c>
      <c r="G420" s="1">
        <f>IF(ISNA(VLOOKUP(F420,Monster!B:E,4,FALSE)),0,VLOOKUP(F420,Monster!B:E,4,FALSE))</f>
        <v>47</v>
      </c>
      <c r="J420" s="1">
        <v>1971</v>
      </c>
      <c r="K420" s="1">
        <v>-20</v>
      </c>
      <c r="L420" s="1">
        <v>0</v>
      </c>
      <c r="M420" s="1" t="s">
        <v>107</v>
      </c>
      <c r="O420" s="1">
        <f>((NOT(ISNA(VLOOKUP(M420,Monster!$H$2:$I$6,2,FALSE)))*L420)+J420)*(1+K420/100*0.25)</f>
        <v>1872.4499999999998</v>
      </c>
      <c r="P420" s="1" t="s">
        <v>602</v>
      </c>
      <c r="Q420" s="1">
        <v>2</v>
      </c>
    </row>
    <row r="421" spans="2:35" ht="12.75" x14ac:dyDescent="0.2">
      <c r="B421" s="1" t="s">
        <v>1614</v>
      </c>
      <c r="C421" s="1" t="s">
        <v>900</v>
      </c>
      <c r="D421" s="1" t="s">
        <v>596</v>
      </c>
      <c r="E421" s="1" t="s">
        <v>1563</v>
      </c>
      <c r="F421" s="1" t="s">
        <v>320</v>
      </c>
      <c r="G421" s="1">
        <f>IF(ISNA(VLOOKUP(F421,Monster!B:E,4,FALSE)),0,VLOOKUP(F421,Monster!B:E,4,FALSE))</f>
        <v>48</v>
      </c>
      <c r="I421" s="1" t="s">
        <v>1615</v>
      </c>
      <c r="J421" s="1">
        <v>1318</v>
      </c>
      <c r="K421" s="1">
        <v>-30</v>
      </c>
      <c r="L421" s="1">
        <v>1261</v>
      </c>
      <c r="M421" s="1" t="s">
        <v>41</v>
      </c>
      <c r="O421" s="1">
        <f>((NOT(ISNA(VLOOKUP(M421,Monster!$H$2:$I$6,2,FALSE)))*L421)+J421)*(1+K421/100*0.25)</f>
        <v>2385.5750000000003</v>
      </c>
      <c r="P421" s="1" t="s">
        <v>194</v>
      </c>
      <c r="Q421" s="1">
        <v>1</v>
      </c>
    </row>
    <row r="422" spans="2:35" ht="12.75" hidden="1" x14ac:dyDescent="0.2">
      <c r="C422" s="1" t="s">
        <v>904</v>
      </c>
      <c r="D422" s="1" t="s">
        <v>596</v>
      </c>
      <c r="E422" s="1" t="s">
        <v>1563</v>
      </c>
      <c r="F422" s="1" t="s">
        <v>328</v>
      </c>
      <c r="G422" s="1">
        <f>IF(ISNA(VLOOKUP(F422,Monster!B:E,4,FALSE)),0,VLOOKUP(F422,Monster!B:E,4,FALSE))</f>
        <v>49</v>
      </c>
      <c r="J422" s="1">
        <v>1741</v>
      </c>
      <c r="K422" s="1">
        <v>0</v>
      </c>
      <c r="L422" s="1">
        <v>505</v>
      </c>
      <c r="M422" s="1" t="s">
        <v>79</v>
      </c>
      <c r="O422" s="1">
        <f>((NOT(ISNA(VLOOKUP(M422,Monster!$H$2:$I$6,2,FALSE)))*L422)+J422)*(1+K422/100*0.25)</f>
        <v>1741</v>
      </c>
      <c r="P422" s="1" t="s">
        <v>624</v>
      </c>
      <c r="Q422" s="1">
        <v>2</v>
      </c>
    </row>
    <row r="423" spans="2:35" ht="12.75" hidden="1" x14ac:dyDescent="0.2">
      <c r="C423" s="1" t="s">
        <v>908</v>
      </c>
      <c r="D423" s="1" t="s">
        <v>596</v>
      </c>
      <c r="E423" s="1" t="s">
        <v>1563</v>
      </c>
      <c r="F423" s="1" t="s">
        <v>334</v>
      </c>
      <c r="G423" s="1">
        <f>IF(ISNA(VLOOKUP(F423,Monster!B:E,4,FALSE)),0,VLOOKUP(F423,Monster!B:E,4,FALSE))</f>
        <v>50</v>
      </c>
      <c r="J423" s="1">
        <v>1647</v>
      </c>
      <c r="K423" s="1">
        <v>10</v>
      </c>
      <c r="L423" s="1">
        <v>307</v>
      </c>
      <c r="M423" s="1" t="s">
        <v>79</v>
      </c>
      <c r="O423" s="1">
        <f>((NOT(ISNA(VLOOKUP(M423,Monster!$H$2:$I$6,2,FALSE)))*L423)+J423)*(1+K423/100*0.25)</f>
        <v>1688.175</v>
      </c>
      <c r="P423" s="1" t="s">
        <v>412</v>
      </c>
      <c r="Q423" s="1">
        <v>1</v>
      </c>
    </row>
    <row r="424" spans="2:35" ht="12.75" hidden="1" x14ac:dyDescent="0.2">
      <c r="C424" s="1" t="s">
        <v>913</v>
      </c>
      <c r="D424" s="1" t="s">
        <v>596</v>
      </c>
      <c r="E424" s="1" t="s">
        <v>1563</v>
      </c>
      <c r="F424" s="1" t="s">
        <v>339</v>
      </c>
      <c r="G424" s="1">
        <f>IF(ISNA(VLOOKUP(F424,Monster!B:E,4,FALSE)),0,VLOOKUP(F424,Monster!B:E,4,FALSE))</f>
        <v>51</v>
      </c>
      <c r="J424" s="1">
        <v>1764</v>
      </c>
      <c r="K424" s="1">
        <v>0</v>
      </c>
      <c r="L424" s="1">
        <v>0</v>
      </c>
      <c r="M424" s="1" t="s">
        <v>107</v>
      </c>
      <c r="O424" s="1">
        <f>((NOT(ISNA(VLOOKUP(M424,Monster!$H$2:$I$6,2,FALSE)))*L424)+J424)*(1+K424/100*0.25)</f>
        <v>1764</v>
      </c>
      <c r="P424" s="1" t="s">
        <v>560</v>
      </c>
      <c r="Q424" s="1">
        <v>2</v>
      </c>
    </row>
    <row r="425" spans="2:35" ht="12.75" hidden="1" x14ac:dyDescent="0.2">
      <c r="C425" s="1" t="s">
        <v>917</v>
      </c>
      <c r="D425" s="1" t="s">
        <v>596</v>
      </c>
      <c r="E425" s="1" t="s">
        <v>1563</v>
      </c>
      <c r="F425" s="1" t="s">
        <v>343</v>
      </c>
      <c r="G425" s="1">
        <f>IF(ISNA(VLOOKUP(F425,Monster!B:E,4,FALSE)),0,VLOOKUP(F425,Monster!B:E,4,FALSE))</f>
        <v>52</v>
      </c>
      <c r="J425" s="1">
        <v>1293</v>
      </c>
      <c r="K425" s="1">
        <v>0</v>
      </c>
      <c r="L425" s="1">
        <v>910</v>
      </c>
      <c r="M425" s="1" t="s">
        <v>66</v>
      </c>
      <c r="O425" s="1">
        <f>((NOT(ISNA(VLOOKUP(M425,Monster!$H$2:$I$6,2,FALSE)))*L425)+J425)*(1+K425/100*0.25)</f>
        <v>2203</v>
      </c>
      <c r="P425" s="1" t="s">
        <v>648</v>
      </c>
      <c r="Q425" s="1">
        <v>1</v>
      </c>
    </row>
    <row r="426" spans="2:35" ht="12.75" hidden="1" x14ac:dyDescent="0.2">
      <c r="B426" s="1" t="s">
        <v>1616</v>
      </c>
      <c r="C426" s="1" t="s">
        <v>922</v>
      </c>
      <c r="D426" s="1" t="s">
        <v>596</v>
      </c>
      <c r="E426" s="1" t="s">
        <v>1563</v>
      </c>
      <c r="F426" s="1" t="s">
        <v>349</v>
      </c>
      <c r="G426" s="1">
        <f>IF(ISNA(VLOOKUP(F426,Monster!B:E,4,FALSE)),0,VLOOKUP(F426,Monster!B:E,4,FALSE))</f>
        <v>53</v>
      </c>
      <c r="I426" s="1" t="s">
        <v>1616</v>
      </c>
      <c r="J426" s="1">
        <v>1738</v>
      </c>
      <c r="K426" s="1">
        <v>40</v>
      </c>
      <c r="L426" s="1">
        <v>0</v>
      </c>
      <c r="M426" s="1" t="s">
        <v>107</v>
      </c>
      <c r="O426" s="1">
        <f>((NOT(ISNA(VLOOKUP(M426,Monster!$H$2:$I$6,2,FALSE)))*L426)+J426)*(1+K426/100*0.25)</f>
        <v>1911.8000000000002</v>
      </c>
      <c r="P426" s="1" t="s">
        <v>535</v>
      </c>
      <c r="Q426" s="1">
        <v>2</v>
      </c>
    </row>
    <row r="427" spans="2:35" ht="12.75" hidden="1" x14ac:dyDescent="0.2">
      <c r="B427" s="1" t="s">
        <v>1617</v>
      </c>
      <c r="C427" s="1" t="s">
        <v>926</v>
      </c>
      <c r="D427" s="1" t="s">
        <v>596</v>
      </c>
      <c r="E427" s="1" t="s">
        <v>1563</v>
      </c>
      <c r="F427" s="1" t="s">
        <v>354</v>
      </c>
      <c r="G427" s="1">
        <f>IF(ISNA(VLOOKUP(F427,Monster!B:E,4,FALSE)),0,VLOOKUP(F427,Monster!B:E,4,FALSE))</f>
        <v>54</v>
      </c>
      <c r="I427" s="1" t="s">
        <v>1617</v>
      </c>
      <c r="J427" s="1">
        <v>1328</v>
      </c>
      <c r="K427" s="1">
        <v>20</v>
      </c>
      <c r="L427" s="1">
        <v>1074</v>
      </c>
      <c r="M427" s="1" t="s">
        <v>50</v>
      </c>
      <c r="O427" s="1">
        <f>((NOT(ISNA(VLOOKUP(M427,Monster!$H$2:$I$6,2,FALSE)))*L427)+J427)*(1+K427/100*0.25)</f>
        <v>2522.1</v>
      </c>
      <c r="P427" s="1" t="s">
        <v>677</v>
      </c>
      <c r="Q427" s="1">
        <v>1</v>
      </c>
      <c r="R427" s="1" t="s">
        <v>372</v>
      </c>
    </row>
    <row r="428" spans="2:35" ht="12.75" hidden="1" x14ac:dyDescent="0.2">
      <c r="B428" s="1" t="s">
        <v>1618</v>
      </c>
      <c r="C428" s="1" t="s">
        <v>930</v>
      </c>
      <c r="D428" s="1" t="s">
        <v>596</v>
      </c>
      <c r="E428" s="1" t="s">
        <v>1563</v>
      </c>
      <c r="F428" s="1" t="s">
        <v>360</v>
      </c>
      <c r="G428" s="1">
        <f>IF(ISNA(VLOOKUP(F428,Monster!B:E,4,FALSE)),0,VLOOKUP(F428,Monster!B:E,4,FALSE))</f>
        <v>55</v>
      </c>
      <c r="I428" s="1" t="s">
        <v>1619</v>
      </c>
      <c r="J428" s="1">
        <v>1979</v>
      </c>
      <c r="K428" s="1">
        <v>0</v>
      </c>
      <c r="L428" s="1">
        <v>0</v>
      </c>
      <c r="M428" s="1" t="s">
        <v>107</v>
      </c>
      <c r="O428" s="1">
        <f>((NOT(ISNA(VLOOKUP(M428,Monster!$H$2:$I$6,2,FALSE)))*L428)+J428)*(1+K428/100*0.25)</f>
        <v>1979</v>
      </c>
      <c r="P428" s="1" t="s">
        <v>515</v>
      </c>
      <c r="Q428" s="1">
        <v>1</v>
      </c>
    </row>
    <row r="429" spans="2:35" ht="12.75" hidden="1" x14ac:dyDescent="0.2">
      <c r="B429" s="1" t="s">
        <v>1620</v>
      </c>
      <c r="C429" s="1" t="s">
        <v>934</v>
      </c>
      <c r="D429" s="1" t="s">
        <v>596</v>
      </c>
      <c r="E429" s="1" t="s">
        <v>1563</v>
      </c>
      <c r="F429" s="1" t="s">
        <v>365</v>
      </c>
      <c r="G429" s="1">
        <f>IF(ISNA(VLOOKUP(F429,Monster!B:E,4,FALSE)),0,VLOOKUP(F429,Monster!B:E,4,FALSE))</f>
        <v>56</v>
      </c>
      <c r="I429" s="1" t="s">
        <v>1621</v>
      </c>
      <c r="J429" s="1">
        <v>1020</v>
      </c>
      <c r="K429" s="1">
        <v>0</v>
      </c>
      <c r="L429" s="1">
        <v>1173</v>
      </c>
      <c r="M429" s="1" t="s">
        <v>66</v>
      </c>
      <c r="O429" s="1">
        <f>((NOT(ISNA(VLOOKUP(M429,Monster!$H$2:$I$6,2,FALSE)))*L429)+J429)*(1+K429/100*0.25)</f>
        <v>2193</v>
      </c>
      <c r="P429" s="1" t="s">
        <v>659</v>
      </c>
      <c r="Q429" s="1">
        <v>1</v>
      </c>
    </row>
    <row r="430" spans="2:35" ht="12.75" hidden="1" x14ac:dyDescent="0.2">
      <c r="B430" s="1" t="s">
        <v>1622</v>
      </c>
      <c r="C430" s="1" t="s">
        <v>939</v>
      </c>
      <c r="D430" s="1" t="s">
        <v>596</v>
      </c>
      <c r="E430" s="1" t="s">
        <v>1563</v>
      </c>
      <c r="F430" s="1" t="s">
        <v>370</v>
      </c>
      <c r="G430" s="1">
        <f>IF(ISNA(VLOOKUP(F430,Monster!B:E,4,FALSE)),0,VLOOKUP(F430,Monster!B:E,4,FALSE))</f>
        <v>57</v>
      </c>
      <c r="I430" s="1" t="s">
        <v>1623</v>
      </c>
      <c r="J430" s="1">
        <v>1197</v>
      </c>
      <c r="K430" s="1">
        <v>20</v>
      </c>
      <c r="L430" s="1">
        <v>1154</v>
      </c>
      <c r="M430" s="1" t="s">
        <v>41</v>
      </c>
      <c r="O430" s="1">
        <f>((NOT(ISNA(VLOOKUP(M430,Monster!$H$2:$I$6,2,FALSE)))*L430)+J430)*(1+K430/100*0.25)</f>
        <v>2468.5500000000002</v>
      </c>
      <c r="P430" s="1" t="s">
        <v>615</v>
      </c>
      <c r="Q430" s="1">
        <v>2</v>
      </c>
    </row>
    <row r="431" spans="2:35" ht="12.75" hidden="1" x14ac:dyDescent="0.2">
      <c r="B431" s="3" t="s">
        <v>1624</v>
      </c>
      <c r="C431" s="3" t="s">
        <v>943</v>
      </c>
      <c r="D431" s="3" t="s">
        <v>596</v>
      </c>
      <c r="E431" s="1" t="s">
        <v>1563</v>
      </c>
      <c r="F431" s="3" t="s">
        <v>374</v>
      </c>
      <c r="G431" s="4">
        <f>IF(ISNA(VLOOKUP(F431,Monster!B:E,4,FALSE)),0,VLOOKUP(F431,Monster!B:E,4,FALSE))</f>
        <v>58</v>
      </c>
      <c r="H431" s="3"/>
      <c r="I431" s="3" t="s">
        <v>1624</v>
      </c>
      <c r="J431" s="4">
        <v>1205</v>
      </c>
      <c r="K431" s="4">
        <v>0</v>
      </c>
      <c r="L431" s="4">
        <v>1305</v>
      </c>
      <c r="M431" s="3" t="s">
        <v>71</v>
      </c>
      <c r="N431" s="3"/>
      <c r="O431" s="4">
        <f>((NOT(ISNA(VLOOKUP(M431,Monster!$H$2:$I$6,2,FALSE)))*L431)+J431)*(1+K431/100*0.25)</f>
        <v>2510</v>
      </c>
      <c r="P431" s="3" t="s">
        <v>689</v>
      </c>
      <c r="Q431" s="4">
        <v>1</v>
      </c>
      <c r="R431" s="3" t="s">
        <v>372</v>
      </c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</row>
    <row r="432" spans="2:35" ht="12.75" hidden="1" x14ac:dyDescent="0.2">
      <c r="B432" s="1" t="s">
        <v>1625</v>
      </c>
      <c r="C432" s="1" t="s">
        <v>949</v>
      </c>
      <c r="D432" s="1" t="s">
        <v>596</v>
      </c>
      <c r="E432" s="1" t="s">
        <v>1563</v>
      </c>
      <c r="F432" s="1"/>
      <c r="G432" s="1">
        <f>IF(ISNA(VLOOKUP(F432,Monster!B:E,4,FALSE)),0,VLOOKUP(F432,Monster!B:E,4,FALSE))</f>
        <v>0</v>
      </c>
      <c r="I432" s="1" t="s">
        <v>1626</v>
      </c>
      <c r="J432" s="1">
        <v>1596</v>
      </c>
      <c r="K432" s="1">
        <v>0</v>
      </c>
      <c r="L432" s="1">
        <v>0</v>
      </c>
      <c r="M432" s="1" t="s">
        <v>107</v>
      </c>
      <c r="O432" s="1">
        <f>((NOT(ISNA(VLOOKUP(M432,Monster!$H$2:$I$6,2,FALSE)))*L432)+J432)*(1+K432/100*0.25)</f>
        <v>1596</v>
      </c>
      <c r="P432" s="1" t="s">
        <v>158</v>
      </c>
      <c r="Q432" s="1">
        <v>1</v>
      </c>
    </row>
    <row r="433" spans="2:19" ht="12.75" hidden="1" x14ac:dyDescent="0.2">
      <c r="B433" s="1" t="s">
        <v>1627</v>
      </c>
      <c r="C433" s="1" t="s">
        <v>958</v>
      </c>
      <c r="D433" s="1" t="s">
        <v>596</v>
      </c>
      <c r="E433" s="1" t="s">
        <v>1563</v>
      </c>
      <c r="F433" s="1"/>
      <c r="G433" s="1">
        <f>IF(ISNA(VLOOKUP(F433,Monster!B:E,4,FALSE)),0,VLOOKUP(F433,Monster!B:E,4,FALSE))</f>
        <v>0</v>
      </c>
      <c r="I433" s="1" t="s">
        <v>1628</v>
      </c>
      <c r="J433" s="1">
        <v>1878</v>
      </c>
      <c r="K433" s="1">
        <v>0</v>
      </c>
      <c r="L433" s="1">
        <v>0</v>
      </c>
      <c r="M433" s="1" t="s">
        <v>107</v>
      </c>
      <c r="O433" s="1">
        <f>((NOT(ISNA(VLOOKUP(M433,Monster!$H$2:$I$6,2,FALSE)))*L433)+J433)*(1+K433/100*0.25)</f>
        <v>1878</v>
      </c>
      <c r="P433" s="1" t="s">
        <v>412</v>
      </c>
      <c r="Q433" s="1">
        <v>1</v>
      </c>
    </row>
    <row r="434" spans="2:19" ht="12.75" hidden="1" x14ac:dyDescent="0.2">
      <c r="B434" s="1" t="s">
        <v>1629</v>
      </c>
      <c r="C434" s="1" t="s">
        <v>34</v>
      </c>
      <c r="D434" s="1" t="s">
        <v>596</v>
      </c>
      <c r="E434" s="1" t="s">
        <v>1630</v>
      </c>
      <c r="F434" s="1"/>
      <c r="G434" s="1">
        <f>IF(ISNA(VLOOKUP(F434,Monster!B:E,4,FALSE)),0,VLOOKUP(F434,Monster!B:E,4,FALSE))</f>
        <v>0</v>
      </c>
      <c r="I434" s="1" t="s">
        <v>1631</v>
      </c>
      <c r="J434" s="1">
        <v>1596</v>
      </c>
      <c r="K434" s="1">
        <v>0</v>
      </c>
      <c r="L434" s="1">
        <v>0</v>
      </c>
      <c r="M434" s="1" t="s">
        <v>107</v>
      </c>
      <c r="O434" s="1">
        <f>((NOT(ISNA(VLOOKUP(M434,Monster!$H$2:$I$6,2,FALSE)))*L434)+J434)*(1+K434/100*0.25)</f>
        <v>1596</v>
      </c>
      <c r="P434" s="1" t="s">
        <v>410</v>
      </c>
      <c r="Q434" s="1">
        <v>2</v>
      </c>
      <c r="S434" s="1" t="s">
        <v>1632</v>
      </c>
    </row>
    <row r="435" spans="2:19" ht="12.75" hidden="1" x14ac:dyDescent="0.2">
      <c r="B435" s="1" t="s">
        <v>1633</v>
      </c>
      <c r="C435" s="1" t="s">
        <v>324</v>
      </c>
      <c r="D435" s="1" t="s">
        <v>596</v>
      </c>
      <c r="E435" s="1" t="s">
        <v>1630</v>
      </c>
      <c r="F435" s="1" t="s">
        <v>11</v>
      </c>
      <c r="G435" s="1">
        <f>IF(ISNA(VLOOKUP(F435,Monster!B:E,4,FALSE)),0,VLOOKUP(F435,Monster!B:E,4,FALSE))</f>
        <v>1</v>
      </c>
      <c r="I435" s="1" t="s">
        <v>1634</v>
      </c>
      <c r="J435" s="1">
        <v>1373</v>
      </c>
      <c r="K435" s="1">
        <v>0</v>
      </c>
      <c r="L435" s="1">
        <v>607</v>
      </c>
      <c r="M435" s="1" t="s">
        <v>50</v>
      </c>
      <c r="O435" s="1">
        <f>((NOT(ISNA(VLOOKUP(M435,Monster!$H$2:$I$6,2,FALSE)))*L435)+J435)*(1+K435/100*0.25)</f>
        <v>1980</v>
      </c>
      <c r="P435" s="1" t="s">
        <v>348</v>
      </c>
      <c r="Q435" s="1">
        <v>2</v>
      </c>
      <c r="S435" s="1" t="s">
        <v>1632</v>
      </c>
    </row>
    <row r="436" spans="2:19" ht="12.75" hidden="1" x14ac:dyDescent="0.2">
      <c r="C436" s="1" t="s">
        <v>439</v>
      </c>
      <c r="D436" s="1" t="s">
        <v>596</v>
      </c>
      <c r="E436" s="1" t="s">
        <v>1630</v>
      </c>
      <c r="F436" s="1" t="s">
        <v>47</v>
      </c>
      <c r="G436" s="1">
        <f>IF(ISNA(VLOOKUP(F436,Monster!B:E,4,FALSE)),0,VLOOKUP(F436,Monster!B:E,4,FALSE))</f>
        <v>2</v>
      </c>
      <c r="J436" s="1">
        <v>1596</v>
      </c>
      <c r="K436" s="1">
        <v>30</v>
      </c>
      <c r="L436" s="1">
        <v>0</v>
      </c>
      <c r="M436" s="1" t="s">
        <v>107</v>
      </c>
      <c r="O436" s="1">
        <f>((NOT(ISNA(VLOOKUP(M436,Monster!$H$2:$I$6,2,FALSE)))*L436)+J436)*(1+K436/100*0.25)</f>
        <v>1715.6999999999998</v>
      </c>
      <c r="P436" s="1" t="s">
        <v>319</v>
      </c>
      <c r="Q436" s="1">
        <v>2</v>
      </c>
    </row>
    <row r="437" spans="2:19" ht="12.75" hidden="1" x14ac:dyDescent="0.2">
      <c r="C437" s="1" t="s">
        <v>541</v>
      </c>
      <c r="D437" s="1" t="s">
        <v>596</v>
      </c>
      <c r="E437" s="1" t="s">
        <v>1630</v>
      </c>
      <c r="F437" s="1" t="s">
        <v>52</v>
      </c>
      <c r="G437" s="1">
        <f>IF(ISNA(VLOOKUP(F437,Monster!B:E,4,FALSE)),0,VLOOKUP(F437,Monster!B:E,4,FALSE))</f>
        <v>3</v>
      </c>
      <c r="J437" s="1">
        <v>1596</v>
      </c>
      <c r="K437" s="1">
        <v>0</v>
      </c>
      <c r="L437" s="1">
        <v>400</v>
      </c>
      <c r="M437" s="1" t="s">
        <v>79</v>
      </c>
      <c r="O437" s="1">
        <f>((NOT(ISNA(VLOOKUP(M437,Monster!$H$2:$I$6,2,FALSE)))*L437)+J437)*(1+K437/100*0.25)</f>
        <v>1596</v>
      </c>
      <c r="P437" s="1" t="s">
        <v>590</v>
      </c>
      <c r="Q437" s="1">
        <v>1</v>
      </c>
    </row>
    <row r="438" spans="2:19" ht="12.75" hidden="1" x14ac:dyDescent="0.2">
      <c r="C438" s="1" t="s">
        <v>617</v>
      </c>
      <c r="D438" s="1" t="s">
        <v>596</v>
      </c>
      <c r="E438" s="1" t="s">
        <v>1630</v>
      </c>
      <c r="F438" s="1" t="s">
        <v>60</v>
      </c>
      <c r="G438" s="1">
        <f>IF(ISNA(VLOOKUP(F438,Monster!B:E,4,FALSE)),0,VLOOKUP(F438,Monster!B:E,4,FALSE))</f>
        <v>4</v>
      </c>
      <c r="J438" s="1">
        <v>1221</v>
      </c>
      <c r="K438" s="1">
        <v>0</v>
      </c>
      <c r="L438" s="1">
        <v>1142</v>
      </c>
      <c r="M438" s="1" t="s">
        <v>50</v>
      </c>
      <c r="O438" s="1">
        <f>((NOT(ISNA(VLOOKUP(M438,Monster!$H$2:$I$6,2,FALSE)))*L438)+J438)*(1+K438/100*0.25)</f>
        <v>2363</v>
      </c>
      <c r="P438" s="1" t="s">
        <v>244</v>
      </c>
      <c r="Q438" s="1">
        <v>1</v>
      </c>
    </row>
    <row r="439" spans="2:19" ht="12.75" hidden="1" x14ac:dyDescent="0.2">
      <c r="B439" s="1" t="s">
        <v>1635</v>
      </c>
      <c r="C439" s="1" t="s">
        <v>696</v>
      </c>
      <c r="D439" s="1" t="s">
        <v>596</v>
      </c>
      <c r="E439" s="1" t="s">
        <v>1630</v>
      </c>
      <c r="F439" s="1" t="s">
        <v>69</v>
      </c>
      <c r="G439" s="1">
        <f>IF(ISNA(VLOOKUP(F439,Monster!B:E,4,FALSE)),0,VLOOKUP(F439,Monster!B:E,4,FALSE))</f>
        <v>5</v>
      </c>
      <c r="I439" s="1" t="s">
        <v>1636</v>
      </c>
      <c r="J439" s="1">
        <v>1756</v>
      </c>
      <c r="K439" s="1">
        <v>0</v>
      </c>
      <c r="L439" s="1">
        <v>0</v>
      </c>
      <c r="M439" s="1" t="s">
        <v>107</v>
      </c>
      <c r="O439" s="1">
        <f>((NOT(ISNA(VLOOKUP(M439,Monster!$H$2:$I$6,2,FALSE)))*L439)+J439)*(1+K439/100*0.25)</f>
        <v>1756</v>
      </c>
      <c r="P439" s="1" t="s">
        <v>213</v>
      </c>
      <c r="Q439" s="1">
        <v>2</v>
      </c>
      <c r="S439" s="1" t="s">
        <v>1637</v>
      </c>
    </row>
    <row r="440" spans="2:19" ht="12.75" hidden="1" x14ac:dyDescent="0.2">
      <c r="B440" s="1" t="s">
        <v>1638</v>
      </c>
      <c r="C440" s="1" t="s">
        <v>719</v>
      </c>
      <c r="D440" s="1" t="s">
        <v>596</v>
      </c>
      <c r="E440" s="1" t="s">
        <v>1630</v>
      </c>
      <c r="F440" s="1" t="s">
        <v>75</v>
      </c>
      <c r="G440" s="1">
        <f>IF(ISNA(VLOOKUP(F440,Monster!B:E,4,FALSE)),0,VLOOKUP(F440,Monster!B:E,4,FALSE))</f>
        <v>6</v>
      </c>
      <c r="I440" s="1" t="s">
        <v>1639</v>
      </c>
      <c r="J440" s="1">
        <v>1596</v>
      </c>
      <c r="K440" s="1">
        <v>0</v>
      </c>
      <c r="L440" s="1">
        <v>400</v>
      </c>
      <c r="M440" s="1" t="s">
        <v>87</v>
      </c>
      <c r="O440" s="1">
        <f>((NOT(ISNA(VLOOKUP(M440,Monster!$H$2:$I$6,2,FALSE)))*L440)+J440)*(1+K440/100*0.25)</f>
        <v>1596</v>
      </c>
      <c r="P440" s="1" t="s">
        <v>590</v>
      </c>
      <c r="Q440" s="1">
        <v>1</v>
      </c>
      <c r="S440" s="1" t="s">
        <v>1632</v>
      </c>
    </row>
    <row r="441" spans="2:19" ht="12.75" hidden="1" x14ac:dyDescent="0.2">
      <c r="B441" s="1" t="s">
        <v>1640</v>
      </c>
      <c r="C441" s="1" t="s">
        <v>729</v>
      </c>
      <c r="D441" s="1" t="s">
        <v>596</v>
      </c>
      <c r="E441" s="1" t="s">
        <v>1630</v>
      </c>
      <c r="F441" s="1" t="s">
        <v>81</v>
      </c>
      <c r="G441" s="1">
        <f>IF(ISNA(VLOOKUP(F441,Monster!B:E,4,FALSE)),0,VLOOKUP(F441,Monster!B:E,4,FALSE))</f>
        <v>7</v>
      </c>
      <c r="I441" s="1" t="s">
        <v>1641</v>
      </c>
      <c r="J441" s="1">
        <v>1293</v>
      </c>
      <c r="K441" s="1">
        <v>0</v>
      </c>
      <c r="L441" s="1">
        <v>910</v>
      </c>
      <c r="M441" s="1" t="s">
        <v>58</v>
      </c>
      <c r="O441" s="1">
        <f>((NOT(ISNA(VLOOKUP(M441,Monster!$H$2:$I$6,2,FALSE)))*L441)+J441)*(1+K441/100*0.25)</f>
        <v>2203</v>
      </c>
      <c r="P441" s="1" t="s">
        <v>253</v>
      </c>
      <c r="Q441" s="1">
        <v>1</v>
      </c>
      <c r="S441" s="1" t="s">
        <v>1642</v>
      </c>
    </row>
    <row r="442" spans="2:19" ht="12.75" hidden="1" x14ac:dyDescent="0.2">
      <c r="C442" s="1" t="s">
        <v>735</v>
      </c>
      <c r="D442" s="1" t="s">
        <v>596</v>
      </c>
      <c r="E442" s="1" t="s">
        <v>1630</v>
      </c>
      <c r="F442" s="1" t="s">
        <v>91</v>
      </c>
      <c r="G442" s="1">
        <f>IF(ISNA(VLOOKUP(F442,Monster!B:E,4,FALSE)),0,VLOOKUP(F442,Monster!B:E,4,FALSE))</f>
        <v>8</v>
      </c>
      <c r="J442" s="1">
        <v>1764</v>
      </c>
      <c r="K442" s="1">
        <v>0</v>
      </c>
      <c r="L442" s="1">
        <v>0</v>
      </c>
      <c r="M442" s="1" t="s">
        <v>107</v>
      </c>
      <c r="O442" s="1">
        <f>((NOT(ISNA(VLOOKUP(M442,Monster!$H$2:$I$6,2,FALSE)))*L442)+J442)*(1+K442/100*0.25)</f>
        <v>1764</v>
      </c>
      <c r="P442" s="1" t="s">
        <v>228</v>
      </c>
      <c r="Q442" s="1">
        <v>2</v>
      </c>
    </row>
    <row r="443" spans="2:19" ht="12.75" hidden="1" x14ac:dyDescent="0.2">
      <c r="C443" s="1" t="s">
        <v>740</v>
      </c>
      <c r="D443" s="1" t="s">
        <v>596</v>
      </c>
      <c r="E443" s="1" t="s">
        <v>1630</v>
      </c>
      <c r="F443" s="1" t="s">
        <v>97</v>
      </c>
      <c r="G443" s="1">
        <f>IF(ISNA(VLOOKUP(F443,Monster!B:E,4,FALSE)),0,VLOOKUP(F443,Monster!B:E,4,FALSE))</f>
        <v>9</v>
      </c>
      <c r="J443" s="1">
        <v>1756</v>
      </c>
      <c r="K443" s="1">
        <v>0</v>
      </c>
      <c r="L443" s="1">
        <v>300</v>
      </c>
      <c r="M443" s="1" t="s">
        <v>95</v>
      </c>
      <c r="O443" s="1">
        <f>((NOT(ISNA(VLOOKUP(M443,Monster!$H$2:$I$6,2,FALSE)))*L443)+J443)*(1+K443/100*0.25)</f>
        <v>1756</v>
      </c>
      <c r="P443" s="1" t="s">
        <v>590</v>
      </c>
      <c r="Q443" s="1">
        <v>1</v>
      </c>
    </row>
    <row r="444" spans="2:19" ht="12.75" hidden="1" x14ac:dyDescent="0.2">
      <c r="B444" s="1" t="s">
        <v>1643</v>
      </c>
      <c r="C444" s="1" t="s">
        <v>745</v>
      </c>
      <c r="D444" s="1" t="s">
        <v>596</v>
      </c>
      <c r="E444" s="1" t="s">
        <v>1630</v>
      </c>
      <c r="F444" s="1" t="s">
        <v>102</v>
      </c>
      <c r="G444" s="1">
        <f>IF(ISNA(VLOOKUP(F444,Monster!B:E,4,FALSE)),0,VLOOKUP(F444,Monster!B:E,4,FALSE))</f>
        <v>10</v>
      </c>
      <c r="I444" s="1" t="s">
        <v>1644</v>
      </c>
      <c r="J444" s="1">
        <v>1293</v>
      </c>
      <c r="K444" s="1">
        <v>0</v>
      </c>
      <c r="L444" s="1">
        <v>910</v>
      </c>
      <c r="M444" s="1" t="s">
        <v>50</v>
      </c>
      <c r="O444" s="1">
        <f>((NOT(ISNA(VLOOKUP(M444,Monster!$H$2:$I$6,2,FALSE)))*L444)+J444)*(1+K444/100*0.25)</f>
        <v>2203</v>
      </c>
      <c r="P444" s="1" t="s">
        <v>394</v>
      </c>
      <c r="Q444" s="1">
        <v>1</v>
      </c>
      <c r="S444" s="1" t="s">
        <v>1637</v>
      </c>
    </row>
    <row r="445" spans="2:19" ht="12.75" hidden="1" x14ac:dyDescent="0.2">
      <c r="B445" s="1" t="s">
        <v>1645</v>
      </c>
      <c r="C445" s="1" t="s">
        <v>750</v>
      </c>
      <c r="D445" s="1" t="s">
        <v>596</v>
      </c>
      <c r="E445" s="1" t="s">
        <v>1630</v>
      </c>
      <c r="F445" s="1" t="s">
        <v>109</v>
      </c>
      <c r="G445" s="1">
        <f>IF(ISNA(VLOOKUP(F445,Monster!B:E,4,FALSE)),0,VLOOKUP(F445,Monster!B:E,4,FALSE))</f>
        <v>11</v>
      </c>
      <c r="I445" s="1" t="s">
        <v>1646</v>
      </c>
      <c r="J445" s="1">
        <v>1293</v>
      </c>
      <c r="K445" s="1">
        <v>0</v>
      </c>
      <c r="L445" s="1">
        <v>910</v>
      </c>
      <c r="M445" s="1" t="s">
        <v>41</v>
      </c>
      <c r="O445" s="1">
        <f>((NOT(ISNA(VLOOKUP(M445,Monster!$H$2:$I$6,2,FALSE)))*L445)+J445)*(1+K445/100*0.25)</f>
        <v>2203</v>
      </c>
      <c r="P445" s="1" t="s">
        <v>543</v>
      </c>
      <c r="Q445" s="1">
        <v>1</v>
      </c>
      <c r="S445" s="1" t="s">
        <v>1632</v>
      </c>
    </row>
    <row r="446" spans="2:19" ht="12.75" hidden="1" x14ac:dyDescent="0.2">
      <c r="B446" s="1" t="s">
        <v>1647</v>
      </c>
      <c r="C446" s="1" t="s">
        <v>756</v>
      </c>
      <c r="D446" s="1" t="s">
        <v>596</v>
      </c>
      <c r="E446" s="1" t="s">
        <v>1630</v>
      </c>
      <c r="F446" s="1" t="s">
        <v>119</v>
      </c>
      <c r="G446" s="1">
        <f>IF(ISNA(VLOOKUP(F446,Monster!B:E,4,FALSE)),0,VLOOKUP(F446,Monster!B:E,4,FALSE))</f>
        <v>12</v>
      </c>
      <c r="I446" s="1" t="s">
        <v>1647</v>
      </c>
      <c r="J446" s="1">
        <v>1197</v>
      </c>
      <c r="K446" s="1">
        <v>20</v>
      </c>
      <c r="L446" s="1">
        <v>1154</v>
      </c>
      <c r="M446" s="1" t="s">
        <v>58</v>
      </c>
      <c r="O446" s="1">
        <f>((NOT(ISNA(VLOOKUP(M446,Monster!$H$2:$I$6,2,FALSE)))*L446)+J446)*(1+K446/100*0.25)</f>
        <v>2468.5500000000002</v>
      </c>
      <c r="P446" s="1" t="s">
        <v>175</v>
      </c>
      <c r="Q446" s="1">
        <v>1</v>
      </c>
      <c r="S446" s="1" t="s">
        <v>1637</v>
      </c>
    </row>
    <row r="447" spans="2:19" ht="12.75" hidden="1" x14ac:dyDescent="0.2">
      <c r="B447" s="1" t="s">
        <v>1648</v>
      </c>
      <c r="C447" s="1" t="s">
        <v>761</v>
      </c>
      <c r="D447" s="1" t="s">
        <v>596</v>
      </c>
      <c r="E447" s="1" t="s">
        <v>1630</v>
      </c>
      <c r="F447" s="1" t="s">
        <v>125</v>
      </c>
      <c r="G447" s="1">
        <f>IF(ISNA(VLOOKUP(F447,Monster!B:E,4,FALSE)),0,VLOOKUP(F447,Monster!B:E,4,FALSE))</f>
        <v>13</v>
      </c>
      <c r="I447" s="1" t="s">
        <v>1649</v>
      </c>
      <c r="J447" s="1">
        <v>1516</v>
      </c>
      <c r="K447" s="1">
        <v>0</v>
      </c>
      <c r="L447" s="1">
        <v>496</v>
      </c>
      <c r="M447" s="1" t="s">
        <v>79</v>
      </c>
      <c r="O447" s="1">
        <f>((NOT(ISNA(VLOOKUP(M447,Monster!$H$2:$I$6,2,FALSE)))*L447)+J447)*(1+K447/100*0.25)</f>
        <v>1516</v>
      </c>
      <c r="P447" s="1" t="s">
        <v>348</v>
      </c>
      <c r="Q447" s="1">
        <v>2</v>
      </c>
      <c r="S447" s="1" t="s">
        <v>1632</v>
      </c>
    </row>
    <row r="448" spans="2:19" ht="12.75" hidden="1" x14ac:dyDescent="0.2">
      <c r="B448" s="1" t="s">
        <v>1650</v>
      </c>
      <c r="C448" s="1" t="s">
        <v>766</v>
      </c>
      <c r="D448" s="1" t="s">
        <v>596</v>
      </c>
      <c r="E448" s="1" t="s">
        <v>1630</v>
      </c>
      <c r="F448" s="1" t="s">
        <v>131</v>
      </c>
      <c r="G448" s="1">
        <f>IF(ISNA(VLOOKUP(F448,Monster!B:E,4,FALSE)),0,VLOOKUP(F448,Monster!B:E,4,FALSE))</f>
        <v>14</v>
      </c>
      <c r="I448" s="1" t="s">
        <v>1651</v>
      </c>
      <c r="J448" s="1">
        <v>1756</v>
      </c>
      <c r="K448" s="1">
        <v>0</v>
      </c>
      <c r="L448" s="1">
        <v>300</v>
      </c>
      <c r="M448" s="1" t="s">
        <v>79</v>
      </c>
      <c r="O448" s="1">
        <f>((NOT(ISNA(VLOOKUP(M448,Monster!$H$2:$I$6,2,FALSE)))*L448)+J448)*(1+K448/100*0.25)</f>
        <v>1756</v>
      </c>
      <c r="P448" s="1" t="s">
        <v>253</v>
      </c>
      <c r="Q448" s="1">
        <v>1</v>
      </c>
      <c r="S448" s="1" t="s">
        <v>1632</v>
      </c>
    </row>
    <row r="449" spans="2:19" ht="12.75" hidden="1" x14ac:dyDescent="0.2">
      <c r="B449" s="1" t="s">
        <v>1652</v>
      </c>
      <c r="C449" s="1" t="s">
        <v>771</v>
      </c>
      <c r="D449" s="1" t="s">
        <v>596</v>
      </c>
      <c r="E449" s="1" t="s">
        <v>1630</v>
      </c>
      <c r="F449" s="1" t="s">
        <v>137</v>
      </c>
      <c r="G449" s="1">
        <f>IF(ISNA(VLOOKUP(F449,Monster!B:E,4,FALSE)),0,VLOOKUP(F449,Monster!B:E,4,FALSE))</f>
        <v>15</v>
      </c>
      <c r="I449" s="1" t="s">
        <v>1652</v>
      </c>
      <c r="J449" s="1">
        <v>1675</v>
      </c>
      <c r="K449" s="1">
        <v>30</v>
      </c>
      <c r="L449" s="1">
        <v>399</v>
      </c>
      <c r="M449" s="1" t="s">
        <v>79</v>
      </c>
      <c r="O449" s="1">
        <f>((NOT(ISNA(VLOOKUP(M449,Monster!$H$2:$I$6,2,FALSE)))*L449)+J449)*(1+K449/100*0.25)</f>
        <v>1800.625</v>
      </c>
      <c r="P449" s="1" t="s">
        <v>483</v>
      </c>
      <c r="Q449" s="1">
        <v>2</v>
      </c>
      <c r="S449" s="1" t="s">
        <v>1632</v>
      </c>
    </row>
    <row r="450" spans="2:19" ht="12.75" hidden="1" x14ac:dyDescent="0.2">
      <c r="B450" s="1" t="s">
        <v>1653</v>
      </c>
      <c r="C450" s="1" t="s">
        <v>775</v>
      </c>
      <c r="D450" s="1" t="s">
        <v>596</v>
      </c>
      <c r="E450" s="1" t="s">
        <v>1630</v>
      </c>
      <c r="F450" s="1" t="s">
        <v>146</v>
      </c>
      <c r="G450" s="1">
        <f>IF(ISNA(VLOOKUP(F450,Monster!B:E,4,FALSE)),0,VLOOKUP(F450,Monster!B:E,4,FALSE))</f>
        <v>16</v>
      </c>
      <c r="I450" s="1" t="s">
        <v>1654</v>
      </c>
      <c r="J450" s="1">
        <v>1221</v>
      </c>
      <c r="K450" s="1">
        <v>0</v>
      </c>
      <c r="L450" s="1">
        <v>1142</v>
      </c>
      <c r="M450" s="1" t="s">
        <v>66</v>
      </c>
      <c r="O450" s="1">
        <f>((NOT(ISNA(VLOOKUP(M450,Monster!$H$2:$I$6,2,FALSE)))*L450)+J450)*(1+K450/100*0.25)</f>
        <v>2363</v>
      </c>
      <c r="P450" s="1" t="s">
        <v>228</v>
      </c>
      <c r="Q450" s="1">
        <v>2</v>
      </c>
      <c r="S450" s="1" t="s">
        <v>1632</v>
      </c>
    </row>
    <row r="451" spans="2:19" ht="12.75" hidden="1" x14ac:dyDescent="0.2">
      <c r="C451" s="1" t="s">
        <v>779</v>
      </c>
      <c r="D451" s="1" t="s">
        <v>596</v>
      </c>
      <c r="E451" s="1" t="s">
        <v>1630</v>
      </c>
      <c r="F451" s="1" t="s">
        <v>151</v>
      </c>
      <c r="G451" s="1">
        <f>IF(ISNA(VLOOKUP(F451,Monster!B:E,4,FALSE)),0,VLOOKUP(F451,Monster!B:E,4,FALSE))</f>
        <v>17</v>
      </c>
      <c r="J451" s="1">
        <v>1979</v>
      </c>
      <c r="K451" s="1">
        <v>0</v>
      </c>
      <c r="L451" s="1">
        <v>0</v>
      </c>
      <c r="M451" s="1" t="s">
        <v>107</v>
      </c>
      <c r="O451" s="1">
        <f>((NOT(ISNA(VLOOKUP(M451,Monster!$H$2:$I$6,2,FALSE)))*L451)+J451)*(1+K451/100*0.25)</f>
        <v>1979</v>
      </c>
      <c r="P451" s="1" t="s">
        <v>364</v>
      </c>
      <c r="Q451" s="1">
        <v>1</v>
      </c>
    </row>
    <row r="452" spans="2:19" ht="12.75" hidden="1" x14ac:dyDescent="0.2">
      <c r="C452" s="1" t="s">
        <v>782</v>
      </c>
      <c r="D452" s="1" t="s">
        <v>596</v>
      </c>
      <c r="E452" s="1" t="s">
        <v>1630</v>
      </c>
      <c r="F452" s="1" t="s">
        <v>155</v>
      </c>
      <c r="G452" s="1">
        <f>IF(ISNA(VLOOKUP(F452,Monster!B:E,4,FALSE)),0,VLOOKUP(F452,Monster!B:E,4,FALSE))</f>
        <v>18</v>
      </c>
      <c r="J452" s="1">
        <v>2218</v>
      </c>
      <c r="K452" s="1">
        <v>-30</v>
      </c>
      <c r="L452" s="1">
        <v>0</v>
      </c>
      <c r="M452" s="1" t="s">
        <v>107</v>
      </c>
      <c r="O452" s="1">
        <f>((NOT(ISNA(VLOOKUP(M452,Monster!$H$2:$I$6,2,FALSE)))*L452)+J452)*(1+K452/100*0.25)</f>
        <v>2051.65</v>
      </c>
      <c r="P452" s="1" t="s">
        <v>463</v>
      </c>
      <c r="Q452" s="1">
        <v>1</v>
      </c>
    </row>
    <row r="453" spans="2:19" ht="12.75" hidden="1" x14ac:dyDescent="0.2">
      <c r="B453" s="1" t="s">
        <v>1655</v>
      </c>
      <c r="C453" s="1" t="s">
        <v>786</v>
      </c>
      <c r="D453" s="1" t="s">
        <v>596</v>
      </c>
      <c r="E453" s="1" t="s">
        <v>1630</v>
      </c>
      <c r="F453" s="1" t="s">
        <v>160</v>
      </c>
      <c r="G453" s="1">
        <f>IF(ISNA(VLOOKUP(F453,Monster!B:E,4,FALSE)),0,VLOOKUP(F453,Monster!B:E,4,FALSE))</f>
        <v>19</v>
      </c>
      <c r="I453" s="1" t="s">
        <v>1656</v>
      </c>
      <c r="J453" s="1">
        <v>1221</v>
      </c>
      <c r="K453" s="1">
        <v>0</v>
      </c>
      <c r="L453" s="1">
        <v>1142</v>
      </c>
      <c r="M453" s="1" t="s">
        <v>41</v>
      </c>
      <c r="O453" s="1">
        <f>((NOT(ISNA(VLOOKUP(M453,Monster!$H$2:$I$6,2,FALSE)))*L453)+J453)*(1+K453/100*0.25)</f>
        <v>2363</v>
      </c>
      <c r="P453" s="1" t="s">
        <v>244</v>
      </c>
      <c r="Q453" s="1">
        <v>1</v>
      </c>
      <c r="S453" s="1" t="s">
        <v>1642</v>
      </c>
    </row>
    <row r="454" spans="2:19" ht="12.75" hidden="1" x14ac:dyDescent="0.2">
      <c r="B454" s="1" t="s">
        <v>1657</v>
      </c>
      <c r="C454" s="1" t="s">
        <v>790</v>
      </c>
      <c r="D454" s="1" t="s">
        <v>596</v>
      </c>
      <c r="E454" s="1" t="s">
        <v>1630</v>
      </c>
      <c r="F454" s="1" t="s">
        <v>165</v>
      </c>
      <c r="G454" s="1">
        <f>IF(ISNA(VLOOKUP(F454,Monster!B:E,4,FALSE)),0,VLOOKUP(F454,Monster!B:E,4,FALSE))</f>
        <v>20</v>
      </c>
      <c r="I454" s="1" t="s">
        <v>1658</v>
      </c>
      <c r="J454" s="1">
        <v>1682</v>
      </c>
      <c r="K454" s="1">
        <v>0</v>
      </c>
      <c r="L454" s="1">
        <v>605</v>
      </c>
      <c r="M454" s="1" t="s">
        <v>41</v>
      </c>
      <c r="O454" s="1">
        <f>((NOT(ISNA(VLOOKUP(M454,Monster!$H$2:$I$6,2,FALSE)))*L454)+J454)*(1+K454/100*0.25)</f>
        <v>2287</v>
      </c>
      <c r="P454" s="1" t="s">
        <v>602</v>
      </c>
      <c r="Q454" s="1">
        <v>1</v>
      </c>
      <c r="S454" s="1" t="s">
        <v>1642</v>
      </c>
    </row>
    <row r="455" spans="2:19" ht="12.75" hidden="1" x14ac:dyDescent="0.2">
      <c r="B455" s="1" t="s">
        <v>1659</v>
      </c>
      <c r="C455" s="1" t="s">
        <v>794</v>
      </c>
      <c r="D455" s="1" t="s">
        <v>596</v>
      </c>
      <c r="E455" s="1" t="s">
        <v>1630</v>
      </c>
      <c r="F455" s="1" t="s">
        <v>171</v>
      </c>
      <c r="G455" s="1">
        <f>IF(ISNA(VLOOKUP(F455,Monster!B:E,4,FALSE)),0,VLOOKUP(F455,Monster!B:E,4,FALSE))</f>
        <v>21</v>
      </c>
      <c r="I455" s="1" t="s">
        <v>1659</v>
      </c>
      <c r="J455" s="1">
        <v>1258</v>
      </c>
      <c r="K455" s="1">
        <v>30</v>
      </c>
      <c r="L455" s="1">
        <v>1082</v>
      </c>
      <c r="M455" s="1" t="s">
        <v>41</v>
      </c>
      <c r="O455" s="1">
        <f>((NOT(ISNA(VLOOKUP(M455,Monster!$H$2:$I$6,2,FALSE)))*L455)+J455)*(1+K455/100*0.25)</f>
        <v>2515.5</v>
      </c>
      <c r="P455" s="1" t="s">
        <v>175</v>
      </c>
      <c r="Q455" s="1">
        <v>2</v>
      </c>
      <c r="S455" s="1" t="s">
        <v>1642</v>
      </c>
    </row>
    <row r="456" spans="2:19" ht="12.75" hidden="1" x14ac:dyDescent="0.2">
      <c r="C456" s="1" t="s">
        <v>797</v>
      </c>
      <c r="D456" s="1" t="s">
        <v>596</v>
      </c>
      <c r="E456" s="1" t="s">
        <v>1630</v>
      </c>
      <c r="F456" s="1" t="s">
        <v>176</v>
      </c>
      <c r="G456" s="1">
        <f>IF(ISNA(VLOOKUP(F456,Monster!B:E,4,FALSE)),0,VLOOKUP(F456,Monster!B:E,4,FALSE))</f>
        <v>22</v>
      </c>
      <c r="J456" s="1">
        <v>1596</v>
      </c>
      <c r="K456" s="1">
        <v>0</v>
      </c>
      <c r="L456" s="1">
        <v>400</v>
      </c>
      <c r="M456" s="1" t="s">
        <v>95</v>
      </c>
      <c r="O456" s="1">
        <f>((NOT(ISNA(VLOOKUP(M456,Monster!$H$2:$I$6,2,FALSE)))*L456)+J456)*(1+K456/100*0.25)</f>
        <v>1596</v>
      </c>
      <c r="P456" s="1" t="s">
        <v>213</v>
      </c>
      <c r="Q456" s="1">
        <v>2</v>
      </c>
    </row>
    <row r="457" spans="2:19" ht="12.75" hidden="1" x14ac:dyDescent="0.2">
      <c r="B457" s="1" t="s">
        <v>1660</v>
      </c>
      <c r="C457" s="1" t="s">
        <v>800</v>
      </c>
      <c r="D457" s="1" t="s">
        <v>596</v>
      </c>
      <c r="E457" s="1" t="s">
        <v>1630</v>
      </c>
      <c r="F457" s="1" t="s">
        <v>184</v>
      </c>
      <c r="G457" s="1">
        <f>IF(ISNA(VLOOKUP(F457,Monster!B:E,4,FALSE)),0,VLOOKUP(F457,Monster!B:E,4,FALSE))</f>
        <v>23</v>
      </c>
      <c r="I457" s="1" t="s">
        <v>1660</v>
      </c>
      <c r="J457" s="1">
        <v>1764</v>
      </c>
      <c r="K457" s="1">
        <v>0</v>
      </c>
      <c r="L457" s="1">
        <v>0</v>
      </c>
      <c r="M457" s="1" t="s">
        <v>107</v>
      </c>
      <c r="O457" s="1">
        <f>((NOT(ISNA(VLOOKUP(M457,Monster!$H$2:$I$6,2,FALSE)))*L457)+J457)*(1+K457/100*0.25)</f>
        <v>1764</v>
      </c>
      <c r="P457" s="1" t="s">
        <v>306</v>
      </c>
      <c r="Q457" s="1">
        <v>2</v>
      </c>
      <c r="S457" s="1" t="s">
        <v>1632</v>
      </c>
    </row>
    <row r="458" spans="2:19" ht="12.75" hidden="1" x14ac:dyDescent="0.2">
      <c r="B458" s="1" t="s">
        <v>1661</v>
      </c>
      <c r="C458" s="1" t="s">
        <v>803</v>
      </c>
      <c r="D458" s="1" t="s">
        <v>596</v>
      </c>
      <c r="E458" s="1" t="s">
        <v>1630</v>
      </c>
      <c r="F458" s="1" t="s">
        <v>190</v>
      </c>
      <c r="G458" s="1">
        <f>IF(ISNA(VLOOKUP(F458,Monster!B:E,4,FALSE)),0,VLOOKUP(F458,Monster!B:E,4,FALSE))</f>
        <v>24</v>
      </c>
      <c r="I458" s="1" t="s">
        <v>1662</v>
      </c>
      <c r="J458" s="1">
        <v>1191</v>
      </c>
      <c r="K458" s="1">
        <v>20</v>
      </c>
      <c r="L458" s="1">
        <v>910</v>
      </c>
      <c r="M458" s="1" t="s">
        <v>66</v>
      </c>
      <c r="O458" s="1">
        <f>((NOT(ISNA(VLOOKUP(M458,Monster!$H$2:$I$6,2,FALSE)))*L458)+J458)*(1+K458/100*0.25)</f>
        <v>2206.0500000000002</v>
      </c>
      <c r="P458" s="1" t="s">
        <v>253</v>
      </c>
      <c r="Q458" s="1">
        <v>1</v>
      </c>
      <c r="S458" s="1" t="s">
        <v>1637</v>
      </c>
    </row>
    <row r="459" spans="2:19" ht="12.75" hidden="1" x14ac:dyDescent="0.2">
      <c r="B459" s="1" t="s">
        <v>1663</v>
      </c>
      <c r="C459" s="1" t="s">
        <v>807</v>
      </c>
      <c r="D459" s="1" t="s">
        <v>596</v>
      </c>
      <c r="E459" s="1" t="s">
        <v>1630</v>
      </c>
      <c r="F459" s="1" t="s">
        <v>193</v>
      </c>
      <c r="G459" s="1">
        <f>IF(ISNA(VLOOKUP(F459,Monster!B:E,4,FALSE)),0,VLOOKUP(F459,Monster!B:E,4,FALSE))</f>
        <v>25</v>
      </c>
      <c r="I459" s="1" t="s">
        <v>1664</v>
      </c>
      <c r="J459" s="1">
        <v>1221</v>
      </c>
      <c r="K459" s="1">
        <v>0</v>
      </c>
      <c r="L459" s="1">
        <v>1142</v>
      </c>
      <c r="M459" s="1" t="s">
        <v>58</v>
      </c>
      <c r="O459" s="1">
        <f>((NOT(ISNA(VLOOKUP(M459,Monster!$H$2:$I$6,2,FALSE)))*L459)+J459)*(1+K459/100*0.25)</f>
        <v>2363</v>
      </c>
      <c r="P459" s="1" t="s">
        <v>38</v>
      </c>
      <c r="Q459" s="1">
        <v>1</v>
      </c>
      <c r="S459" s="1" t="s">
        <v>1632</v>
      </c>
    </row>
    <row r="460" spans="2:19" ht="12.75" hidden="1" x14ac:dyDescent="0.2">
      <c r="C460" s="1" t="s">
        <v>810</v>
      </c>
      <c r="D460" s="1" t="s">
        <v>596</v>
      </c>
      <c r="E460" s="1" t="s">
        <v>1630</v>
      </c>
      <c r="F460" s="1" t="s">
        <v>197</v>
      </c>
      <c r="G460" s="1">
        <f>IF(ISNA(VLOOKUP(F460,Monster!B:E,4,FALSE)),0,VLOOKUP(F460,Monster!B:E,4,FALSE))</f>
        <v>26</v>
      </c>
      <c r="J460" s="1">
        <v>1588</v>
      </c>
      <c r="K460" s="1">
        <v>0</v>
      </c>
      <c r="L460" s="1">
        <v>632</v>
      </c>
      <c r="M460" s="1" t="s">
        <v>58</v>
      </c>
      <c r="O460" s="1">
        <f>((NOT(ISNA(VLOOKUP(M460,Monster!$H$2:$I$6,2,FALSE)))*L460)+J460)*(1+K460/100*0.25)</f>
        <v>2220</v>
      </c>
      <c r="P460" s="1" t="s">
        <v>412</v>
      </c>
      <c r="Q460" s="1">
        <v>1</v>
      </c>
    </row>
    <row r="461" spans="2:19" ht="12.75" hidden="1" x14ac:dyDescent="0.2">
      <c r="C461" s="1" t="s">
        <v>813</v>
      </c>
      <c r="D461" s="1" t="s">
        <v>596</v>
      </c>
      <c r="E461" s="1" t="s">
        <v>1630</v>
      </c>
      <c r="F461" s="1" t="s">
        <v>205</v>
      </c>
      <c r="G461" s="1">
        <f>IF(ISNA(VLOOKUP(F461,Monster!B:E,4,FALSE)),0,VLOOKUP(F461,Monster!B:E,4,FALSE))</f>
        <v>27</v>
      </c>
      <c r="J461" s="1">
        <v>1719</v>
      </c>
      <c r="K461" s="1">
        <v>20</v>
      </c>
      <c r="L461" s="1">
        <v>0</v>
      </c>
      <c r="M461" s="1" t="s">
        <v>107</v>
      </c>
      <c r="O461" s="1">
        <f>((NOT(ISNA(VLOOKUP(M461,Monster!$H$2:$I$6,2,FALSE)))*L461)+J461)*(1+K461/100*0.25)</f>
        <v>1804.95</v>
      </c>
      <c r="P461" s="1" t="s">
        <v>269</v>
      </c>
      <c r="Q461" s="1">
        <v>1</v>
      </c>
    </row>
    <row r="462" spans="2:19" ht="12.75" hidden="1" x14ac:dyDescent="0.2">
      <c r="C462" s="1" t="s">
        <v>816</v>
      </c>
      <c r="D462" s="1" t="s">
        <v>596</v>
      </c>
      <c r="E462" s="1" t="s">
        <v>1630</v>
      </c>
      <c r="F462" s="1" t="s">
        <v>210</v>
      </c>
      <c r="G462" s="1">
        <f>IF(ISNA(VLOOKUP(F462,Monster!B:E,4,FALSE)),0,VLOOKUP(F462,Monster!B:E,4,FALSE))</f>
        <v>28</v>
      </c>
      <c r="J462" s="1">
        <v>1138</v>
      </c>
      <c r="K462" s="1">
        <v>20</v>
      </c>
      <c r="L462" s="1">
        <v>1156</v>
      </c>
      <c r="M462" s="1" t="s">
        <v>71</v>
      </c>
      <c r="O462" s="1">
        <f>((NOT(ISNA(VLOOKUP(M462,Monster!$H$2:$I$6,2,FALSE)))*L462)+J462)*(1+K462/100*0.25)</f>
        <v>2408.7000000000003</v>
      </c>
      <c r="P462" s="1" t="s">
        <v>166</v>
      </c>
      <c r="Q462" s="1">
        <v>1</v>
      </c>
    </row>
    <row r="463" spans="2:19" ht="12.75" hidden="1" x14ac:dyDescent="0.2">
      <c r="B463" s="1" t="s">
        <v>1665</v>
      </c>
      <c r="C463" s="1" t="s">
        <v>821</v>
      </c>
      <c r="D463" s="1" t="s">
        <v>596</v>
      </c>
      <c r="E463" s="1" t="s">
        <v>1630</v>
      </c>
      <c r="F463" s="1" t="s">
        <v>216</v>
      </c>
      <c r="G463" s="1">
        <f>IF(ISNA(VLOOKUP(F463,Monster!B:E,4,FALSE)),0,VLOOKUP(F463,Monster!B:E,4,FALSE))</f>
        <v>29</v>
      </c>
      <c r="I463" s="1" t="s">
        <v>1666</v>
      </c>
      <c r="J463" s="1">
        <v>1318</v>
      </c>
      <c r="K463" s="1">
        <v>-30</v>
      </c>
      <c r="L463" s="1">
        <v>1261</v>
      </c>
      <c r="M463" s="1" t="s">
        <v>71</v>
      </c>
      <c r="O463" s="1">
        <f>((NOT(ISNA(VLOOKUP(M463,Monster!$H$2:$I$6,2,FALSE)))*L463)+J463)*(1+K463/100*0.25)</f>
        <v>2385.5750000000003</v>
      </c>
      <c r="P463" s="1" t="s">
        <v>46</v>
      </c>
      <c r="Q463" s="1">
        <v>1</v>
      </c>
      <c r="S463" s="1" t="s">
        <v>1642</v>
      </c>
    </row>
    <row r="464" spans="2:19" ht="12.75" hidden="1" x14ac:dyDescent="0.2">
      <c r="C464" s="1" t="s">
        <v>825</v>
      </c>
      <c r="D464" s="1" t="s">
        <v>596</v>
      </c>
      <c r="E464" s="1" t="s">
        <v>1630</v>
      </c>
      <c r="F464" s="1" t="s">
        <v>223</v>
      </c>
      <c r="G464" s="1">
        <f>IF(ISNA(VLOOKUP(F464,Monster!B:E,4,FALSE)),0,VLOOKUP(F464,Monster!B:E,4,FALSE))</f>
        <v>30</v>
      </c>
      <c r="J464" s="1">
        <v>1666</v>
      </c>
      <c r="K464" s="1">
        <v>-15</v>
      </c>
      <c r="L464" s="1">
        <v>527</v>
      </c>
      <c r="M464" s="1" t="s">
        <v>41</v>
      </c>
      <c r="O464" s="1">
        <f>((NOT(ISNA(VLOOKUP(M464,Monster!$H$2:$I$6,2,FALSE)))*L464)+J464)*(1+K464/100*0.25)</f>
        <v>2110.7625000000003</v>
      </c>
      <c r="P464" s="1" t="s">
        <v>364</v>
      </c>
      <c r="Q464" s="1">
        <v>1</v>
      </c>
    </row>
    <row r="465" spans="2:19" ht="12.75" hidden="1" x14ac:dyDescent="0.2">
      <c r="B465" s="1" t="s">
        <v>1667</v>
      </c>
      <c r="C465" s="1" t="s">
        <v>829</v>
      </c>
      <c r="D465" s="1" t="s">
        <v>596</v>
      </c>
      <c r="E465" s="1" t="s">
        <v>1630</v>
      </c>
      <c r="F465" s="1" t="s">
        <v>229</v>
      </c>
      <c r="G465" s="1">
        <f>IF(ISNA(VLOOKUP(F465,Monster!B:E,4,FALSE)),0,VLOOKUP(F465,Monster!B:E,4,FALSE))</f>
        <v>31</v>
      </c>
      <c r="I465" s="1" t="s">
        <v>1668</v>
      </c>
      <c r="J465" s="1">
        <v>1194</v>
      </c>
      <c r="K465" s="1">
        <v>20</v>
      </c>
      <c r="L465" s="1">
        <v>913</v>
      </c>
      <c r="M465" s="1" t="s">
        <v>58</v>
      </c>
      <c r="O465" s="1">
        <f>((NOT(ISNA(VLOOKUP(M465,Monster!$H$2:$I$6,2,FALSE)))*L465)+J465)*(1+K465/100*0.25)</f>
        <v>2212.35</v>
      </c>
      <c r="P465" s="1" t="s">
        <v>470</v>
      </c>
      <c r="Q465" s="1">
        <v>1</v>
      </c>
      <c r="S465" s="1" t="s">
        <v>1637</v>
      </c>
    </row>
    <row r="466" spans="2:19" ht="12.75" hidden="1" x14ac:dyDescent="0.2">
      <c r="B466" s="1" t="s">
        <v>1669</v>
      </c>
      <c r="C466" s="1" t="s">
        <v>834</v>
      </c>
      <c r="D466" s="1" t="s">
        <v>596</v>
      </c>
      <c r="E466" s="1" t="s">
        <v>1630</v>
      </c>
      <c r="F466" s="1" t="s">
        <v>234</v>
      </c>
      <c r="G466" s="1">
        <f>IF(ISNA(VLOOKUP(F466,Monster!B:E,4,FALSE)),0,VLOOKUP(F466,Monster!B:E,4,FALSE))</f>
        <v>32</v>
      </c>
      <c r="I466" s="1" t="s">
        <v>1669</v>
      </c>
      <c r="J466" s="1">
        <v>1553</v>
      </c>
      <c r="K466" s="1">
        <v>0</v>
      </c>
      <c r="L466" s="1">
        <v>974</v>
      </c>
      <c r="M466" s="1" t="s">
        <v>66</v>
      </c>
      <c r="O466" s="1">
        <f>((NOT(ISNA(VLOOKUP(M466,Monster!$H$2:$I$6,2,FALSE)))*L466)+J466)*(1+K466/100*0.25)</f>
        <v>2527</v>
      </c>
      <c r="P466" s="1" t="s">
        <v>528</v>
      </c>
      <c r="Q466" s="1">
        <v>2</v>
      </c>
      <c r="R466" s="1" t="s">
        <v>372</v>
      </c>
      <c r="S466" s="1" t="s">
        <v>1642</v>
      </c>
    </row>
    <row r="467" spans="2:19" ht="12.75" hidden="1" x14ac:dyDescent="0.2">
      <c r="B467" s="1" t="s">
        <v>1670</v>
      </c>
      <c r="C467" s="1" t="s">
        <v>839</v>
      </c>
      <c r="D467" s="1" t="s">
        <v>596</v>
      </c>
      <c r="E467" s="1" t="s">
        <v>1630</v>
      </c>
      <c r="F467" s="1" t="s">
        <v>239</v>
      </c>
      <c r="G467" s="1">
        <f>IF(ISNA(VLOOKUP(F467,Monster!B:E,4,FALSE)),0,VLOOKUP(F467,Monster!B:E,4,FALSE))</f>
        <v>33</v>
      </c>
      <c r="I467" s="1" t="s">
        <v>1671</v>
      </c>
      <c r="J467" s="1">
        <v>1138</v>
      </c>
      <c r="K467" s="1">
        <v>20</v>
      </c>
      <c r="L467" s="1">
        <v>1156</v>
      </c>
      <c r="M467" s="1" t="s">
        <v>50</v>
      </c>
      <c r="O467" s="1">
        <f>((NOT(ISNA(VLOOKUP(M467,Monster!$H$2:$I$6,2,FALSE)))*L467)+J467)*(1+K467/100*0.25)</f>
        <v>2408.7000000000003</v>
      </c>
      <c r="P467" s="1" t="s">
        <v>38</v>
      </c>
      <c r="Q467" s="1">
        <v>1</v>
      </c>
      <c r="S467" s="1" t="s">
        <v>1642</v>
      </c>
    </row>
    <row r="468" spans="2:19" ht="12.75" hidden="1" x14ac:dyDescent="0.2">
      <c r="C468" s="1" t="s">
        <v>845</v>
      </c>
      <c r="D468" s="1" t="s">
        <v>596</v>
      </c>
      <c r="E468" s="1" t="s">
        <v>1630</v>
      </c>
      <c r="F468" s="1" t="s">
        <v>245</v>
      </c>
      <c r="G468" s="1">
        <f>IF(ISNA(VLOOKUP(F468,Monster!B:E,4,FALSE)),0,VLOOKUP(F468,Monster!B:E,4,FALSE))</f>
        <v>34</v>
      </c>
      <c r="J468" s="1">
        <v>1684</v>
      </c>
      <c r="K468" s="1">
        <v>0</v>
      </c>
      <c r="L468" s="1">
        <v>502</v>
      </c>
      <c r="M468" s="1" t="s">
        <v>100</v>
      </c>
      <c r="O468" s="1">
        <f>((NOT(ISNA(VLOOKUP(M468,Monster!$H$2:$I$6,2,FALSE)))*L468)+J468)*(1+K468/100*0.25)</f>
        <v>1684</v>
      </c>
      <c r="P468" s="1" t="s">
        <v>364</v>
      </c>
      <c r="Q468" s="1">
        <v>2</v>
      </c>
      <c r="R468" s="1" t="s">
        <v>372</v>
      </c>
    </row>
    <row r="469" spans="2:19" ht="12.75" hidden="1" x14ac:dyDescent="0.2">
      <c r="B469" s="1" t="s">
        <v>1672</v>
      </c>
      <c r="C469" s="1" t="s">
        <v>849</v>
      </c>
      <c r="D469" s="1" t="s">
        <v>596</v>
      </c>
      <c r="E469" s="1" t="s">
        <v>1630</v>
      </c>
      <c r="F469" s="1" t="s">
        <v>251</v>
      </c>
      <c r="G469" s="1">
        <f>IF(ISNA(VLOOKUP(F469,Monster!B:E,4,FALSE)),0,VLOOKUP(F469,Monster!B:E,4,FALSE))</f>
        <v>35</v>
      </c>
      <c r="I469" s="1" t="s">
        <v>1673</v>
      </c>
      <c r="J469" s="1">
        <v>1588</v>
      </c>
      <c r="K469" s="1">
        <v>0</v>
      </c>
      <c r="L469" s="1">
        <v>632</v>
      </c>
      <c r="M469" s="1" t="s">
        <v>41</v>
      </c>
      <c r="O469" s="1">
        <f>((NOT(ISNA(VLOOKUP(M469,Monster!$H$2:$I$6,2,FALSE)))*L469)+J469)*(1+K469/100*0.25)</f>
        <v>2220</v>
      </c>
      <c r="P469" s="1" t="s">
        <v>412</v>
      </c>
      <c r="Q469" s="1">
        <v>1</v>
      </c>
      <c r="S469" s="1" t="s">
        <v>1632</v>
      </c>
    </row>
    <row r="470" spans="2:19" ht="12.75" hidden="1" x14ac:dyDescent="0.2">
      <c r="B470" s="1" t="s">
        <v>1674</v>
      </c>
      <c r="C470" s="1" t="s">
        <v>853</v>
      </c>
      <c r="D470" s="1" t="s">
        <v>596</v>
      </c>
      <c r="E470" s="1" t="s">
        <v>1630</v>
      </c>
      <c r="F470" s="1" t="s">
        <v>256</v>
      </c>
      <c r="G470" s="1">
        <f>IF(ISNA(VLOOKUP(F470,Monster!B:E,4,FALSE)),0,VLOOKUP(F470,Monster!B:E,4,FALSE))</f>
        <v>36</v>
      </c>
      <c r="I470" s="1" t="s">
        <v>1675</v>
      </c>
      <c r="J470" s="1">
        <v>1516</v>
      </c>
      <c r="K470" s="1">
        <v>0</v>
      </c>
      <c r="L470" s="1">
        <v>496</v>
      </c>
      <c r="M470" s="1" t="s">
        <v>100</v>
      </c>
      <c r="O470" s="1">
        <f>((NOT(ISNA(VLOOKUP(M470,Monster!$H$2:$I$6,2,FALSE)))*L470)+J470)*(1+K470/100*0.25)</f>
        <v>1516</v>
      </c>
      <c r="P470" s="1" t="s">
        <v>463</v>
      </c>
      <c r="Q470" s="1">
        <v>1</v>
      </c>
      <c r="S470" s="1" t="s">
        <v>1642</v>
      </c>
    </row>
    <row r="471" spans="2:19" ht="12.75" hidden="1" x14ac:dyDescent="0.2">
      <c r="B471" s="1" t="s">
        <v>1676</v>
      </c>
      <c r="C471" s="1" t="s">
        <v>857</v>
      </c>
      <c r="D471" s="1" t="s">
        <v>596</v>
      </c>
      <c r="E471" s="1" t="s">
        <v>1630</v>
      </c>
      <c r="F471" s="1" t="s">
        <v>263</v>
      </c>
      <c r="G471" s="1">
        <f>IF(ISNA(VLOOKUP(F471,Monster!B:E,4,FALSE)),0,VLOOKUP(F471,Monster!B:E,4,FALSE))</f>
        <v>37</v>
      </c>
      <c r="I471" s="1" t="s">
        <v>1677</v>
      </c>
      <c r="J471" s="1">
        <v>1318</v>
      </c>
      <c r="K471" s="1">
        <v>-30</v>
      </c>
      <c r="L471" s="1">
        <v>1261</v>
      </c>
      <c r="M471" s="1" t="s">
        <v>58</v>
      </c>
      <c r="O471" s="1">
        <f>((NOT(ISNA(VLOOKUP(M471,Monster!$H$2:$I$6,2,FALSE)))*L471)+J471)*(1+K471/100*0.25)</f>
        <v>2385.5750000000003</v>
      </c>
      <c r="P471" s="1" t="s">
        <v>221</v>
      </c>
      <c r="Q471" s="1">
        <v>1</v>
      </c>
      <c r="S471" s="1" t="s">
        <v>1637</v>
      </c>
    </row>
    <row r="472" spans="2:19" ht="12.75" hidden="1" x14ac:dyDescent="0.2">
      <c r="B472" s="1" t="s">
        <v>1678</v>
      </c>
      <c r="C472" s="1" t="s">
        <v>863</v>
      </c>
      <c r="D472" s="1" t="s">
        <v>596</v>
      </c>
      <c r="E472" s="1" t="s">
        <v>1630</v>
      </c>
      <c r="F472" s="1" t="s">
        <v>268</v>
      </c>
      <c r="G472" s="1">
        <f>IF(ISNA(VLOOKUP(F472,Monster!B:E,4,FALSE)),0,VLOOKUP(F472,Monster!B:E,4,FALSE))</f>
        <v>38</v>
      </c>
      <c r="I472" s="1" t="s">
        <v>1678</v>
      </c>
      <c r="J472" s="1">
        <v>1553</v>
      </c>
      <c r="K472" s="1">
        <v>0</v>
      </c>
      <c r="L472" s="1">
        <v>974</v>
      </c>
      <c r="M472" s="1" t="s">
        <v>71</v>
      </c>
      <c r="O472" s="1">
        <f>((NOT(ISNA(VLOOKUP(M472,Monster!$H$2:$I$6,2,FALSE)))*L472)+J472)*(1+K472/100*0.25)</f>
        <v>2527</v>
      </c>
      <c r="P472" s="1" t="s">
        <v>463</v>
      </c>
      <c r="Q472" s="1">
        <v>2</v>
      </c>
      <c r="R472" s="1" t="s">
        <v>372</v>
      </c>
      <c r="S472" s="1" t="s">
        <v>1637</v>
      </c>
    </row>
    <row r="473" spans="2:19" ht="12.75" hidden="1" x14ac:dyDescent="0.2">
      <c r="B473" s="1" t="s">
        <v>1679</v>
      </c>
      <c r="C473" s="1" t="s">
        <v>866</v>
      </c>
      <c r="D473" s="1" t="s">
        <v>596</v>
      </c>
      <c r="E473" s="1" t="s">
        <v>1630</v>
      </c>
      <c r="F473" s="1" t="s">
        <v>273</v>
      </c>
      <c r="G473" s="1">
        <f>IF(ISNA(VLOOKUP(F473,Monster!B:E,4,FALSE)),0,VLOOKUP(F473,Monster!B:E,4,FALSE))</f>
        <v>39</v>
      </c>
      <c r="I473" s="1" t="s">
        <v>1680</v>
      </c>
      <c r="J473" s="1">
        <v>1588</v>
      </c>
      <c r="K473" s="1">
        <v>0</v>
      </c>
      <c r="L473" s="1">
        <v>632</v>
      </c>
      <c r="M473" s="1" t="s">
        <v>66</v>
      </c>
      <c r="O473" s="1">
        <f>((NOT(ISNA(VLOOKUP(M473,Monster!$H$2:$I$6,2,FALSE)))*L473)+J473)*(1+K473/100*0.25)</f>
        <v>2220</v>
      </c>
      <c r="P473" s="1" t="s">
        <v>412</v>
      </c>
      <c r="Q473" s="1">
        <v>1</v>
      </c>
      <c r="S473" s="1" t="s">
        <v>1637</v>
      </c>
    </row>
    <row r="474" spans="2:19" ht="12.75" hidden="1" x14ac:dyDescent="0.2">
      <c r="B474" s="1" t="s">
        <v>1681</v>
      </c>
      <c r="C474" s="1" t="s">
        <v>869</v>
      </c>
      <c r="D474" s="1" t="s">
        <v>596</v>
      </c>
      <c r="E474" s="1" t="s">
        <v>1630</v>
      </c>
      <c r="F474" s="1" t="s">
        <v>278</v>
      </c>
      <c r="G474" s="1">
        <f>IF(ISNA(VLOOKUP(F474,Monster!B:E,4,FALSE)),0,VLOOKUP(F474,Monster!B:E,4,FALSE))</f>
        <v>40</v>
      </c>
      <c r="I474" s="1" t="s">
        <v>1682</v>
      </c>
      <c r="J474" s="1">
        <v>1516</v>
      </c>
      <c r="K474" s="1">
        <v>0</v>
      </c>
      <c r="L474" s="1">
        <v>496</v>
      </c>
      <c r="M474" s="1" t="s">
        <v>87</v>
      </c>
      <c r="O474" s="1">
        <f>((NOT(ISNA(VLOOKUP(M474,Monster!$H$2:$I$6,2,FALSE)))*L474)+J474)*(1+K474/100*0.25)</f>
        <v>1516</v>
      </c>
      <c r="P474" s="1" t="s">
        <v>253</v>
      </c>
      <c r="Q474" s="1">
        <v>1</v>
      </c>
      <c r="S474" s="1" t="s">
        <v>1642</v>
      </c>
    </row>
    <row r="475" spans="2:19" ht="12.75" hidden="1" x14ac:dyDescent="0.2">
      <c r="C475" s="1" t="s">
        <v>872</v>
      </c>
      <c r="D475" s="1" t="s">
        <v>596</v>
      </c>
      <c r="E475" s="1" t="s">
        <v>1630</v>
      </c>
      <c r="F475" s="1" t="s">
        <v>288</v>
      </c>
      <c r="G475" s="1">
        <f>IF(ISNA(VLOOKUP(F475,Monster!B:E,4,FALSE)),0,VLOOKUP(F475,Monster!B:E,4,FALSE))</f>
        <v>41</v>
      </c>
      <c r="J475" s="1">
        <v>1567</v>
      </c>
      <c r="K475" s="1">
        <v>-15</v>
      </c>
      <c r="L475" s="1">
        <v>496</v>
      </c>
      <c r="M475" s="1" t="s">
        <v>95</v>
      </c>
      <c r="O475" s="1">
        <f>((NOT(ISNA(VLOOKUP(M475,Monster!$H$2:$I$6,2,FALSE)))*L475)+J475)*(1+K475/100*0.25)</f>
        <v>1508.2375</v>
      </c>
      <c r="P475" s="1" t="s">
        <v>253</v>
      </c>
      <c r="Q475" s="1">
        <v>1</v>
      </c>
    </row>
    <row r="476" spans="2:19" ht="12.75" x14ac:dyDescent="0.2">
      <c r="B476" s="1" t="s">
        <v>1683</v>
      </c>
      <c r="C476" s="1" t="s">
        <v>875</v>
      </c>
      <c r="D476" s="1" t="s">
        <v>596</v>
      </c>
      <c r="E476" s="1" t="s">
        <v>1630</v>
      </c>
      <c r="F476" s="1" t="s">
        <v>293</v>
      </c>
      <c r="G476" s="1">
        <f>IF(ISNA(VLOOKUP(F476,Monster!B:E,4,FALSE)),0,VLOOKUP(F476,Monster!B:E,4,FALSE))</f>
        <v>42</v>
      </c>
      <c r="I476" s="1" t="s">
        <v>1684</v>
      </c>
      <c r="J476" s="1">
        <v>2198</v>
      </c>
      <c r="K476" s="1">
        <v>-40</v>
      </c>
      <c r="L476" s="1">
        <v>0</v>
      </c>
      <c r="M476" s="1" t="s">
        <v>107</v>
      </c>
      <c r="O476" s="1">
        <f>((NOT(ISNA(VLOOKUP(M476,Monster!$H$2:$I$6,2,FALSE)))*L476)+J476)*(1+K476/100*0.25)</f>
        <v>1978.2</v>
      </c>
      <c r="P476" s="1" t="s">
        <v>194</v>
      </c>
      <c r="Q476" s="1">
        <v>1</v>
      </c>
      <c r="S476" s="1" t="s">
        <v>1637</v>
      </c>
    </row>
    <row r="477" spans="2:19" ht="12.75" hidden="1" x14ac:dyDescent="0.2">
      <c r="B477" s="1" t="s">
        <v>1685</v>
      </c>
      <c r="C477" s="1" t="s">
        <v>880</v>
      </c>
      <c r="D477" s="1" t="s">
        <v>596</v>
      </c>
      <c r="E477" s="1" t="s">
        <v>1630</v>
      </c>
      <c r="F477" s="1" t="s">
        <v>298</v>
      </c>
      <c r="G477" s="1">
        <f>IF(ISNA(VLOOKUP(F477,Monster!B:E,4,FALSE)),0,VLOOKUP(F477,Monster!B:E,4,FALSE))</f>
        <v>43</v>
      </c>
      <c r="I477" s="1" t="s">
        <v>1686</v>
      </c>
      <c r="J477" s="1">
        <v>2198</v>
      </c>
      <c r="K477" s="1">
        <v>-10</v>
      </c>
      <c r="L477" s="1">
        <v>0</v>
      </c>
      <c r="M477" s="1" t="s">
        <v>107</v>
      </c>
      <c r="O477" s="1">
        <f>((NOT(ISNA(VLOOKUP(M477,Monster!$H$2:$I$6,2,FALSE)))*L477)+J477)*(1+K477/100*0.25)</f>
        <v>2143.0499999999997</v>
      </c>
      <c r="P477" s="1" t="s">
        <v>28</v>
      </c>
      <c r="Q477" s="1">
        <v>5</v>
      </c>
      <c r="S477" s="1" t="s">
        <v>1637</v>
      </c>
    </row>
    <row r="478" spans="2:19" ht="12.75" hidden="1" x14ac:dyDescent="0.2">
      <c r="B478" s="1"/>
      <c r="C478" s="1" t="s">
        <v>885</v>
      </c>
      <c r="D478" s="1" t="s">
        <v>596</v>
      </c>
      <c r="E478" s="1" t="s">
        <v>1630</v>
      </c>
      <c r="F478" s="1" t="s">
        <v>302</v>
      </c>
      <c r="G478" s="1">
        <f>IF(ISNA(VLOOKUP(F478,Monster!B:E,4,FALSE)),0,VLOOKUP(F478,Monster!B:E,4,FALSE))</f>
        <v>44</v>
      </c>
      <c r="J478" s="1">
        <v>1205</v>
      </c>
      <c r="K478" s="1">
        <v>0</v>
      </c>
      <c r="L478" s="1">
        <v>1305</v>
      </c>
      <c r="M478" s="1" t="s">
        <v>58</v>
      </c>
      <c r="O478" s="1">
        <f>((NOT(ISNA(VLOOKUP(M478,Monster!$H$2:$I$6,2,FALSE)))*L478)+J478)*(1+K478/100*0.25)</f>
        <v>2510</v>
      </c>
      <c r="P478" s="1" t="s">
        <v>400</v>
      </c>
      <c r="Q478" s="1">
        <v>1</v>
      </c>
      <c r="R478" s="1" t="s">
        <v>372</v>
      </c>
    </row>
    <row r="479" spans="2:19" ht="12.75" hidden="1" x14ac:dyDescent="0.2">
      <c r="B479" s="1" t="s">
        <v>1687</v>
      </c>
      <c r="C479" s="1" t="s">
        <v>888</v>
      </c>
      <c r="D479" s="1" t="s">
        <v>596</v>
      </c>
      <c r="E479" s="1" t="s">
        <v>1630</v>
      </c>
      <c r="F479" s="1" t="s">
        <v>305</v>
      </c>
      <c r="G479" s="1">
        <f>IF(ISNA(VLOOKUP(F479,Monster!B:E,4,FALSE)),0,VLOOKUP(F479,Monster!B:E,4,FALSE))</f>
        <v>45</v>
      </c>
      <c r="I479" s="1" t="s">
        <v>1687</v>
      </c>
      <c r="J479" s="1">
        <v>1942</v>
      </c>
      <c r="K479" s="1">
        <v>-30</v>
      </c>
      <c r="L479" s="1">
        <v>297</v>
      </c>
      <c r="M479" s="1" t="s">
        <v>100</v>
      </c>
      <c r="O479" s="1">
        <f>((NOT(ISNA(VLOOKUP(M479,Monster!$H$2:$I$6,2,FALSE)))*L479)+J479)*(1+K479/100*0.25)</f>
        <v>1796.3500000000001</v>
      </c>
      <c r="P479" s="1" t="s">
        <v>46</v>
      </c>
      <c r="Q479" s="1">
        <v>1</v>
      </c>
      <c r="S479" s="1" t="s">
        <v>1637</v>
      </c>
    </row>
    <row r="480" spans="2:19" ht="12.75" hidden="1" x14ac:dyDescent="0.2">
      <c r="C480" s="1" t="s">
        <v>892</v>
      </c>
      <c r="D480" s="1" t="s">
        <v>596</v>
      </c>
      <c r="E480" s="1" t="s">
        <v>1630</v>
      </c>
      <c r="F480" s="1" t="s">
        <v>310</v>
      </c>
      <c r="G480" s="1">
        <f>IF(ISNA(VLOOKUP(F480,Monster!B:E,4,FALSE)),0,VLOOKUP(F480,Monster!B:E,4,FALSE))</f>
        <v>46</v>
      </c>
      <c r="J480" s="1">
        <v>1834</v>
      </c>
      <c r="K480" s="1">
        <v>10</v>
      </c>
      <c r="L480" s="1">
        <v>0</v>
      </c>
      <c r="M480" s="1" t="s">
        <v>107</v>
      </c>
      <c r="O480" s="1">
        <f>((NOT(ISNA(VLOOKUP(M480,Monster!$H$2:$I$6,2,FALSE)))*L480)+J480)*(1+K480/100*0.25)</f>
        <v>1879.85</v>
      </c>
      <c r="P480" s="1" t="s">
        <v>407</v>
      </c>
      <c r="Q480" s="1">
        <v>1</v>
      </c>
    </row>
    <row r="481" spans="2:35" ht="12.75" hidden="1" x14ac:dyDescent="0.2">
      <c r="C481" s="1" t="s">
        <v>896</v>
      </c>
      <c r="D481" s="1" t="s">
        <v>596</v>
      </c>
      <c r="E481" s="1" t="s">
        <v>1630</v>
      </c>
      <c r="F481" s="1" t="s">
        <v>316</v>
      </c>
      <c r="G481" s="1">
        <f>IF(ISNA(VLOOKUP(F481,Monster!B:E,4,FALSE)),0,VLOOKUP(F481,Monster!B:E,4,FALSE))</f>
        <v>47</v>
      </c>
      <c r="J481" s="1">
        <v>1971</v>
      </c>
      <c r="K481" s="1">
        <v>-20</v>
      </c>
      <c r="L481" s="1">
        <v>0</v>
      </c>
      <c r="M481" s="1" t="s">
        <v>107</v>
      </c>
      <c r="O481" s="1">
        <f>((NOT(ISNA(VLOOKUP(M481,Monster!$H$2:$I$6,2,FALSE)))*L481)+J481)*(1+K481/100*0.25)</f>
        <v>1872.4499999999998</v>
      </c>
      <c r="P481" s="1" t="s">
        <v>602</v>
      </c>
      <c r="Q481" s="1">
        <v>2</v>
      </c>
    </row>
    <row r="482" spans="2:35" ht="12.75" x14ac:dyDescent="0.2">
      <c r="B482" s="1" t="s">
        <v>1688</v>
      </c>
      <c r="C482" s="1" t="s">
        <v>900</v>
      </c>
      <c r="D482" s="1" t="s">
        <v>596</v>
      </c>
      <c r="E482" s="1" t="s">
        <v>1630</v>
      </c>
      <c r="F482" s="1" t="s">
        <v>320</v>
      </c>
      <c r="G482" s="1">
        <f>IF(ISNA(VLOOKUP(F482,Monster!B:E,4,FALSE)),0,VLOOKUP(F482,Monster!B:E,4,FALSE))</f>
        <v>48</v>
      </c>
      <c r="I482" s="1" t="s">
        <v>1688</v>
      </c>
      <c r="J482" s="1">
        <v>1318</v>
      </c>
      <c r="K482" s="1">
        <v>-30</v>
      </c>
      <c r="L482" s="1">
        <v>1261</v>
      </c>
      <c r="M482" s="1" t="s">
        <v>41</v>
      </c>
      <c r="O482" s="1">
        <f>((NOT(ISNA(VLOOKUP(M482,Monster!$H$2:$I$6,2,FALSE)))*L482)+J482)*(1+K482/100*0.25)</f>
        <v>2385.5750000000003</v>
      </c>
      <c r="P482" s="1" t="s">
        <v>194</v>
      </c>
      <c r="Q482" s="1">
        <v>1</v>
      </c>
      <c r="S482" s="1" t="s">
        <v>1637</v>
      </c>
    </row>
    <row r="483" spans="2:35" ht="12.75" hidden="1" x14ac:dyDescent="0.2">
      <c r="B483" s="1" t="s">
        <v>1689</v>
      </c>
      <c r="C483" s="1" t="s">
        <v>904</v>
      </c>
      <c r="D483" s="1" t="s">
        <v>596</v>
      </c>
      <c r="E483" s="1" t="s">
        <v>1630</v>
      </c>
      <c r="F483" s="1" t="s">
        <v>328</v>
      </c>
      <c r="G483" s="1">
        <f>IF(ISNA(VLOOKUP(F483,Monster!B:E,4,FALSE)),0,VLOOKUP(F483,Monster!B:E,4,FALSE))</f>
        <v>49</v>
      </c>
      <c r="I483" s="1" t="s">
        <v>1689</v>
      </c>
      <c r="J483" s="1">
        <v>1741</v>
      </c>
      <c r="K483" s="1">
        <v>0</v>
      </c>
      <c r="L483" s="1">
        <v>505</v>
      </c>
      <c r="M483" s="1" t="s">
        <v>79</v>
      </c>
      <c r="O483" s="1">
        <f>((NOT(ISNA(VLOOKUP(M483,Monster!$H$2:$I$6,2,FALSE)))*L483)+J483)*(1+K483/100*0.25)</f>
        <v>1741</v>
      </c>
      <c r="P483" s="1" t="s">
        <v>624</v>
      </c>
      <c r="Q483" s="1">
        <v>2</v>
      </c>
      <c r="S483" s="1" t="s">
        <v>1642</v>
      </c>
    </row>
    <row r="484" spans="2:35" ht="12.75" hidden="1" x14ac:dyDescent="0.2">
      <c r="C484" s="1" t="s">
        <v>908</v>
      </c>
      <c r="D484" s="1" t="s">
        <v>596</v>
      </c>
      <c r="E484" s="1" t="s">
        <v>1630</v>
      </c>
      <c r="F484" s="1" t="s">
        <v>334</v>
      </c>
      <c r="G484" s="1">
        <f>IF(ISNA(VLOOKUP(F484,Monster!B:E,4,FALSE)),0,VLOOKUP(F484,Monster!B:E,4,FALSE))</f>
        <v>50</v>
      </c>
      <c r="J484" s="1">
        <v>1647</v>
      </c>
      <c r="K484" s="1">
        <v>10</v>
      </c>
      <c r="L484" s="1">
        <v>307</v>
      </c>
      <c r="M484" s="1" t="s">
        <v>79</v>
      </c>
      <c r="O484" s="1">
        <f>((NOT(ISNA(VLOOKUP(M484,Monster!$H$2:$I$6,2,FALSE)))*L484)+J484)*(1+K484/100*0.25)</f>
        <v>1688.175</v>
      </c>
      <c r="P484" s="1" t="s">
        <v>412</v>
      </c>
      <c r="Q484" s="1">
        <v>1</v>
      </c>
    </row>
    <row r="485" spans="2:35" ht="12.75" hidden="1" x14ac:dyDescent="0.2">
      <c r="C485" s="1" t="s">
        <v>913</v>
      </c>
      <c r="D485" s="1" t="s">
        <v>596</v>
      </c>
      <c r="E485" s="1" t="s">
        <v>1630</v>
      </c>
      <c r="F485" s="1" t="s">
        <v>339</v>
      </c>
      <c r="G485" s="1">
        <f>IF(ISNA(VLOOKUP(F485,Monster!B:E,4,FALSE)),0,VLOOKUP(F485,Monster!B:E,4,FALSE))</f>
        <v>51</v>
      </c>
      <c r="J485" s="1">
        <v>1764</v>
      </c>
      <c r="K485" s="1">
        <v>0</v>
      </c>
      <c r="L485" s="1">
        <v>0</v>
      </c>
      <c r="M485" s="1" t="s">
        <v>107</v>
      </c>
      <c r="O485" s="1">
        <f>((NOT(ISNA(VLOOKUP(M485,Monster!$H$2:$I$6,2,FALSE)))*L485)+J485)*(1+K485/100*0.25)</f>
        <v>1764</v>
      </c>
      <c r="P485" s="1" t="s">
        <v>560</v>
      </c>
      <c r="Q485" s="1">
        <v>2</v>
      </c>
    </row>
    <row r="486" spans="2:35" ht="12.75" hidden="1" x14ac:dyDescent="0.2">
      <c r="C486" s="1" t="s">
        <v>917</v>
      </c>
      <c r="D486" s="1" t="s">
        <v>596</v>
      </c>
      <c r="E486" s="1" t="s">
        <v>1630</v>
      </c>
      <c r="F486" s="1" t="s">
        <v>343</v>
      </c>
      <c r="G486" s="1">
        <f>IF(ISNA(VLOOKUP(F486,Monster!B:E,4,FALSE)),0,VLOOKUP(F486,Monster!B:E,4,FALSE))</f>
        <v>52</v>
      </c>
      <c r="J486" s="1">
        <v>1293</v>
      </c>
      <c r="K486" s="1">
        <v>0</v>
      </c>
      <c r="L486" s="1">
        <v>910</v>
      </c>
      <c r="M486" s="1" t="s">
        <v>66</v>
      </c>
      <c r="O486" s="1">
        <f>((NOT(ISNA(VLOOKUP(M486,Monster!$H$2:$I$6,2,FALSE)))*L486)+J486)*(1+K486/100*0.25)</f>
        <v>2203</v>
      </c>
      <c r="P486" s="1" t="s">
        <v>648</v>
      </c>
      <c r="Q486" s="1">
        <v>1</v>
      </c>
    </row>
    <row r="487" spans="2:35" ht="12.75" hidden="1" x14ac:dyDescent="0.2">
      <c r="B487" s="1" t="s">
        <v>1690</v>
      </c>
      <c r="C487" s="1" t="s">
        <v>922</v>
      </c>
      <c r="D487" s="1" t="s">
        <v>596</v>
      </c>
      <c r="E487" s="1" t="s">
        <v>1630</v>
      </c>
      <c r="F487" s="1" t="s">
        <v>349</v>
      </c>
      <c r="G487" s="1">
        <f>IF(ISNA(VLOOKUP(F487,Monster!B:E,4,FALSE)),0,VLOOKUP(F487,Monster!B:E,4,FALSE))</f>
        <v>53</v>
      </c>
      <c r="I487" s="1" t="s">
        <v>1690</v>
      </c>
      <c r="J487" s="1">
        <v>1738</v>
      </c>
      <c r="K487" s="1">
        <v>40</v>
      </c>
      <c r="L487" s="1">
        <v>0</v>
      </c>
      <c r="M487" s="1" t="s">
        <v>107</v>
      </c>
      <c r="O487" s="1">
        <f>((NOT(ISNA(VLOOKUP(M487,Monster!$H$2:$I$6,2,FALSE)))*L487)+J487)*(1+K487/100*0.25)</f>
        <v>1911.8000000000002</v>
      </c>
      <c r="P487" s="1" t="s">
        <v>535</v>
      </c>
      <c r="Q487" s="1">
        <v>2</v>
      </c>
      <c r="S487" s="1" t="s">
        <v>1637</v>
      </c>
    </row>
    <row r="488" spans="2:35" ht="12.75" hidden="1" x14ac:dyDescent="0.2">
      <c r="B488" s="1" t="s">
        <v>1691</v>
      </c>
      <c r="C488" s="1" t="s">
        <v>926</v>
      </c>
      <c r="D488" s="1" t="s">
        <v>596</v>
      </c>
      <c r="E488" s="1" t="s">
        <v>1630</v>
      </c>
      <c r="F488" s="1" t="s">
        <v>354</v>
      </c>
      <c r="G488" s="1">
        <f>IF(ISNA(VLOOKUP(F488,Monster!B:E,4,FALSE)),0,VLOOKUP(F488,Monster!B:E,4,FALSE))</f>
        <v>54</v>
      </c>
      <c r="I488" s="1" t="s">
        <v>1691</v>
      </c>
      <c r="J488" s="1">
        <v>1328</v>
      </c>
      <c r="K488" s="1">
        <v>20</v>
      </c>
      <c r="L488" s="1">
        <v>1074</v>
      </c>
      <c r="M488" s="1" t="s">
        <v>50</v>
      </c>
      <c r="O488" s="1">
        <f>((NOT(ISNA(VLOOKUP(M488,Monster!$H$2:$I$6,2,FALSE)))*L488)+J488)*(1+K488/100*0.25)</f>
        <v>2522.1</v>
      </c>
      <c r="P488" s="1" t="s">
        <v>677</v>
      </c>
      <c r="Q488" s="1">
        <v>1</v>
      </c>
      <c r="R488" s="1" t="s">
        <v>372</v>
      </c>
      <c r="S488" s="1" t="s">
        <v>1632</v>
      </c>
    </row>
    <row r="489" spans="2:35" ht="12.75" hidden="1" x14ac:dyDescent="0.2">
      <c r="B489" s="1" t="s">
        <v>1692</v>
      </c>
      <c r="C489" s="1" t="s">
        <v>930</v>
      </c>
      <c r="D489" s="1" t="s">
        <v>596</v>
      </c>
      <c r="E489" s="1" t="s">
        <v>1630</v>
      </c>
      <c r="F489" s="1" t="s">
        <v>360</v>
      </c>
      <c r="G489" s="1">
        <f>IF(ISNA(VLOOKUP(F489,Monster!B:E,4,FALSE)),0,VLOOKUP(F489,Monster!B:E,4,FALSE))</f>
        <v>55</v>
      </c>
      <c r="I489" s="1" t="s">
        <v>1693</v>
      </c>
      <c r="J489" s="1">
        <v>1979</v>
      </c>
      <c r="K489" s="1">
        <v>0</v>
      </c>
      <c r="L489" s="1">
        <v>0</v>
      </c>
      <c r="M489" s="1" t="s">
        <v>107</v>
      </c>
      <c r="O489" s="1">
        <f>((NOT(ISNA(VLOOKUP(M489,Monster!$H$2:$I$6,2,FALSE)))*L489)+J489)*(1+K489/100*0.25)</f>
        <v>1979</v>
      </c>
      <c r="P489" s="1" t="s">
        <v>515</v>
      </c>
      <c r="Q489" s="1">
        <v>1</v>
      </c>
      <c r="S489" s="1" t="s">
        <v>1637</v>
      </c>
    </row>
    <row r="490" spans="2:35" ht="12.75" hidden="1" x14ac:dyDescent="0.2">
      <c r="B490" s="1" t="s">
        <v>1694</v>
      </c>
      <c r="C490" s="1" t="s">
        <v>934</v>
      </c>
      <c r="D490" s="1" t="s">
        <v>596</v>
      </c>
      <c r="E490" s="1" t="s">
        <v>1630</v>
      </c>
      <c r="F490" s="1" t="s">
        <v>365</v>
      </c>
      <c r="G490" s="1">
        <f>IF(ISNA(VLOOKUP(F490,Monster!B:E,4,FALSE)),0,VLOOKUP(F490,Monster!B:E,4,FALSE))</f>
        <v>56</v>
      </c>
      <c r="I490" s="1" t="s">
        <v>1695</v>
      </c>
      <c r="J490" s="1">
        <v>1020</v>
      </c>
      <c r="K490" s="1">
        <v>0</v>
      </c>
      <c r="L490" s="1">
        <v>1173</v>
      </c>
      <c r="M490" s="1" t="s">
        <v>66</v>
      </c>
      <c r="O490" s="1">
        <f>((NOT(ISNA(VLOOKUP(M490,Monster!$H$2:$I$6,2,FALSE)))*L490)+J490)*(1+K490/100*0.25)</f>
        <v>2193</v>
      </c>
      <c r="P490" s="1" t="s">
        <v>659</v>
      </c>
      <c r="Q490" s="1">
        <v>1</v>
      </c>
      <c r="S490" s="1" t="s">
        <v>1642</v>
      </c>
    </row>
    <row r="491" spans="2:35" ht="12.75" hidden="1" x14ac:dyDescent="0.2">
      <c r="B491" s="1" t="s">
        <v>1696</v>
      </c>
      <c r="C491" s="1" t="s">
        <v>939</v>
      </c>
      <c r="D491" s="1" t="s">
        <v>596</v>
      </c>
      <c r="E491" s="1" t="s">
        <v>1630</v>
      </c>
      <c r="F491" s="1" t="s">
        <v>370</v>
      </c>
      <c r="G491" s="1">
        <f>IF(ISNA(VLOOKUP(F491,Monster!B:E,4,FALSE)),0,VLOOKUP(F491,Monster!B:E,4,FALSE))</f>
        <v>57</v>
      </c>
      <c r="I491" s="1" t="s">
        <v>1697</v>
      </c>
      <c r="J491" s="1">
        <v>1756</v>
      </c>
      <c r="K491" s="1">
        <v>20</v>
      </c>
      <c r="L491" s="1">
        <v>282</v>
      </c>
      <c r="M491" s="1" t="s">
        <v>79</v>
      </c>
      <c r="O491" s="1">
        <f>((NOT(ISNA(VLOOKUP(M491,Monster!$H$2:$I$6,2,FALSE)))*L491)+J491)*(1+K491/100*0.25)</f>
        <v>1843.8000000000002</v>
      </c>
      <c r="P491" s="1" t="s">
        <v>615</v>
      </c>
      <c r="Q491" s="1">
        <v>2</v>
      </c>
      <c r="S491" s="1" t="s">
        <v>1637</v>
      </c>
    </row>
    <row r="492" spans="2:35" ht="12.75" hidden="1" x14ac:dyDescent="0.2">
      <c r="B492" s="3" t="s">
        <v>1698</v>
      </c>
      <c r="C492" s="3" t="s">
        <v>943</v>
      </c>
      <c r="D492" s="3" t="s">
        <v>596</v>
      </c>
      <c r="E492" s="1" t="s">
        <v>1630</v>
      </c>
      <c r="F492" s="3" t="s">
        <v>374</v>
      </c>
      <c r="G492" s="4">
        <f>IF(ISNA(VLOOKUP(F492,Monster!B:E,4,FALSE)),0,VLOOKUP(F492,Monster!B:E,4,FALSE))</f>
        <v>58</v>
      </c>
      <c r="H492" s="3"/>
      <c r="I492" s="3" t="s">
        <v>1698</v>
      </c>
      <c r="J492" s="4">
        <v>1205</v>
      </c>
      <c r="K492" s="4">
        <v>0</v>
      </c>
      <c r="L492" s="4">
        <v>1305</v>
      </c>
      <c r="M492" s="3" t="s">
        <v>71</v>
      </c>
      <c r="N492" s="3"/>
      <c r="O492" s="4">
        <f>((NOT(ISNA(VLOOKUP(M492,Monster!$H$2:$I$6,2,FALSE)))*L492)+J492)*(1+K492/100*0.25)</f>
        <v>2510</v>
      </c>
      <c r="P492" s="3" t="s">
        <v>689</v>
      </c>
      <c r="Q492" s="4">
        <v>1</v>
      </c>
      <c r="R492" s="3" t="s">
        <v>372</v>
      </c>
      <c r="S492" s="1" t="s">
        <v>1642</v>
      </c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</row>
    <row r="493" spans="2:35" ht="12.75" hidden="1" x14ac:dyDescent="0.2">
      <c r="B493" s="1" t="s">
        <v>1699</v>
      </c>
      <c r="C493" s="1" t="s">
        <v>949</v>
      </c>
      <c r="D493" s="1" t="s">
        <v>596</v>
      </c>
      <c r="E493" s="1" t="s">
        <v>1630</v>
      </c>
      <c r="F493" s="1"/>
      <c r="G493" s="1">
        <f>IF(ISNA(VLOOKUP(F493,Monster!B:E,4,FALSE)),0,VLOOKUP(F493,Monster!B:E,4,FALSE))</f>
        <v>0</v>
      </c>
      <c r="I493" s="1" t="s">
        <v>1700</v>
      </c>
      <c r="J493" s="1">
        <v>1596</v>
      </c>
      <c r="K493" s="1">
        <v>0</v>
      </c>
      <c r="L493" s="1">
        <v>0</v>
      </c>
      <c r="M493" s="1" t="s">
        <v>107</v>
      </c>
      <c r="O493" s="1">
        <f>((NOT(ISNA(VLOOKUP(M493,Monster!$H$2:$I$6,2,FALSE)))*L493)+J493)*(1+K493/100*0.25)</f>
        <v>1596</v>
      </c>
      <c r="P493" s="1" t="s">
        <v>158</v>
      </c>
      <c r="Q493" s="1">
        <v>1</v>
      </c>
      <c r="S493" s="1" t="s">
        <v>1642</v>
      </c>
    </row>
    <row r="494" spans="2:35" ht="12.75" hidden="1" x14ac:dyDescent="0.2">
      <c r="B494" s="1" t="s">
        <v>1701</v>
      </c>
      <c r="C494" s="1" t="s">
        <v>958</v>
      </c>
      <c r="D494" s="1" t="s">
        <v>596</v>
      </c>
      <c r="E494" s="1" t="s">
        <v>1630</v>
      </c>
      <c r="F494" s="1"/>
      <c r="G494" s="1">
        <f>IF(ISNA(VLOOKUP(F494,Monster!B:E,4,FALSE)),0,VLOOKUP(F494,Monster!B:E,4,FALSE))</f>
        <v>0</v>
      </c>
      <c r="I494" s="1" t="s">
        <v>1702</v>
      </c>
      <c r="J494" s="1">
        <v>1878</v>
      </c>
      <c r="K494" s="1">
        <v>0</v>
      </c>
      <c r="L494" s="1">
        <v>0</v>
      </c>
      <c r="M494" s="1" t="s">
        <v>107</v>
      </c>
      <c r="O494" s="1">
        <f>((NOT(ISNA(VLOOKUP(M494,Monster!$H$2:$I$6,2,FALSE)))*L494)+J494)*(1+K494/100*0.25)</f>
        <v>1878</v>
      </c>
      <c r="P494" s="1" t="s">
        <v>412</v>
      </c>
      <c r="Q494" s="1">
        <v>1</v>
      </c>
      <c r="S494" s="1" t="s">
        <v>1632</v>
      </c>
    </row>
    <row r="495" spans="2:35" ht="12.75" hidden="1" x14ac:dyDescent="0.2">
      <c r="B495" s="1" t="s">
        <v>1703</v>
      </c>
      <c r="C495" s="1" t="s">
        <v>34</v>
      </c>
      <c r="D495" s="1" t="s">
        <v>596</v>
      </c>
      <c r="E495" s="1" t="s">
        <v>1704</v>
      </c>
      <c r="F495" s="1"/>
      <c r="G495" s="1">
        <f>IF(ISNA(VLOOKUP(F495,Monster!B:E,4,FALSE)),0,VLOOKUP(F495,Monster!B:E,4,FALSE))</f>
        <v>0</v>
      </c>
      <c r="I495" s="1" t="s">
        <v>1705</v>
      </c>
      <c r="J495" s="1">
        <v>1596</v>
      </c>
      <c r="K495" s="1">
        <v>0</v>
      </c>
      <c r="L495" s="1">
        <v>0</v>
      </c>
      <c r="M495" s="1" t="s">
        <v>107</v>
      </c>
      <c r="O495" s="1">
        <f>((NOT(ISNA(VLOOKUP(M495,Monster!$H$2:$I$6,2,FALSE)))*L495)+J495)*(1+K495/100*0.25)</f>
        <v>1596</v>
      </c>
      <c r="P495" s="1" t="s">
        <v>410</v>
      </c>
      <c r="Q495" s="1">
        <v>2</v>
      </c>
      <c r="S495" s="1" t="s">
        <v>1706</v>
      </c>
    </row>
    <row r="496" spans="2:35" ht="12.75" hidden="1" x14ac:dyDescent="0.2">
      <c r="B496" s="1" t="s">
        <v>1707</v>
      </c>
      <c r="C496" s="1" t="s">
        <v>324</v>
      </c>
      <c r="D496" s="1" t="s">
        <v>596</v>
      </c>
      <c r="E496" s="1" t="s">
        <v>1704</v>
      </c>
      <c r="F496" s="1" t="s">
        <v>11</v>
      </c>
      <c r="G496" s="1">
        <f>IF(ISNA(VLOOKUP(F496,Monster!B:E,4,FALSE)),0,VLOOKUP(F496,Monster!B:E,4,FALSE))</f>
        <v>1</v>
      </c>
      <c r="I496" s="1" t="s">
        <v>1708</v>
      </c>
      <c r="J496" s="1">
        <v>1373</v>
      </c>
      <c r="K496" s="1">
        <v>0</v>
      </c>
      <c r="L496" s="1">
        <v>607</v>
      </c>
      <c r="M496" s="1" t="s">
        <v>50</v>
      </c>
      <c r="O496" s="1">
        <f>((NOT(ISNA(VLOOKUP(M496,Monster!$H$2:$I$6,2,FALSE)))*L496)+J496)*(1+K496/100*0.25)</f>
        <v>1980</v>
      </c>
      <c r="P496" s="1" t="s">
        <v>348</v>
      </c>
      <c r="Q496" s="1">
        <v>2</v>
      </c>
      <c r="S496" s="1" t="s">
        <v>1709</v>
      </c>
    </row>
    <row r="497" spans="2:19" ht="12.75" hidden="1" x14ac:dyDescent="0.2">
      <c r="C497" s="1" t="s">
        <v>439</v>
      </c>
      <c r="D497" s="1" t="s">
        <v>596</v>
      </c>
      <c r="E497" s="1" t="s">
        <v>1704</v>
      </c>
      <c r="F497" s="1" t="s">
        <v>47</v>
      </c>
      <c r="G497" s="1">
        <f>IF(ISNA(VLOOKUP(F497,Monster!B:E,4,FALSE)),0,VLOOKUP(F497,Monster!B:E,4,FALSE))</f>
        <v>2</v>
      </c>
      <c r="J497" s="1">
        <v>1596</v>
      </c>
      <c r="K497" s="1">
        <v>30</v>
      </c>
      <c r="L497" s="1">
        <v>0</v>
      </c>
      <c r="M497" s="1" t="s">
        <v>107</v>
      </c>
      <c r="O497" s="1">
        <f>((NOT(ISNA(VLOOKUP(M497,Monster!$H$2:$I$6,2,FALSE)))*L497)+J497)*(1+K497/100*0.25)</f>
        <v>1715.6999999999998</v>
      </c>
      <c r="P497" s="1" t="s">
        <v>319</v>
      </c>
      <c r="Q497" s="1">
        <v>2</v>
      </c>
    </row>
    <row r="498" spans="2:19" ht="12.75" hidden="1" x14ac:dyDescent="0.2">
      <c r="B498" s="1" t="s">
        <v>1710</v>
      </c>
      <c r="C498" s="1" t="s">
        <v>541</v>
      </c>
      <c r="D498" s="1" t="s">
        <v>596</v>
      </c>
      <c r="E498" s="1" t="s">
        <v>1704</v>
      </c>
      <c r="F498" s="1" t="s">
        <v>52</v>
      </c>
      <c r="G498" s="1">
        <f>IF(ISNA(VLOOKUP(F498,Monster!B:E,4,FALSE)),0,VLOOKUP(F498,Monster!B:E,4,FALSE))</f>
        <v>3</v>
      </c>
      <c r="I498" s="1" t="s">
        <v>1710</v>
      </c>
      <c r="J498" s="1">
        <v>1596</v>
      </c>
      <c r="K498" s="1">
        <v>0</v>
      </c>
      <c r="L498" s="1">
        <v>400</v>
      </c>
      <c r="M498" s="1" t="s">
        <v>79</v>
      </c>
      <c r="O498" s="1">
        <f>((NOT(ISNA(VLOOKUP(M498,Monster!$H$2:$I$6,2,FALSE)))*L498)+J498)*(1+K498/100*0.25)</f>
        <v>1596</v>
      </c>
      <c r="P498" s="1" t="s">
        <v>590</v>
      </c>
      <c r="Q498" s="1">
        <v>1</v>
      </c>
      <c r="S498" s="1" t="s">
        <v>1711</v>
      </c>
    </row>
    <row r="499" spans="2:19" ht="12.75" hidden="1" x14ac:dyDescent="0.2">
      <c r="B499" s="1" t="s">
        <v>1712</v>
      </c>
      <c r="C499" s="1" t="s">
        <v>617</v>
      </c>
      <c r="D499" s="1" t="s">
        <v>596</v>
      </c>
      <c r="E499" s="1" t="s">
        <v>1704</v>
      </c>
      <c r="F499" s="1" t="s">
        <v>60</v>
      </c>
      <c r="G499" s="1">
        <f>IF(ISNA(VLOOKUP(F499,Monster!B:E,4,FALSE)),0,VLOOKUP(F499,Monster!B:E,4,FALSE))</f>
        <v>4</v>
      </c>
      <c r="I499" s="1" t="s">
        <v>1712</v>
      </c>
      <c r="J499" s="1">
        <v>1221</v>
      </c>
      <c r="K499" s="1">
        <v>0</v>
      </c>
      <c r="L499" s="1">
        <v>1142</v>
      </c>
      <c r="M499" s="1" t="s">
        <v>50</v>
      </c>
      <c r="O499" s="1">
        <f>((NOT(ISNA(VLOOKUP(M499,Monster!$H$2:$I$6,2,FALSE)))*L499)+J499)*(1+K499/100*0.25)</f>
        <v>2363</v>
      </c>
      <c r="P499" s="1" t="s">
        <v>244</v>
      </c>
      <c r="Q499" s="1">
        <v>1</v>
      </c>
      <c r="S499" s="1" t="s">
        <v>1713</v>
      </c>
    </row>
    <row r="500" spans="2:19" ht="12.75" hidden="1" x14ac:dyDescent="0.2">
      <c r="B500" s="1" t="s">
        <v>1714</v>
      </c>
      <c r="C500" s="1" t="s">
        <v>696</v>
      </c>
      <c r="D500" s="1" t="s">
        <v>596</v>
      </c>
      <c r="E500" s="1" t="s">
        <v>1704</v>
      </c>
      <c r="F500" s="1" t="s">
        <v>69</v>
      </c>
      <c r="G500" s="1">
        <f>IF(ISNA(VLOOKUP(F500,Monster!B:E,4,FALSE)),0,VLOOKUP(F500,Monster!B:E,4,FALSE))</f>
        <v>5</v>
      </c>
      <c r="I500" s="1" t="s">
        <v>1715</v>
      </c>
      <c r="J500" s="1">
        <v>1756</v>
      </c>
      <c r="K500" s="1">
        <v>0</v>
      </c>
      <c r="L500" s="1">
        <v>0</v>
      </c>
      <c r="M500" s="1" t="s">
        <v>107</v>
      </c>
      <c r="O500" s="1">
        <f>((NOT(ISNA(VLOOKUP(M500,Monster!$H$2:$I$6,2,FALSE)))*L500)+J500)*(1+K500/100*0.25)</f>
        <v>1756</v>
      </c>
      <c r="P500" s="1" t="s">
        <v>213</v>
      </c>
      <c r="Q500" s="1">
        <v>2</v>
      </c>
      <c r="S500" s="1" t="s">
        <v>1716</v>
      </c>
    </row>
    <row r="501" spans="2:19" ht="12.75" hidden="1" x14ac:dyDescent="0.2">
      <c r="C501" s="1" t="s">
        <v>719</v>
      </c>
      <c r="D501" s="1" t="s">
        <v>596</v>
      </c>
      <c r="E501" s="1" t="s">
        <v>1704</v>
      </c>
      <c r="F501" s="1" t="s">
        <v>75</v>
      </c>
      <c r="G501" s="1">
        <f>IF(ISNA(VLOOKUP(F501,Monster!B:E,4,FALSE)),0,VLOOKUP(F501,Monster!B:E,4,FALSE))</f>
        <v>6</v>
      </c>
      <c r="J501" s="1">
        <v>1596</v>
      </c>
      <c r="K501" s="1">
        <v>0</v>
      </c>
      <c r="L501" s="1">
        <v>400</v>
      </c>
      <c r="M501" s="1" t="s">
        <v>87</v>
      </c>
      <c r="O501" s="1">
        <f>((NOT(ISNA(VLOOKUP(M501,Monster!$H$2:$I$6,2,FALSE)))*L501)+J501)*(1+K501/100*0.25)</f>
        <v>1596</v>
      </c>
      <c r="P501" s="1" t="s">
        <v>590</v>
      </c>
      <c r="Q501" s="1">
        <v>1</v>
      </c>
    </row>
    <row r="502" spans="2:19" ht="12.75" hidden="1" x14ac:dyDescent="0.2">
      <c r="B502" s="1" t="s">
        <v>1717</v>
      </c>
      <c r="C502" s="1" t="s">
        <v>729</v>
      </c>
      <c r="D502" s="1" t="s">
        <v>596</v>
      </c>
      <c r="E502" s="1" t="s">
        <v>1704</v>
      </c>
      <c r="F502" s="1" t="s">
        <v>81</v>
      </c>
      <c r="G502" s="1">
        <f>IF(ISNA(VLOOKUP(F502,Monster!B:E,4,FALSE)),0,VLOOKUP(F502,Monster!B:E,4,FALSE))</f>
        <v>7</v>
      </c>
      <c r="I502" s="1" t="s">
        <v>1718</v>
      </c>
      <c r="J502" s="1">
        <v>1293</v>
      </c>
      <c r="K502" s="1">
        <v>0</v>
      </c>
      <c r="L502" s="1">
        <v>910</v>
      </c>
      <c r="M502" s="1" t="s">
        <v>58</v>
      </c>
      <c r="O502" s="1">
        <f>((NOT(ISNA(VLOOKUP(M502,Monster!$H$2:$I$6,2,FALSE)))*L502)+J502)*(1+K502/100*0.25)</f>
        <v>2203</v>
      </c>
      <c r="P502" s="1" t="s">
        <v>253</v>
      </c>
      <c r="Q502" s="1">
        <v>1</v>
      </c>
      <c r="S502" s="1" t="s">
        <v>1711</v>
      </c>
    </row>
    <row r="503" spans="2:19" ht="12.75" hidden="1" x14ac:dyDescent="0.2">
      <c r="B503" s="1" t="s">
        <v>1719</v>
      </c>
      <c r="C503" s="1" t="s">
        <v>735</v>
      </c>
      <c r="D503" s="1" t="s">
        <v>596</v>
      </c>
      <c r="E503" s="1" t="s">
        <v>1704</v>
      </c>
      <c r="F503" s="1" t="s">
        <v>91</v>
      </c>
      <c r="G503" s="1">
        <f>IF(ISNA(VLOOKUP(F503,Monster!B:E,4,FALSE)),0,VLOOKUP(F503,Monster!B:E,4,FALSE))</f>
        <v>8</v>
      </c>
      <c r="I503" s="1" t="s">
        <v>1720</v>
      </c>
      <c r="J503" s="1">
        <v>1764</v>
      </c>
      <c r="K503" s="1">
        <v>0</v>
      </c>
      <c r="L503" s="1">
        <v>0</v>
      </c>
      <c r="M503" s="1" t="s">
        <v>107</v>
      </c>
      <c r="O503" s="1">
        <f>((NOT(ISNA(VLOOKUP(M503,Monster!$H$2:$I$6,2,FALSE)))*L503)+J503)*(1+K503/100*0.25)</f>
        <v>1764</v>
      </c>
      <c r="P503" s="1" t="s">
        <v>228</v>
      </c>
      <c r="Q503" s="1">
        <v>2</v>
      </c>
      <c r="S503" s="1" t="s">
        <v>1711</v>
      </c>
    </row>
    <row r="504" spans="2:19" ht="12.75" hidden="1" x14ac:dyDescent="0.2">
      <c r="B504" s="1" t="s">
        <v>1721</v>
      </c>
      <c r="C504" s="1" t="s">
        <v>740</v>
      </c>
      <c r="D504" s="1" t="s">
        <v>596</v>
      </c>
      <c r="E504" s="1" t="s">
        <v>1704</v>
      </c>
      <c r="F504" s="1" t="s">
        <v>97</v>
      </c>
      <c r="G504" s="1">
        <f>IF(ISNA(VLOOKUP(F504,Monster!B:E,4,FALSE)),0,VLOOKUP(F504,Monster!B:E,4,FALSE))</f>
        <v>9</v>
      </c>
      <c r="I504" s="1" t="s">
        <v>1721</v>
      </c>
      <c r="J504" s="1">
        <v>1756</v>
      </c>
      <c r="K504" s="1">
        <v>0</v>
      </c>
      <c r="L504" s="1">
        <v>300</v>
      </c>
      <c r="M504" s="1" t="s">
        <v>95</v>
      </c>
      <c r="O504" s="1">
        <f>((NOT(ISNA(VLOOKUP(M504,Monster!$H$2:$I$6,2,FALSE)))*L504)+J504)*(1+K504/100*0.25)</f>
        <v>1756</v>
      </c>
      <c r="P504" s="1" t="s">
        <v>590</v>
      </c>
      <c r="Q504" s="1">
        <v>1</v>
      </c>
      <c r="S504" s="1" t="s">
        <v>1711</v>
      </c>
    </row>
    <row r="505" spans="2:19" ht="12.75" hidden="1" x14ac:dyDescent="0.2">
      <c r="B505" s="1" t="s">
        <v>1722</v>
      </c>
      <c r="C505" s="1" t="s">
        <v>745</v>
      </c>
      <c r="D505" s="1" t="s">
        <v>596</v>
      </c>
      <c r="E505" s="1" t="s">
        <v>1704</v>
      </c>
      <c r="F505" s="1" t="s">
        <v>102</v>
      </c>
      <c r="G505" s="1">
        <f>IF(ISNA(VLOOKUP(F505,Monster!B:E,4,FALSE)),0,VLOOKUP(F505,Monster!B:E,4,FALSE))</f>
        <v>10</v>
      </c>
      <c r="I505" s="1" t="s">
        <v>1723</v>
      </c>
      <c r="J505" s="1">
        <v>1293</v>
      </c>
      <c r="K505" s="1">
        <v>0</v>
      </c>
      <c r="L505" s="1">
        <v>910</v>
      </c>
      <c r="M505" s="1" t="s">
        <v>50</v>
      </c>
      <c r="O505" s="1">
        <f>((NOT(ISNA(VLOOKUP(M505,Monster!$H$2:$I$6,2,FALSE)))*L505)+J505)*(1+K505/100*0.25)</f>
        <v>2203</v>
      </c>
      <c r="P505" s="1" t="s">
        <v>394</v>
      </c>
      <c r="Q505" s="1">
        <v>1</v>
      </c>
      <c r="S505" s="1" t="s">
        <v>1713</v>
      </c>
    </row>
    <row r="506" spans="2:19" ht="12.75" hidden="1" x14ac:dyDescent="0.2">
      <c r="B506" s="1" t="s">
        <v>1724</v>
      </c>
      <c r="C506" s="1" t="s">
        <v>750</v>
      </c>
      <c r="D506" s="1" t="s">
        <v>596</v>
      </c>
      <c r="E506" s="1" t="s">
        <v>1704</v>
      </c>
      <c r="F506" s="1" t="s">
        <v>109</v>
      </c>
      <c r="G506" s="1">
        <f>IF(ISNA(VLOOKUP(F506,Monster!B:E,4,FALSE)),0,VLOOKUP(F506,Monster!B:E,4,FALSE))</f>
        <v>11</v>
      </c>
      <c r="I506" s="1" t="s">
        <v>1725</v>
      </c>
      <c r="J506" s="1">
        <v>1293</v>
      </c>
      <c r="K506" s="1">
        <v>0</v>
      </c>
      <c r="L506" s="1">
        <v>910</v>
      </c>
      <c r="M506" s="1" t="s">
        <v>41</v>
      </c>
      <c r="O506" s="1">
        <f>((NOT(ISNA(VLOOKUP(M506,Monster!$H$2:$I$6,2,FALSE)))*L506)+J506)*(1+K506/100*0.25)</f>
        <v>2203</v>
      </c>
      <c r="P506" s="1" t="s">
        <v>543</v>
      </c>
      <c r="Q506" s="1">
        <v>1</v>
      </c>
      <c r="S506" s="1" t="s">
        <v>1713</v>
      </c>
    </row>
    <row r="507" spans="2:19" ht="12.75" hidden="1" x14ac:dyDescent="0.2">
      <c r="B507" s="1" t="s">
        <v>1726</v>
      </c>
      <c r="C507" s="1" t="s">
        <v>756</v>
      </c>
      <c r="D507" s="1" t="s">
        <v>596</v>
      </c>
      <c r="E507" s="1" t="s">
        <v>1704</v>
      </c>
      <c r="F507" s="1" t="s">
        <v>119</v>
      </c>
      <c r="G507" s="1">
        <f>IF(ISNA(VLOOKUP(F507,Monster!B:E,4,FALSE)),0,VLOOKUP(F507,Monster!B:E,4,FALSE))</f>
        <v>12</v>
      </c>
      <c r="I507" s="1" t="s">
        <v>1727</v>
      </c>
      <c r="J507" s="1">
        <v>1197</v>
      </c>
      <c r="K507" s="1">
        <v>20</v>
      </c>
      <c r="L507" s="1">
        <v>1154</v>
      </c>
      <c r="M507" s="1" t="s">
        <v>58</v>
      </c>
      <c r="O507" s="1">
        <f>((NOT(ISNA(VLOOKUP(M507,Monster!$H$2:$I$6,2,FALSE)))*L507)+J507)*(1+K507/100*0.25)</f>
        <v>2468.5500000000002</v>
      </c>
      <c r="P507" s="1" t="s">
        <v>175</v>
      </c>
      <c r="Q507" s="1">
        <v>1</v>
      </c>
      <c r="S507" s="1" t="s">
        <v>1711</v>
      </c>
    </row>
    <row r="508" spans="2:19" ht="12.75" hidden="1" x14ac:dyDescent="0.2">
      <c r="B508" s="1" t="s">
        <v>1728</v>
      </c>
      <c r="C508" s="1" t="s">
        <v>761</v>
      </c>
      <c r="D508" s="1" t="s">
        <v>596</v>
      </c>
      <c r="E508" s="1" t="s">
        <v>1704</v>
      </c>
      <c r="F508" s="1" t="s">
        <v>125</v>
      </c>
      <c r="G508" s="1">
        <f>IF(ISNA(VLOOKUP(F508,Monster!B:E,4,FALSE)),0,VLOOKUP(F508,Monster!B:E,4,FALSE))</f>
        <v>13</v>
      </c>
      <c r="I508" s="1" t="s">
        <v>1729</v>
      </c>
      <c r="J508" s="1">
        <v>1516</v>
      </c>
      <c r="K508" s="1">
        <v>0</v>
      </c>
      <c r="L508" s="1">
        <v>496</v>
      </c>
      <c r="M508" s="1" t="s">
        <v>79</v>
      </c>
      <c r="O508" s="1">
        <f>((NOT(ISNA(VLOOKUP(M508,Monster!$H$2:$I$6,2,FALSE)))*L508)+J508)*(1+K508/100*0.25)</f>
        <v>1516</v>
      </c>
      <c r="P508" s="1" t="s">
        <v>348</v>
      </c>
      <c r="Q508" s="1">
        <v>2</v>
      </c>
      <c r="S508" s="1" t="s">
        <v>1713</v>
      </c>
    </row>
    <row r="509" spans="2:19" ht="12.75" hidden="1" x14ac:dyDescent="0.2">
      <c r="C509" s="1" t="s">
        <v>766</v>
      </c>
      <c r="D509" s="1" t="s">
        <v>596</v>
      </c>
      <c r="E509" s="1" t="s">
        <v>1704</v>
      </c>
      <c r="F509" s="1" t="s">
        <v>131</v>
      </c>
      <c r="G509" s="1">
        <f>IF(ISNA(VLOOKUP(F509,Monster!B:E,4,FALSE)),0,VLOOKUP(F509,Monster!B:E,4,FALSE))</f>
        <v>14</v>
      </c>
      <c r="J509" s="1">
        <v>1756</v>
      </c>
      <c r="K509" s="1">
        <v>0</v>
      </c>
      <c r="L509" s="1">
        <v>300</v>
      </c>
      <c r="M509" s="1" t="s">
        <v>79</v>
      </c>
      <c r="O509" s="1">
        <f>((NOT(ISNA(VLOOKUP(M509,Monster!$H$2:$I$6,2,FALSE)))*L509)+J509)*(1+K509/100*0.25)</f>
        <v>1756</v>
      </c>
      <c r="P509" s="1" t="s">
        <v>253</v>
      </c>
      <c r="Q509" s="1">
        <v>1</v>
      </c>
    </row>
    <row r="510" spans="2:19" ht="12.75" hidden="1" x14ac:dyDescent="0.2">
      <c r="B510" s="1" t="s">
        <v>1730</v>
      </c>
      <c r="C510" s="1" t="s">
        <v>771</v>
      </c>
      <c r="D510" s="1" t="s">
        <v>596</v>
      </c>
      <c r="E510" s="1" t="s">
        <v>1704</v>
      </c>
      <c r="F510" s="1" t="s">
        <v>137</v>
      </c>
      <c r="G510" s="1">
        <f>IF(ISNA(VLOOKUP(F510,Monster!B:E,4,FALSE)),0,VLOOKUP(F510,Monster!B:E,4,FALSE))</f>
        <v>15</v>
      </c>
      <c r="I510" s="1" t="s">
        <v>1730</v>
      </c>
      <c r="J510" s="1">
        <v>1675</v>
      </c>
      <c r="K510" s="1">
        <v>30</v>
      </c>
      <c r="L510" s="1">
        <v>399</v>
      </c>
      <c r="M510" s="1" t="s">
        <v>79</v>
      </c>
      <c r="O510" s="1">
        <f>((NOT(ISNA(VLOOKUP(M510,Monster!$H$2:$I$6,2,FALSE)))*L510)+J510)*(1+K510/100*0.25)</f>
        <v>1800.625</v>
      </c>
      <c r="P510" s="1" t="s">
        <v>483</v>
      </c>
      <c r="Q510" s="1">
        <v>2</v>
      </c>
      <c r="S510" s="1" t="s">
        <v>1713</v>
      </c>
    </row>
    <row r="511" spans="2:19" ht="12.75" hidden="1" x14ac:dyDescent="0.2">
      <c r="B511" s="1" t="s">
        <v>1731</v>
      </c>
      <c r="C511" s="1" t="s">
        <v>775</v>
      </c>
      <c r="D511" s="1" t="s">
        <v>596</v>
      </c>
      <c r="E511" s="1" t="s">
        <v>1704</v>
      </c>
      <c r="F511" s="1" t="s">
        <v>146</v>
      </c>
      <c r="G511" s="1">
        <f>IF(ISNA(VLOOKUP(F511,Monster!B:E,4,FALSE)),0,VLOOKUP(F511,Monster!B:E,4,FALSE))</f>
        <v>16</v>
      </c>
      <c r="I511" s="1" t="s">
        <v>1732</v>
      </c>
      <c r="J511" s="1">
        <v>1221</v>
      </c>
      <c r="K511" s="1">
        <v>0</v>
      </c>
      <c r="L511" s="1">
        <v>1142</v>
      </c>
      <c r="M511" s="1" t="s">
        <v>66</v>
      </c>
      <c r="O511" s="1">
        <f>((NOT(ISNA(VLOOKUP(M511,Monster!$H$2:$I$6,2,FALSE)))*L511)+J511)*(1+K511/100*0.25)</f>
        <v>2363</v>
      </c>
      <c r="P511" s="1" t="s">
        <v>228</v>
      </c>
      <c r="Q511" s="1">
        <v>2</v>
      </c>
      <c r="S511" s="1" t="s">
        <v>1713</v>
      </c>
    </row>
    <row r="512" spans="2:19" ht="12.75" hidden="1" x14ac:dyDescent="0.2">
      <c r="B512" s="1" t="s">
        <v>1733</v>
      </c>
      <c r="C512" s="1" t="s">
        <v>779</v>
      </c>
      <c r="D512" s="1" t="s">
        <v>596</v>
      </c>
      <c r="E512" s="1" t="s">
        <v>1704</v>
      </c>
      <c r="F512" s="1" t="s">
        <v>151</v>
      </c>
      <c r="G512" s="1">
        <f>IF(ISNA(VLOOKUP(F512,Monster!B:E,4,FALSE)),0,VLOOKUP(F512,Monster!B:E,4,FALSE))</f>
        <v>17</v>
      </c>
      <c r="I512" s="1" t="s">
        <v>1734</v>
      </c>
      <c r="J512" s="1">
        <v>1979</v>
      </c>
      <c r="K512" s="1">
        <v>0</v>
      </c>
      <c r="L512" s="1">
        <v>0</v>
      </c>
      <c r="M512" s="1" t="s">
        <v>107</v>
      </c>
      <c r="O512" s="1">
        <f>((NOT(ISNA(VLOOKUP(M512,Monster!$H$2:$I$6,2,FALSE)))*L512)+J512)*(1+K512/100*0.25)</f>
        <v>1979</v>
      </c>
      <c r="P512" s="1" t="s">
        <v>364</v>
      </c>
      <c r="Q512" s="1">
        <v>1</v>
      </c>
      <c r="S512" s="1" t="s">
        <v>1711</v>
      </c>
    </row>
    <row r="513" spans="2:19" ht="12.75" hidden="1" x14ac:dyDescent="0.2">
      <c r="B513" s="1" t="s">
        <v>1735</v>
      </c>
      <c r="C513" s="1" t="s">
        <v>782</v>
      </c>
      <c r="D513" s="1" t="s">
        <v>596</v>
      </c>
      <c r="E513" s="1" t="s">
        <v>1704</v>
      </c>
      <c r="F513" s="1" t="s">
        <v>155</v>
      </c>
      <c r="G513" s="1">
        <f>IF(ISNA(VLOOKUP(F513,Monster!B:E,4,FALSE)),0,VLOOKUP(F513,Monster!B:E,4,FALSE))</f>
        <v>18</v>
      </c>
      <c r="I513" s="1" t="s">
        <v>1736</v>
      </c>
      <c r="J513" s="1">
        <v>2218</v>
      </c>
      <c r="K513" s="1">
        <v>-30</v>
      </c>
      <c r="L513" s="1">
        <v>0</v>
      </c>
      <c r="M513" s="1" t="s">
        <v>107</v>
      </c>
      <c r="O513" s="1">
        <f>((NOT(ISNA(VLOOKUP(M513,Monster!$H$2:$I$6,2,FALSE)))*L513)+J513)*(1+K513/100*0.25)</f>
        <v>2051.65</v>
      </c>
      <c r="P513" s="1" t="s">
        <v>463</v>
      </c>
      <c r="Q513" s="1">
        <v>1</v>
      </c>
      <c r="S513" s="1" t="s">
        <v>1711</v>
      </c>
    </row>
    <row r="514" spans="2:19" ht="12.75" hidden="1" x14ac:dyDescent="0.2">
      <c r="B514" s="1" t="s">
        <v>1737</v>
      </c>
      <c r="C514" s="1" t="s">
        <v>786</v>
      </c>
      <c r="D514" s="1" t="s">
        <v>596</v>
      </c>
      <c r="E514" s="1" t="s">
        <v>1704</v>
      </c>
      <c r="F514" s="1" t="s">
        <v>160</v>
      </c>
      <c r="G514" s="1">
        <f>IF(ISNA(VLOOKUP(F514,Monster!B:E,4,FALSE)),0,VLOOKUP(F514,Monster!B:E,4,FALSE))</f>
        <v>19</v>
      </c>
      <c r="I514" s="1" t="s">
        <v>1738</v>
      </c>
      <c r="J514" s="1">
        <v>1221</v>
      </c>
      <c r="K514" s="1">
        <v>0</v>
      </c>
      <c r="L514" s="1">
        <v>1142</v>
      </c>
      <c r="M514" s="1" t="s">
        <v>41</v>
      </c>
      <c r="O514" s="1">
        <f>((NOT(ISNA(VLOOKUP(M514,Monster!$H$2:$I$6,2,FALSE)))*L514)+J514)*(1+K514/100*0.25)</f>
        <v>2363</v>
      </c>
      <c r="P514" s="1" t="s">
        <v>244</v>
      </c>
      <c r="Q514" s="1">
        <v>1</v>
      </c>
      <c r="S514" s="1" t="s">
        <v>1711</v>
      </c>
    </row>
    <row r="515" spans="2:19" ht="12.75" hidden="1" x14ac:dyDescent="0.2">
      <c r="B515" s="1" t="s">
        <v>1739</v>
      </c>
      <c r="C515" s="1" t="s">
        <v>790</v>
      </c>
      <c r="D515" s="1" t="s">
        <v>596</v>
      </c>
      <c r="E515" s="1" t="s">
        <v>1704</v>
      </c>
      <c r="F515" s="1" t="s">
        <v>165</v>
      </c>
      <c r="G515" s="1">
        <f>IF(ISNA(VLOOKUP(F515,Monster!B:E,4,FALSE)),0,VLOOKUP(F515,Monster!B:E,4,FALSE))</f>
        <v>20</v>
      </c>
      <c r="I515" s="1" t="s">
        <v>1739</v>
      </c>
      <c r="J515" s="1">
        <v>1682</v>
      </c>
      <c r="K515" s="1">
        <v>0</v>
      </c>
      <c r="L515" s="1">
        <v>605</v>
      </c>
      <c r="M515" s="1" t="s">
        <v>41</v>
      </c>
      <c r="O515" s="1">
        <f>((NOT(ISNA(VLOOKUP(M515,Monster!$H$2:$I$6,2,FALSE)))*L515)+J515)*(1+K515/100*0.25)</f>
        <v>2287</v>
      </c>
      <c r="P515" s="1" t="s">
        <v>602</v>
      </c>
      <c r="Q515" s="1">
        <v>1</v>
      </c>
      <c r="S515" s="1" t="s">
        <v>1711</v>
      </c>
    </row>
    <row r="516" spans="2:19" ht="12.75" hidden="1" x14ac:dyDescent="0.2">
      <c r="B516" s="1" t="s">
        <v>1740</v>
      </c>
      <c r="C516" s="1" t="s">
        <v>794</v>
      </c>
      <c r="D516" s="1" t="s">
        <v>596</v>
      </c>
      <c r="E516" s="1" t="s">
        <v>1704</v>
      </c>
      <c r="F516" s="1" t="s">
        <v>171</v>
      </c>
      <c r="G516" s="1">
        <f>IF(ISNA(VLOOKUP(F516,Monster!B:E,4,FALSE)),0,VLOOKUP(F516,Monster!B:E,4,FALSE))</f>
        <v>21</v>
      </c>
      <c r="I516" s="1" t="s">
        <v>1740</v>
      </c>
      <c r="J516" s="1">
        <v>1258</v>
      </c>
      <c r="K516" s="1">
        <v>30</v>
      </c>
      <c r="L516" s="1">
        <v>1082</v>
      </c>
      <c r="M516" s="1" t="s">
        <v>41</v>
      </c>
      <c r="O516" s="1">
        <f>((NOT(ISNA(VLOOKUP(M516,Monster!$H$2:$I$6,2,FALSE)))*L516)+J516)*(1+K516/100*0.25)</f>
        <v>2515.5</v>
      </c>
      <c r="P516" s="1" t="s">
        <v>175</v>
      </c>
      <c r="Q516" s="1">
        <v>2</v>
      </c>
      <c r="S516" s="1" t="s">
        <v>1713</v>
      </c>
    </row>
    <row r="517" spans="2:19" ht="12.75" hidden="1" x14ac:dyDescent="0.2">
      <c r="C517" s="1" t="s">
        <v>797</v>
      </c>
      <c r="D517" s="1" t="s">
        <v>596</v>
      </c>
      <c r="E517" s="1" t="s">
        <v>1704</v>
      </c>
      <c r="F517" s="1" t="s">
        <v>176</v>
      </c>
      <c r="G517" s="1">
        <f>IF(ISNA(VLOOKUP(F517,Monster!B:E,4,FALSE)),0,VLOOKUP(F517,Monster!B:E,4,FALSE))</f>
        <v>22</v>
      </c>
      <c r="J517" s="1">
        <v>1596</v>
      </c>
      <c r="K517" s="1">
        <v>0</v>
      </c>
      <c r="L517" s="1">
        <v>400</v>
      </c>
      <c r="M517" s="1" t="s">
        <v>95</v>
      </c>
      <c r="O517" s="1">
        <f>((NOT(ISNA(VLOOKUP(M517,Monster!$H$2:$I$6,2,FALSE)))*L517)+J517)*(1+K517/100*0.25)</f>
        <v>1596</v>
      </c>
      <c r="P517" s="1" t="s">
        <v>213</v>
      </c>
      <c r="Q517" s="1">
        <v>2</v>
      </c>
    </row>
    <row r="518" spans="2:19" ht="12.75" hidden="1" x14ac:dyDescent="0.2">
      <c r="B518" s="1" t="s">
        <v>1741</v>
      </c>
      <c r="C518" s="1" t="s">
        <v>800</v>
      </c>
      <c r="D518" s="1" t="s">
        <v>596</v>
      </c>
      <c r="E518" s="1" t="s">
        <v>1704</v>
      </c>
      <c r="F518" s="1" t="s">
        <v>184</v>
      </c>
      <c r="G518" s="1">
        <f>IF(ISNA(VLOOKUP(F518,Monster!B:E,4,FALSE)),0,VLOOKUP(F518,Monster!B:E,4,FALSE))</f>
        <v>23</v>
      </c>
      <c r="I518" s="1" t="s">
        <v>1741</v>
      </c>
      <c r="J518" s="1">
        <v>1764</v>
      </c>
      <c r="K518" s="1">
        <v>0</v>
      </c>
      <c r="L518" s="1">
        <v>0</v>
      </c>
      <c r="M518" s="1" t="s">
        <v>107</v>
      </c>
      <c r="O518" s="1">
        <f>((NOT(ISNA(VLOOKUP(M518,Monster!$H$2:$I$6,2,FALSE)))*L518)+J518)*(1+K518/100*0.25)</f>
        <v>1764</v>
      </c>
      <c r="P518" s="1" t="s">
        <v>306</v>
      </c>
      <c r="Q518" s="1">
        <v>2</v>
      </c>
      <c r="S518" s="1" t="s">
        <v>1711</v>
      </c>
    </row>
    <row r="519" spans="2:19" ht="12.75" hidden="1" x14ac:dyDescent="0.2">
      <c r="B519" s="1" t="s">
        <v>1742</v>
      </c>
      <c r="C519" s="1" t="s">
        <v>803</v>
      </c>
      <c r="D519" s="1" t="s">
        <v>596</v>
      </c>
      <c r="E519" s="1" t="s">
        <v>1704</v>
      </c>
      <c r="F519" s="1" t="s">
        <v>190</v>
      </c>
      <c r="G519" s="1">
        <f>IF(ISNA(VLOOKUP(F519,Monster!B:E,4,FALSE)),0,VLOOKUP(F519,Monster!B:E,4,FALSE))</f>
        <v>24</v>
      </c>
      <c r="I519" s="1" t="s">
        <v>1743</v>
      </c>
      <c r="J519" s="1">
        <v>1191</v>
      </c>
      <c r="K519" s="1">
        <v>20</v>
      </c>
      <c r="L519" s="1">
        <v>910</v>
      </c>
      <c r="M519" s="1" t="s">
        <v>66</v>
      </c>
      <c r="O519" s="1">
        <f>((NOT(ISNA(VLOOKUP(M519,Monster!$H$2:$I$6,2,FALSE)))*L519)+J519)*(1+K519/100*0.25)</f>
        <v>2206.0500000000002</v>
      </c>
      <c r="P519" s="1" t="s">
        <v>253</v>
      </c>
      <c r="Q519" s="1">
        <v>1</v>
      </c>
      <c r="S519" s="1" t="s">
        <v>1711</v>
      </c>
    </row>
    <row r="520" spans="2:19" ht="12.75" hidden="1" x14ac:dyDescent="0.2">
      <c r="B520" s="1" t="s">
        <v>1744</v>
      </c>
      <c r="C520" s="1" t="s">
        <v>807</v>
      </c>
      <c r="D520" s="1" t="s">
        <v>596</v>
      </c>
      <c r="E520" s="1" t="s">
        <v>1704</v>
      </c>
      <c r="F520" s="1" t="s">
        <v>193</v>
      </c>
      <c r="G520" s="1">
        <f>IF(ISNA(VLOOKUP(F520,Monster!B:E,4,FALSE)),0,VLOOKUP(F520,Monster!B:E,4,FALSE))</f>
        <v>25</v>
      </c>
      <c r="I520" s="1" t="s">
        <v>1744</v>
      </c>
      <c r="J520" s="1">
        <v>1221</v>
      </c>
      <c r="K520" s="1">
        <v>0</v>
      </c>
      <c r="L520" s="1">
        <v>1142</v>
      </c>
      <c r="M520" s="1" t="s">
        <v>58</v>
      </c>
      <c r="O520" s="1">
        <f>((NOT(ISNA(VLOOKUP(M520,Monster!$H$2:$I$6,2,FALSE)))*L520)+J520)*(1+K520/100*0.25)</f>
        <v>2363</v>
      </c>
      <c r="P520" s="1" t="s">
        <v>38</v>
      </c>
      <c r="Q520" s="1">
        <v>1</v>
      </c>
      <c r="S520" s="1" t="s">
        <v>1713</v>
      </c>
    </row>
    <row r="521" spans="2:19" ht="12.75" hidden="1" x14ac:dyDescent="0.2">
      <c r="C521" s="1" t="s">
        <v>810</v>
      </c>
      <c r="D521" s="1" t="s">
        <v>596</v>
      </c>
      <c r="E521" s="1" t="s">
        <v>1704</v>
      </c>
      <c r="F521" s="1" t="s">
        <v>197</v>
      </c>
      <c r="G521" s="1">
        <f>IF(ISNA(VLOOKUP(F521,Monster!B:E,4,FALSE)),0,VLOOKUP(F521,Monster!B:E,4,FALSE))</f>
        <v>26</v>
      </c>
      <c r="J521" s="1">
        <v>1588</v>
      </c>
      <c r="K521" s="1">
        <v>0</v>
      </c>
      <c r="L521" s="1">
        <v>632</v>
      </c>
      <c r="M521" s="1" t="s">
        <v>58</v>
      </c>
      <c r="O521" s="1">
        <f>((NOT(ISNA(VLOOKUP(M521,Monster!$H$2:$I$6,2,FALSE)))*L521)+J521)*(1+K521/100*0.25)</f>
        <v>2220</v>
      </c>
      <c r="P521" s="1" t="s">
        <v>412</v>
      </c>
      <c r="Q521" s="1">
        <v>1</v>
      </c>
    </row>
    <row r="522" spans="2:19" ht="12.75" hidden="1" x14ac:dyDescent="0.2">
      <c r="C522" s="1" t="s">
        <v>813</v>
      </c>
      <c r="D522" s="1" t="s">
        <v>596</v>
      </c>
      <c r="E522" s="1" t="s">
        <v>1704</v>
      </c>
      <c r="F522" s="1" t="s">
        <v>205</v>
      </c>
      <c r="G522" s="1">
        <f>IF(ISNA(VLOOKUP(F522,Monster!B:E,4,FALSE)),0,VLOOKUP(F522,Monster!B:E,4,FALSE))</f>
        <v>27</v>
      </c>
      <c r="J522" s="1">
        <v>1719</v>
      </c>
      <c r="K522" s="1">
        <v>20</v>
      </c>
      <c r="L522" s="1">
        <v>0</v>
      </c>
      <c r="M522" s="1" t="s">
        <v>107</v>
      </c>
      <c r="O522" s="1">
        <f>((NOT(ISNA(VLOOKUP(M522,Monster!$H$2:$I$6,2,FALSE)))*L522)+J522)*(1+K522/100*0.25)</f>
        <v>1804.95</v>
      </c>
      <c r="P522" s="1" t="s">
        <v>269</v>
      </c>
      <c r="Q522" s="1">
        <v>1</v>
      </c>
    </row>
    <row r="523" spans="2:19" ht="12.75" hidden="1" x14ac:dyDescent="0.2">
      <c r="C523" s="1" t="s">
        <v>816</v>
      </c>
      <c r="D523" s="1" t="s">
        <v>596</v>
      </c>
      <c r="E523" s="1" t="s">
        <v>1704</v>
      </c>
      <c r="F523" s="1" t="s">
        <v>210</v>
      </c>
      <c r="G523" s="1">
        <f>IF(ISNA(VLOOKUP(F523,Monster!B:E,4,FALSE)),0,VLOOKUP(F523,Monster!B:E,4,FALSE))</f>
        <v>28</v>
      </c>
      <c r="J523" s="1">
        <v>1138</v>
      </c>
      <c r="K523" s="1">
        <v>20</v>
      </c>
      <c r="L523" s="1">
        <v>1156</v>
      </c>
      <c r="M523" s="1" t="s">
        <v>71</v>
      </c>
      <c r="O523" s="1">
        <f>((NOT(ISNA(VLOOKUP(M523,Monster!$H$2:$I$6,2,FALSE)))*L523)+J523)*(1+K523/100*0.25)</f>
        <v>2408.7000000000003</v>
      </c>
      <c r="P523" s="1" t="s">
        <v>166</v>
      </c>
      <c r="Q523" s="1">
        <v>1</v>
      </c>
    </row>
    <row r="524" spans="2:19" ht="12.75" hidden="1" x14ac:dyDescent="0.2">
      <c r="B524" s="1" t="s">
        <v>1745</v>
      </c>
      <c r="C524" s="1" t="s">
        <v>821</v>
      </c>
      <c r="D524" s="1" t="s">
        <v>596</v>
      </c>
      <c r="E524" s="1" t="s">
        <v>1704</v>
      </c>
      <c r="F524" s="1" t="s">
        <v>216</v>
      </c>
      <c r="G524" s="1">
        <f>IF(ISNA(VLOOKUP(F524,Monster!B:E,4,FALSE)),0,VLOOKUP(F524,Monster!B:E,4,FALSE))</f>
        <v>29</v>
      </c>
      <c r="I524" s="1" t="s">
        <v>1746</v>
      </c>
      <c r="J524" s="1">
        <v>1318</v>
      </c>
      <c r="K524" s="1">
        <v>-30</v>
      </c>
      <c r="L524" s="1">
        <v>1261</v>
      </c>
      <c r="M524" s="1" t="s">
        <v>71</v>
      </c>
      <c r="O524" s="1">
        <f>((NOT(ISNA(VLOOKUP(M524,Monster!$H$2:$I$6,2,FALSE)))*L524)+J524)*(1+K524/100*0.25)</f>
        <v>2385.5750000000003</v>
      </c>
      <c r="P524" s="1" t="s">
        <v>583</v>
      </c>
      <c r="Q524" s="1">
        <v>1</v>
      </c>
      <c r="S524" s="1" t="s">
        <v>1711</v>
      </c>
    </row>
    <row r="525" spans="2:19" ht="12.75" hidden="1" x14ac:dyDescent="0.2">
      <c r="C525" s="1" t="s">
        <v>825</v>
      </c>
      <c r="D525" s="1" t="s">
        <v>596</v>
      </c>
      <c r="E525" s="1" t="s">
        <v>1704</v>
      </c>
      <c r="F525" s="1" t="s">
        <v>223</v>
      </c>
      <c r="G525" s="1">
        <f>IF(ISNA(VLOOKUP(F525,Monster!B:E,4,FALSE)),0,VLOOKUP(F525,Monster!B:E,4,FALSE))</f>
        <v>30</v>
      </c>
      <c r="J525" s="1">
        <v>1666</v>
      </c>
      <c r="K525" s="1">
        <v>-15</v>
      </c>
      <c r="L525" s="1">
        <v>527</v>
      </c>
      <c r="M525" s="1" t="s">
        <v>41</v>
      </c>
      <c r="O525" s="1">
        <f>((NOT(ISNA(VLOOKUP(M525,Monster!$H$2:$I$6,2,FALSE)))*L525)+J525)*(1+K525/100*0.25)</f>
        <v>2110.7625000000003</v>
      </c>
      <c r="P525" s="1" t="s">
        <v>364</v>
      </c>
      <c r="Q525" s="1">
        <v>1</v>
      </c>
    </row>
    <row r="526" spans="2:19" ht="12.75" hidden="1" x14ac:dyDescent="0.2">
      <c r="B526" s="1" t="s">
        <v>1747</v>
      </c>
      <c r="C526" s="1" t="s">
        <v>829</v>
      </c>
      <c r="D526" s="1" t="s">
        <v>596</v>
      </c>
      <c r="E526" s="1" t="s">
        <v>1704</v>
      </c>
      <c r="F526" s="1" t="s">
        <v>229</v>
      </c>
      <c r="G526" s="1">
        <f>IF(ISNA(VLOOKUP(F526,Monster!B:E,4,FALSE)),0,VLOOKUP(F526,Monster!B:E,4,FALSE))</f>
        <v>31</v>
      </c>
      <c r="I526" s="1" t="s">
        <v>1748</v>
      </c>
      <c r="J526" s="1">
        <v>1194</v>
      </c>
      <c r="K526" s="1">
        <v>20</v>
      </c>
      <c r="L526" s="1">
        <v>913</v>
      </c>
      <c r="M526" s="1" t="s">
        <v>58</v>
      </c>
      <c r="O526" s="1">
        <f>((NOT(ISNA(VLOOKUP(M526,Monster!$H$2:$I$6,2,FALSE)))*L526)+J526)*(1+K526/100*0.25)</f>
        <v>2212.35</v>
      </c>
      <c r="P526" s="1" t="s">
        <v>470</v>
      </c>
      <c r="Q526" s="1">
        <v>1</v>
      </c>
      <c r="S526" s="1" t="s">
        <v>1713</v>
      </c>
    </row>
    <row r="527" spans="2:19" ht="12.75" hidden="1" x14ac:dyDescent="0.2">
      <c r="B527" s="1" t="s">
        <v>1749</v>
      </c>
      <c r="C527" s="1" t="s">
        <v>834</v>
      </c>
      <c r="D527" s="1" t="s">
        <v>596</v>
      </c>
      <c r="E527" s="1" t="s">
        <v>1704</v>
      </c>
      <c r="F527" s="1" t="s">
        <v>234</v>
      </c>
      <c r="G527" s="1">
        <f>IF(ISNA(VLOOKUP(F527,Monster!B:E,4,FALSE)),0,VLOOKUP(F527,Monster!B:E,4,FALSE))</f>
        <v>32</v>
      </c>
      <c r="I527" s="1" t="s">
        <v>1749</v>
      </c>
      <c r="J527" s="1">
        <v>1553</v>
      </c>
      <c r="K527" s="1">
        <v>0</v>
      </c>
      <c r="L527" s="1">
        <v>974</v>
      </c>
      <c r="M527" s="1" t="s">
        <v>66</v>
      </c>
      <c r="O527" s="1">
        <f>((NOT(ISNA(VLOOKUP(M527,Monster!$H$2:$I$6,2,FALSE)))*L527)+J527)*(1+K527/100*0.25)</f>
        <v>2527</v>
      </c>
      <c r="P527" s="1" t="s">
        <v>528</v>
      </c>
      <c r="Q527" s="1">
        <v>2</v>
      </c>
      <c r="S527" s="1" t="s">
        <v>1711</v>
      </c>
    </row>
    <row r="528" spans="2:19" ht="12.75" hidden="1" x14ac:dyDescent="0.2">
      <c r="B528" s="1" t="s">
        <v>1750</v>
      </c>
      <c r="C528" s="1" t="s">
        <v>839</v>
      </c>
      <c r="D528" s="1" t="s">
        <v>596</v>
      </c>
      <c r="E528" s="1" t="s">
        <v>1704</v>
      </c>
      <c r="F528" s="1" t="s">
        <v>239</v>
      </c>
      <c r="G528" s="1">
        <f>IF(ISNA(VLOOKUP(F528,Monster!B:E,4,FALSE)),0,VLOOKUP(F528,Monster!B:E,4,FALSE))</f>
        <v>33</v>
      </c>
      <c r="I528" s="1" t="s">
        <v>1751</v>
      </c>
      <c r="J528" s="1">
        <v>1138</v>
      </c>
      <c r="K528" s="1">
        <v>20</v>
      </c>
      <c r="L528" s="1">
        <v>1156</v>
      </c>
      <c r="M528" s="1" t="s">
        <v>50</v>
      </c>
      <c r="O528" s="1">
        <f>((NOT(ISNA(VLOOKUP(M528,Monster!$H$2:$I$6,2,FALSE)))*L528)+J528)*(1+K528/100*0.25)</f>
        <v>2408.7000000000003</v>
      </c>
      <c r="P528" s="1" t="s">
        <v>38</v>
      </c>
      <c r="Q528" s="1">
        <v>1</v>
      </c>
      <c r="S528" s="1" t="s">
        <v>1711</v>
      </c>
    </row>
    <row r="529" spans="2:19" ht="12.75" hidden="1" x14ac:dyDescent="0.2">
      <c r="B529" s="1" t="s">
        <v>1752</v>
      </c>
      <c r="C529" s="1" t="s">
        <v>845</v>
      </c>
      <c r="D529" s="1" t="s">
        <v>596</v>
      </c>
      <c r="E529" s="1" t="s">
        <v>1704</v>
      </c>
      <c r="F529" s="1" t="s">
        <v>245</v>
      </c>
      <c r="G529" s="1">
        <f>IF(ISNA(VLOOKUP(F529,Monster!B:E,4,FALSE)),0,VLOOKUP(F529,Monster!B:E,4,FALSE))</f>
        <v>34</v>
      </c>
      <c r="I529" s="1" t="s">
        <v>1752</v>
      </c>
      <c r="J529" s="1">
        <v>1684</v>
      </c>
      <c r="K529" s="1">
        <v>0</v>
      </c>
      <c r="L529" s="1">
        <v>502</v>
      </c>
      <c r="M529" s="1" t="s">
        <v>100</v>
      </c>
      <c r="O529" s="1">
        <f>((NOT(ISNA(VLOOKUP(M529,Monster!$H$2:$I$6,2,FALSE)))*L529)+J529)*(1+K529/100*0.25)</f>
        <v>1684</v>
      </c>
      <c r="P529" s="1" t="s">
        <v>364</v>
      </c>
      <c r="Q529" s="1">
        <v>2</v>
      </c>
      <c r="S529" s="1" t="s">
        <v>1711</v>
      </c>
    </row>
    <row r="530" spans="2:19" ht="12.75" hidden="1" x14ac:dyDescent="0.2">
      <c r="B530" s="1" t="s">
        <v>1753</v>
      </c>
      <c r="C530" s="1" t="s">
        <v>849</v>
      </c>
      <c r="D530" s="1" t="s">
        <v>596</v>
      </c>
      <c r="E530" s="1" t="s">
        <v>1704</v>
      </c>
      <c r="F530" s="1" t="s">
        <v>251</v>
      </c>
      <c r="G530" s="1">
        <f>IF(ISNA(VLOOKUP(F530,Monster!B:E,4,FALSE)),0,VLOOKUP(F530,Monster!B:E,4,FALSE))</f>
        <v>35</v>
      </c>
      <c r="I530" s="1" t="s">
        <v>1754</v>
      </c>
      <c r="J530" s="1">
        <v>1588</v>
      </c>
      <c r="K530" s="1">
        <v>0</v>
      </c>
      <c r="L530" s="1">
        <v>632</v>
      </c>
      <c r="M530" s="1" t="s">
        <v>41</v>
      </c>
      <c r="O530" s="1">
        <f>((NOT(ISNA(VLOOKUP(M530,Monster!$H$2:$I$6,2,FALSE)))*L530)+J530)*(1+K530/100*0.25)</f>
        <v>2220</v>
      </c>
      <c r="P530" s="1" t="s">
        <v>412</v>
      </c>
      <c r="Q530" s="1">
        <v>1</v>
      </c>
      <c r="S530" s="1" t="s">
        <v>1711</v>
      </c>
    </row>
    <row r="531" spans="2:19" ht="12.75" hidden="1" x14ac:dyDescent="0.2">
      <c r="B531" s="1" t="s">
        <v>1755</v>
      </c>
      <c r="C531" s="1" t="s">
        <v>853</v>
      </c>
      <c r="D531" s="1" t="s">
        <v>596</v>
      </c>
      <c r="E531" s="1" t="s">
        <v>1704</v>
      </c>
      <c r="F531" s="1" t="s">
        <v>256</v>
      </c>
      <c r="G531" s="1">
        <f>IF(ISNA(VLOOKUP(F531,Monster!B:E,4,FALSE)),0,VLOOKUP(F531,Monster!B:E,4,FALSE))</f>
        <v>36</v>
      </c>
      <c r="I531" s="1" t="s">
        <v>1756</v>
      </c>
      <c r="J531" s="1">
        <v>1516</v>
      </c>
      <c r="K531" s="1">
        <v>0</v>
      </c>
      <c r="L531" s="1">
        <v>496</v>
      </c>
      <c r="M531" s="1" t="s">
        <v>100</v>
      </c>
      <c r="O531" s="1">
        <f>((NOT(ISNA(VLOOKUP(M531,Monster!$H$2:$I$6,2,FALSE)))*L531)+J531)*(1+K531/100*0.25)</f>
        <v>1516</v>
      </c>
      <c r="P531" s="1" t="s">
        <v>463</v>
      </c>
      <c r="Q531" s="1">
        <v>1</v>
      </c>
      <c r="S531" s="1" t="s">
        <v>1711</v>
      </c>
    </row>
    <row r="532" spans="2:19" ht="12.75" hidden="1" x14ac:dyDescent="0.2">
      <c r="B532" s="1" t="s">
        <v>1757</v>
      </c>
      <c r="C532" s="1" t="s">
        <v>857</v>
      </c>
      <c r="D532" s="1" t="s">
        <v>596</v>
      </c>
      <c r="E532" s="1" t="s">
        <v>1704</v>
      </c>
      <c r="F532" s="1" t="s">
        <v>263</v>
      </c>
      <c r="G532" s="1">
        <f>IF(ISNA(VLOOKUP(F532,Monster!B:E,4,FALSE)),0,VLOOKUP(F532,Monster!B:E,4,FALSE))</f>
        <v>37</v>
      </c>
      <c r="I532" s="1" t="s">
        <v>1758</v>
      </c>
      <c r="J532" s="1">
        <v>1318</v>
      </c>
      <c r="K532" s="1">
        <v>-30</v>
      </c>
      <c r="L532" s="1">
        <v>1261</v>
      </c>
      <c r="M532" s="1" t="s">
        <v>58</v>
      </c>
      <c r="O532" s="1">
        <f>((NOT(ISNA(VLOOKUP(M532,Monster!$H$2:$I$6,2,FALSE)))*L532)+J532)*(1+K532/100*0.25)</f>
        <v>2385.5750000000003</v>
      </c>
      <c r="P532" s="1" t="s">
        <v>463</v>
      </c>
      <c r="Q532" s="1">
        <v>1</v>
      </c>
      <c r="S532" s="1" t="s">
        <v>1711</v>
      </c>
    </row>
    <row r="533" spans="2:19" ht="12.75" hidden="1" x14ac:dyDescent="0.2">
      <c r="B533" s="1" t="s">
        <v>1759</v>
      </c>
      <c r="C533" s="1" t="s">
        <v>863</v>
      </c>
      <c r="D533" s="1" t="s">
        <v>596</v>
      </c>
      <c r="E533" s="1" t="s">
        <v>1704</v>
      </c>
      <c r="F533" s="1" t="s">
        <v>268</v>
      </c>
      <c r="G533" s="1">
        <f>IF(ISNA(VLOOKUP(F533,Monster!B:E,4,FALSE)),0,VLOOKUP(F533,Monster!B:E,4,FALSE))</f>
        <v>38</v>
      </c>
      <c r="I533" s="1" t="s">
        <v>1759</v>
      </c>
      <c r="J533" s="1">
        <v>1553</v>
      </c>
      <c r="K533" s="1">
        <v>0</v>
      </c>
      <c r="L533" s="1">
        <v>974</v>
      </c>
      <c r="M533" s="1" t="s">
        <v>71</v>
      </c>
      <c r="O533" s="1">
        <f>((NOT(ISNA(VLOOKUP(M533,Monster!$H$2:$I$6,2,FALSE)))*L533)+J533)*(1+K533/100*0.25)</f>
        <v>2527</v>
      </c>
      <c r="P533" s="1" t="s">
        <v>463</v>
      </c>
      <c r="Q533" s="1">
        <v>2</v>
      </c>
      <c r="S533" s="1" t="s">
        <v>1711</v>
      </c>
    </row>
    <row r="534" spans="2:19" ht="12.75" hidden="1" x14ac:dyDescent="0.2">
      <c r="B534" s="1" t="s">
        <v>1760</v>
      </c>
      <c r="C534" s="1" t="s">
        <v>866</v>
      </c>
      <c r="D534" s="1" t="s">
        <v>596</v>
      </c>
      <c r="E534" s="1" t="s">
        <v>1704</v>
      </c>
      <c r="F534" s="1" t="s">
        <v>273</v>
      </c>
      <c r="G534" s="1">
        <f>IF(ISNA(VLOOKUP(F534,Monster!B:E,4,FALSE)),0,VLOOKUP(F534,Monster!B:E,4,FALSE))</f>
        <v>39</v>
      </c>
      <c r="I534" s="1" t="s">
        <v>1761</v>
      </c>
      <c r="J534" s="1">
        <v>1588</v>
      </c>
      <c r="K534" s="1">
        <v>0</v>
      </c>
      <c r="L534" s="1">
        <v>632</v>
      </c>
      <c r="M534" s="1" t="s">
        <v>66</v>
      </c>
      <c r="O534" s="1">
        <f>((NOT(ISNA(VLOOKUP(M534,Monster!$H$2:$I$6,2,FALSE)))*L534)+J534)*(1+K534/100*0.25)</f>
        <v>2220</v>
      </c>
      <c r="P534" s="1" t="s">
        <v>412</v>
      </c>
      <c r="Q534" s="1">
        <v>1</v>
      </c>
      <c r="S534" s="1" t="s">
        <v>1713</v>
      </c>
    </row>
    <row r="535" spans="2:19" ht="12.75" hidden="1" x14ac:dyDescent="0.2">
      <c r="B535" s="1" t="s">
        <v>1762</v>
      </c>
      <c r="C535" s="1" t="s">
        <v>869</v>
      </c>
      <c r="D535" s="1" t="s">
        <v>596</v>
      </c>
      <c r="E535" s="1" t="s">
        <v>1704</v>
      </c>
      <c r="F535" s="1" t="s">
        <v>278</v>
      </c>
      <c r="G535" s="1">
        <f>IF(ISNA(VLOOKUP(F535,Monster!B:E,4,FALSE)),0,VLOOKUP(F535,Monster!B:E,4,FALSE))</f>
        <v>40</v>
      </c>
      <c r="I535" s="1" t="s">
        <v>1763</v>
      </c>
      <c r="J535" s="1">
        <v>1516</v>
      </c>
      <c r="K535" s="1">
        <v>0</v>
      </c>
      <c r="L535" s="1">
        <v>496</v>
      </c>
      <c r="M535" s="1" t="s">
        <v>87</v>
      </c>
      <c r="O535" s="1">
        <f>((NOT(ISNA(VLOOKUP(M535,Monster!$H$2:$I$6,2,FALSE)))*L535)+J535)*(1+K535/100*0.25)</f>
        <v>1516</v>
      </c>
      <c r="P535" s="1" t="s">
        <v>253</v>
      </c>
      <c r="Q535" s="1">
        <v>1</v>
      </c>
      <c r="S535" s="1" t="s">
        <v>1713</v>
      </c>
    </row>
    <row r="536" spans="2:19" ht="12.75" hidden="1" x14ac:dyDescent="0.2">
      <c r="C536" s="1" t="s">
        <v>872</v>
      </c>
      <c r="D536" s="1" t="s">
        <v>596</v>
      </c>
      <c r="E536" s="1" t="s">
        <v>1704</v>
      </c>
      <c r="F536" s="1" t="s">
        <v>288</v>
      </c>
      <c r="G536" s="1">
        <f>IF(ISNA(VLOOKUP(F536,Monster!B:E,4,FALSE)),0,VLOOKUP(F536,Monster!B:E,4,FALSE))</f>
        <v>41</v>
      </c>
      <c r="J536" s="1">
        <v>1567</v>
      </c>
      <c r="K536" s="1">
        <v>-15</v>
      </c>
      <c r="L536" s="1">
        <v>496</v>
      </c>
      <c r="M536" s="1" t="s">
        <v>95</v>
      </c>
      <c r="O536" s="1">
        <f>((NOT(ISNA(VLOOKUP(M536,Monster!$H$2:$I$6,2,FALSE)))*L536)+J536)*(1+K536/100*0.25)</f>
        <v>1508.2375</v>
      </c>
      <c r="P536" s="1" t="s">
        <v>253</v>
      </c>
      <c r="Q536" s="1">
        <v>1</v>
      </c>
    </row>
    <row r="537" spans="2:19" ht="12.75" x14ac:dyDescent="0.2">
      <c r="B537" s="1" t="s">
        <v>1764</v>
      </c>
      <c r="C537" s="1" t="s">
        <v>875</v>
      </c>
      <c r="D537" s="1" t="s">
        <v>596</v>
      </c>
      <c r="E537" s="1" t="s">
        <v>1704</v>
      </c>
      <c r="F537" s="1" t="s">
        <v>293</v>
      </c>
      <c r="G537" s="1">
        <f>IF(ISNA(VLOOKUP(F537,Monster!B:E,4,FALSE)),0,VLOOKUP(F537,Monster!B:E,4,FALSE))</f>
        <v>42</v>
      </c>
      <c r="I537" s="1" t="s">
        <v>1764</v>
      </c>
      <c r="J537" s="1">
        <v>2198</v>
      </c>
      <c r="K537" s="1">
        <v>-40</v>
      </c>
      <c r="L537" s="1">
        <v>0</v>
      </c>
      <c r="M537" s="1" t="s">
        <v>107</v>
      </c>
      <c r="O537" s="1">
        <f>((NOT(ISNA(VLOOKUP(M537,Monster!$H$2:$I$6,2,FALSE)))*L537)+J537)*(1+K537/100*0.25)</f>
        <v>1978.2</v>
      </c>
      <c r="P537" s="1" t="s">
        <v>194</v>
      </c>
      <c r="Q537" s="1">
        <v>1</v>
      </c>
      <c r="S537" s="1" t="s">
        <v>1711</v>
      </c>
    </row>
    <row r="538" spans="2:19" ht="12.75" hidden="1" x14ac:dyDescent="0.2">
      <c r="B538" s="1" t="s">
        <v>1765</v>
      </c>
      <c r="C538" s="1" t="s">
        <v>880</v>
      </c>
      <c r="D538" s="1" t="s">
        <v>596</v>
      </c>
      <c r="E538" s="1" t="s">
        <v>1704</v>
      </c>
      <c r="F538" s="1" t="s">
        <v>298</v>
      </c>
      <c r="G538" s="1">
        <f>IF(ISNA(VLOOKUP(F538,Monster!B:E,4,FALSE)),0,VLOOKUP(F538,Monster!B:E,4,FALSE))</f>
        <v>43</v>
      </c>
      <c r="I538" s="1" t="s">
        <v>1765</v>
      </c>
      <c r="J538" s="1">
        <v>2198</v>
      </c>
      <c r="K538" s="1">
        <v>-10</v>
      </c>
      <c r="L538" s="1">
        <v>0</v>
      </c>
      <c r="M538" s="1" t="s">
        <v>107</v>
      </c>
      <c r="O538" s="1">
        <f>((NOT(ISNA(VLOOKUP(M538,Monster!$H$2:$I$6,2,FALSE)))*L538)+J538)*(1+K538/100*0.25)</f>
        <v>2143.0499999999997</v>
      </c>
      <c r="P538" s="1" t="s">
        <v>28</v>
      </c>
      <c r="Q538" s="1">
        <v>5</v>
      </c>
      <c r="S538" s="1" t="s">
        <v>1709</v>
      </c>
    </row>
    <row r="539" spans="2:19" ht="12.75" hidden="1" x14ac:dyDescent="0.2">
      <c r="B539" s="1" t="s">
        <v>1766</v>
      </c>
      <c r="C539" s="1" t="s">
        <v>885</v>
      </c>
      <c r="D539" s="1" t="s">
        <v>596</v>
      </c>
      <c r="E539" s="1" t="s">
        <v>1704</v>
      </c>
      <c r="F539" s="1" t="s">
        <v>302</v>
      </c>
      <c r="G539" s="1">
        <f>IF(ISNA(VLOOKUP(F539,Monster!B:E,4,FALSE)),0,VLOOKUP(F539,Monster!B:E,4,FALSE))</f>
        <v>44</v>
      </c>
      <c r="I539" s="1" t="s">
        <v>1766</v>
      </c>
      <c r="J539" s="1">
        <v>1205</v>
      </c>
      <c r="K539" s="1">
        <v>0</v>
      </c>
      <c r="L539" s="1">
        <v>1305</v>
      </c>
      <c r="M539" s="1" t="s">
        <v>58</v>
      </c>
      <c r="O539" s="1">
        <f>((NOT(ISNA(VLOOKUP(M539,Monster!$H$2:$I$6,2,FALSE)))*L539)+J539)*(1+K539/100*0.25)</f>
        <v>2510</v>
      </c>
      <c r="P539" s="1" t="s">
        <v>400</v>
      </c>
      <c r="Q539" s="1">
        <v>1</v>
      </c>
      <c r="S539" s="1" t="s">
        <v>1713</v>
      </c>
    </row>
    <row r="540" spans="2:19" ht="12.75" x14ac:dyDescent="0.2">
      <c r="B540" s="1" t="s">
        <v>1767</v>
      </c>
      <c r="C540" s="1" t="s">
        <v>888</v>
      </c>
      <c r="D540" s="1" t="s">
        <v>596</v>
      </c>
      <c r="E540" s="1" t="s">
        <v>1704</v>
      </c>
      <c r="F540" s="1" t="s">
        <v>305</v>
      </c>
      <c r="G540" s="1">
        <f>IF(ISNA(VLOOKUP(F540,Monster!B:E,4,FALSE)),0,VLOOKUP(F540,Monster!B:E,4,FALSE))</f>
        <v>45</v>
      </c>
      <c r="I540" s="1" t="s">
        <v>1767</v>
      </c>
      <c r="J540" s="1">
        <v>1942</v>
      </c>
      <c r="K540" s="1">
        <v>-30</v>
      </c>
      <c r="L540" s="1">
        <v>297</v>
      </c>
      <c r="M540" s="1" t="s">
        <v>100</v>
      </c>
      <c r="O540" s="1">
        <f>((NOT(ISNA(VLOOKUP(M540,Monster!$H$2:$I$6,2,FALSE)))*L540)+J540)*(1+K540/100*0.25)</f>
        <v>1796.3500000000001</v>
      </c>
      <c r="P540" s="1" t="s">
        <v>194</v>
      </c>
      <c r="Q540" s="1">
        <v>1</v>
      </c>
      <c r="S540" s="1" t="s">
        <v>1711</v>
      </c>
    </row>
    <row r="541" spans="2:19" ht="12.75" hidden="1" x14ac:dyDescent="0.2">
      <c r="C541" s="1" t="s">
        <v>892</v>
      </c>
      <c r="D541" s="1" t="s">
        <v>596</v>
      </c>
      <c r="E541" s="1" t="s">
        <v>1704</v>
      </c>
      <c r="F541" s="1" t="s">
        <v>310</v>
      </c>
      <c r="G541" s="1">
        <f>IF(ISNA(VLOOKUP(F541,Monster!B:E,4,FALSE)),0,VLOOKUP(F541,Monster!B:E,4,FALSE))</f>
        <v>46</v>
      </c>
      <c r="J541" s="1">
        <v>1834</v>
      </c>
      <c r="K541" s="1">
        <v>10</v>
      </c>
      <c r="L541" s="1">
        <v>0</v>
      </c>
      <c r="M541" s="1" t="s">
        <v>107</v>
      </c>
      <c r="O541" s="1">
        <f>((NOT(ISNA(VLOOKUP(M541,Monster!$H$2:$I$6,2,FALSE)))*L541)+J541)*(1+K541/100*0.25)</f>
        <v>1879.85</v>
      </c>
      <c r="P541" s="1" t="s">
        <v>407</v>
      </c>
      <c r="Q541" s="1">
        <v>1</v>
      </c>
    </row>
    <row r="542" spans="2:19" ht="12.75" hidden="1" x14ac:dyDescent="0.2">
      <c r="B542" s="1" t="s">
        <v>1768</v>
      </c>
      <c r="C542" s="1" t="s">
        <v>896</v>
      </c>
      <c r="D542" s="1" t="s">
        <v>596</v>
      </c>
      <c r="E542" s="1" t="s">
        <v>1704</v>
      </c>
      <c r="F542" s="1" t="s">
        <v>316</v>
      </c>
      <c r="G542" s="1">
        <f>IF(ISNA(VLOOKUP(F542,Monster!B:E,4,FALSE)),0,VLOOKUP(F542,Monster!B:E,4,FALSE))</f>
        <v>47</v>
      </c>
      <c r="I542" s="1" t="s">
        <v>1769</v>
      </c>
      <c r="J542" s="1">
        <v>1971</v>
      </c>
      <c r="K542" s="1">
        <v>-20</v>
      </c>
      <c r="L542" s="1">
        <v>0</v>
      </c>
      <c r="M542" s="1" t="s">
        <v>107</v>
      </c>
      <c r="O542" s="1">
        <f>((NOT(ISNA(VLOOKUP(M542,Monster!$H$2:$I$6,2,FALSE)))*L542)+J542)*(1+K542/100*0.25)</f>
        <v>1872.4499999999998</v>
      </c>
      <c r="P542" s="1" t="s">
        <v>602</v>
      </c>
      <c r="Q542" s="1">
        <v>2</v>
      </c>
      <c r="S542" s="1" t="s">
        <v>1706</v>
      </c>
    </row>
    <row r="543" spans="2:19" ht="12.75" x14ac:dyDescent="0.2">
      <c r="B543" s="1" t="s">
        <v>1770</v>
      </c>
      <c r="C543" s="1" t="s">
        <v>900</v>
      </c>
      <c r="D543" s="1" t="s">
        <v>596</v>
      </c>
      <c r="E543" s="1" t="s">
        <v>1704</v>
      </c>
      <c r="F543" s="1" t="s">
        <v>320</v>
      </c>
      <c r="G543" s="1">
        <f>IF(ISNA(VLOOKUP(F543,Monster!B:E,4,FALSE)),0,VLOOKUP(F543,Monster!B:E,4,FALSE))</f>
        <v>48</v>
      </c>
      <c r="I543" s="1" t="s">
        <v>1770</v>
      </c>
      <c r="J543" s="1">
        <v>1318</v>
      </c>
      <c r="K543" s="1">
        <v>-30</v>
      </c>
      <c r="L543" s="1">
        <v>1261</v>
      </c>
      <c r="M543" s="1" t="s">
        <v>41</v>
      </c>
      <c r="O543" s="1">
        <f>((NOT(ISNA(VLOOKUP(M543,Monster!$H$2:$I$6,2,FALSE)))*L543)+J543)*(1+K543/100*0.25)</f>
        <v>2385.5750000000003</v>
      </c>
      <c r="P543" s="1" t="s">
        <v>194</v>
      </c>
      <c r="Q543" s="1">
        <v>1</v>
      </c>
      <c r="S543" s="1" t="s">
        <v>1711</v>
      </c>
    </row>
    <row r="544" spans="2:19" ht="12.75" hidden="1" x14ac:dyDescent="0.2">
      <c r="B544" s="1" t="s">
        <v>1771</v>
      </c>
      <c r="C544" s="1" t="s">
        <v>904</v>
      </c>
      <c r="D544" s="1" t="s">
        <v>596</v>
      </c>
      <c r="E544" s="1" t="s">
        <v>1704</v>
      </c>
      <c r="F544" s="1" t="s">
        <v>328</v>
      </c>
      <c r="G544" s="1">
        <f>IF(ISNA(VLOOKUP(F544,Monster!B:E,4,FALSE)),0,VLOOKUP(F544,Monster!B:E,4,FALSE))</f>
        <v>49</v>
      </c>
      <c r="I544" s="1" t="s">
        <v>1771</v>
      </c>
      <c r="J544" s="1">
        <v>1741</v>
      </c>
      <c r="K544" s="1">
        <v>0</v>
      </c>
      <c r="L544" s="1">
        <v>505</v>
      </c>
      <c r="M544" s="1" t="s">
        <v>79</v>
      </c>
      <c r="O544" s="1">
        <f>((NOT(ISNA(VLOOKUP(M544,Monster!$H$2:$I$6,2,FALSE)))*L544)+J544)*(1+K544/100*0.25)</f>
        <v>1741</v>
      </c>
      <c r="P544" s="1" t="s">
        <v>624</v>
      </c>
      <c r="Q544" s="1">
        <v>2</v>
      </c>
      <c r="S544" s="1" t="s">
        <v>1711</v>
      </c>
    </row>
    <row r="545" spans="2:35" ht="12.75" hidden="1" x14ac:dyDescent="0.2">
      <c r="C545" s="1" t="s">
        <v>908</v>
      </c>
      <c r="D545" s="1" t="s">
        <v>596</v>
      </c>
      <c r="E545" s="1" t="s">
        <v>1704</v>
      </c>
      <c r="F545" s="1" t="s">
        <v>334</v>
      </c>
      <c r="G545" s="1">
        <f>IF(ISNA(VLOOKUP(F545,Monster!B:E,4,FALSE)),0,VLOOKUP(F545,Monster!B:E,4,FALSE))</f>
        <v>50</v>
      </c>
      <c r="J545" s="1">
        <v>1647</v>
      </c>
      <c r="K545" s="1">
        <v>10</v>
      </c>
      <c r="L545" s="1">
        <v>307</v>
      </c>
      <c r="M545" s="1" t="s">
        <v>79</v>
      </c>
      <c r="O545" s="1">
        <f>((NOT(ISNA(VLOOKUP(M545,Monster!$H$2:$I$6,2,FALSE)))*L545)+J545)*(1+K545/100*0.25)</f>
        <v>1688.175</v>
      </c>
      <c r="P545" s="1" t="s">
        <v>412</v>
      </c>
      <c r="Q545" s="1">
        <v>1</v>
      </c>
    </row>
    <row r="546" spans="2:35" ht="12.75" hidden="1" x14ac:dyDescent="0.2">
      <c r="B546" s="1" t="s">
        <v>1772</v>
      </c>
      <c r="C546" s="1" t="s">
        <v>913</v>
      </c>
      <c r="D546" s="1" t="s">
        <v>596</v>
      </c>
      <c r="E546" s="1" t="s">
        <v>1704</v>
      </c>
      <c r="F546" s="1" t="s">
        <v>339</v>
      </c>
      <c r="G546" s="1">
        <f>IF(ISNA(VLOOKUP(F546,Monster!B:E,4,FALSE)),0,VLOOKUP(F546,Monster!B:E,4,FALSE))</f>
        <v>51</v>
      </c>
      <c r="I546" s="1" t="s">
        <v>1773</v>
      </c>
      <c r="J546" s="1">
        <v>1764</v>
      </c>
      <c r="K546" s="1">
        <v>0</v>
      </c>
      <c r="L546" s="1">
        <v>0</v>
      </c>
      <c r="M546" s="1" t="s">
        <v>107</v>
      </c>
      <c r="O546" s="1">
        <f>((NOT(ISNA(VLOOKUP(M546,Monster!$H$2:$I$6,2,FALSE)))*L546)+J546)*(1+K546/100*0.25)</f>
        <v>1764</v>
      </c>
      <c r="P546" s="1" t="s">
        <v>560</v>
      </c>
      <c r="Q546" s="1">
        <v>2</v>
      </c>
      <c r="S546" s="1" t="s">
        <v>1774</v>
      </c>
    </row>
    <row r="547" spans="2:35" ht="12.75" hidden="1" x14ac:dyDescent="0.2">
      <c r="C547" s="1" t="s">
        <v>917</v>
      </c>
      <c r="D547" s="1" t="s">
        <v>596</v>
      </c>
      <c r="E547" s="1" t="s">
        <v>1704</v>
      </c>
      <c r="F547" s="1" t="s">
        <v>343</v>
      </c>
      <c r="G547" s="1">
        <f>IF(ISNA(VLOOKUP(F547,Monster!B:E,4,FALSE)),0,VLOOKUP(F547,Monster!B:E,4,FALSE))</f>
        <v>52</v>
      </c>
      <c r="J547" s="1">
        <v>1293</v>
      </c>
      <c r="K547" s="1">
        <v>0</v>
      </c>
      <c r="L547" s="1">
        <v>910</v>
      </c>
      <c r="M547" s="1" t="s">
        <v>66</v>
      </c>
      <c r="O547" s="1">
        <f>((NOT(ISNA(VLOOKUP(M547,Monster!$H$2:$I$6,2,FALSE)))*L547)+J547)*(1+K547/100*0.25)</f>
        <v>2203</v>
      </c>
      <c r="P547" s="1" t="s">
        <v>648</v>
      </c>
      <c r="Q547" s="1">
        <v>1</v>
      </c>
    </row>
    <row r="548" spans="2:35" ht="12.75" hidden="1" x14ac:dyDescent="0.2">
      <c r="B548" s="1" t="s">
        <v>1775</v>
      </c>
      <c r="C548" s="1" t="s">
        <v>922</v>
      </c>
      <c r="D548" s="1" t="s">
        <v>596</v>
      </c>
      <c r="E548" s="1" t="s">
        <v>1704</v>
      </c>
      <c r="F548" s="1" t="s">
        <v>349</v>
      </c>
      <c r="G548" s="1">
        <f>IF(ISNA(VLOOKUP(F548,Monster!B:E,4,FALSE)),0,VLOOKUP(F548,Monster!B:E,4,FALSE))</f>
        <v>53</v>
      </c>
      <c r="I548" s="1" t="s">
        <v>1776</v>
      </c>
      <c r="J548" s="1">
        <v>1738</v>
      </c>
      <c r="K548" s="1">
        <v>40</v>
      </c>
      <c r="L548" s="1">
        <v>0</v>
      </c>
      <c r="M548" s="1" t="s">
        <v>107</v>
      </c>
      <c r="O548" s="1">
        <f>((NOT(ISNA(VLOOKUP(M548,Monster!$H$2:$I$6,2,FALSE)))*L548)+J548)*(1+K548/100*0.25)</f>
        <v>1911.8000000000002</v>
      </c>
      <c r="P548" s="1" t="s">
        <v>535</v>
      </c>
      <c r="Q548" s="1">
        <v>2</v>
      </c>
      <c r="S548" s="1" t="s">
        <v>1711</v>
      </c>
    </row>
    <row r="549" spans="2:35" ht="12.75" hidden="1" x14ac:dyDescent="0.2">
      <c r="B549" s="1" t="s">
        <v>1777</v>
      </c>
      <c r="C549" s="1" t="s">
        <v>926</v>
      </c>
      <c r="D549" s="1" t="s">
        <v>596</v>
      </c>
      <c r="E549" s="1" t="s">
        <v>1704</v>
      </c>
      <c r="F549" s="1" t="s">
        <v>354</v>
      </c>
      <c r="G549" s="1">
        <f>IF(ISNA(VLOOKUP(F549,Monster!B:E,4,FALSE)),0,VLOOKUP(F549,Monster!B:E,4,FALSE))</f>
        <v>54</v>
      </c>
      <c r="I549" s="1" t="s">
        <v>1777</v>
      </c>
      <c r="J549" s="1">
        <v>1328</v>
      </c>
      <c r="K549" s="1">
        <v>20</v>
      </c>
      <c r="L549" s="1">
        <v>1074</v>
      </c>
      <c r="M549" s="1" t="s">
        <v>50</v>
      </c>
      <c r="O549" s="1">
        <f>((NOT(ISNA(VLOOKUP(M549,Monster!$H$2:$I$6,2,FALSE)))*L549)+J549)*(1+K549/100*0.25)</f>
        <v>2522.1</v>
      </c>
      <c r="P549" s="1" t="s">
        <v>677</v>
      </c>
      <c r="Q549" s="1">
        <v>1</v>
      </c>
      <c r="S549" s="1" t="s">
        <v>1711</v>
      </c>
    </row>
    <row r="550" spans="2:35" ht="12.75" hidden="1" x14ac:dyDescent="0.2">
      <c r="B550" s="1" t="s">
        <v>1778</v>
      </c>
      <c r="C550" s="1" t="s">
        <v>930</v>
      </c>
      <c r="D550" s="1" t="s">
        <v>596</v>
      </c>
      <c r="E550" s="1" t="s">
        <v>1704</v>
      </c>
      <c r="F550" s="1" t="s">
        <v>360</v>
      </c>
      <c r="G550" s="1">
        <f>IF(ISNA(VLOOKUP(F550,Monster!B:E,4,FALSE)),0,VLOOKUP(F550,Monster!B:E,4,FALSE))</f>
        <v>55</v>
      </c>
      <c r="I550" s="1" t="s">
        <v>1779</v>
      </c>
      <c r="J550" s="1">
        <v>1979</v>
      </c>
      <c r="K550" s="1">
        <v>0</v>
      </c>
      <c r="L550" s="1">
        <v>0</v>
      </c>
      <c r="M550" s="1" t="s">
        <v>107</v>
      </c>
      <c r="O550" s="1">
        <f>((NOT(ISNA(VLOOKUP(M550,Monster!$H$2:$I$6,2,FALSE)))*L550)+J550)*(1+K550/100*0.25)</f>
        <v>1979</v>
      </c>
      <c r="P550" s="1" t="s">
        <v>515</v>
      </c>
      <c r="Q550" s="1">
        <v>1</v>
      </c>
      <c r="S550" s="1" t="s">
        <v>1709</v>
      </c>
    </row>
    <row r="551" spans="2:35" ht="12.75" hidden="1" x14ac:dyDescent="0.2">
      <c r="B551" s="1" t="s">
        <v>1780</v>
      </c>
      <c r="C551" s="1" t="s">
        <v>934</v>
      </c>
      <c r="D551" s="1" t="s">
        <v>596</v>
      </c>
      <c r="E551" s="1" t="s">
        <v>1704</v>
      </c>
      <c r="F551" s="1" t="s">
        <v>365</v>
      </c>
      <c r="G551" s="1">
        <f>IF(ISNA(VLOOKUP(F551,Monster!B:E,4,FALSE)),0,VLOOKUP(F551,Monster!B:E,4,FALSE))</f>
        <v>56</v>
      </c>
      <c r="I551" s="1" t="s">
        <v>1781</v>
      </c>
      <c r="J551" s="1">
        <v>1020</v>
      </c>
      <c r="K551" s="1">
        <v>0</v>
      </c>
      <c r="L551" s="1">
        <v>1173</v>
      </c>
      <c r="M551" s="1" t="s">
        <v>66</v>
      </c>
      <c r="O551" s="1">
        <f>((NOT(ISNA(VLOOKUP(M551,Monster!$H$2:$I$6,2,FALSE)))*L551)+J551)*(1+K551/100*0.25)</f>
        <v>2193</v>
      </c>
      <c r="P551" s="1" t="s">
        <v>659</v>
      </c>
      <c r="Q551" s="1">
        <v>1</v>
      </c>
      <c r="S551" s="1" t="s">
        <v>1711</v>
      </c>
    </row>
    <row r="552" spans="2:35" ht="12.75" hidden="1" x14ac:dyDescent="0.2">
      <c r="B552" s="1" t="s">
        <v>1782</v>
      </c>
      <c r="C552" s="1" t="s">
        <v>939</v>
      </c>
      <c r="D552" s="1" t="s">
        <v>596</v>
      </c>
      <c r="E552" s="1" t="s">
        <v>1704</v>
      </c>
      <c r="F552" s="1" t="s">
        <v>370</v>
      </c>
      <c r="G552" s="1">
        <f>IF(ISNA(VLOOKUP(F552,Monster!B:E,4,FALSE)),0,VLOOKUP(F552,Monster!B:E,4,FALSE))</f>
        <v>57</v>
      </c>
      <c r="I552" s="1" t="s">
        <v>1783</v>
      </c>
      <c r="J552" s="1">
        <v>1197</v>
      </c>
      <c r="K552" s="1">
        <v>20</v>
      </c>
      <c r="L552" s="1">
        <v>1154</v>
      </c>
      <c r="M552" s="1" t="s">
        <v>41</v>
      </c>
      <c r="O552" s="1">
        <f>((NOT(ISNA(VLOOKUP(M552,Monster!$H$2:$I$6,2,FALSE)))*L552)+J552)*(1+K552/100*0.25)</f>
        <v>2468.5500000000002</v>
      </c>
      <c r="P552" s="1" t="s">
        <v>615</v>
      </c>
      <c r="Q552" s="1">
        <v>2</v>
      </c>
      <c r="S552" s="1" t="s">
        <v>1713</v>
      </c>
    </row>
    <row r="553" spans="2:35" ht="12.75" hidden="1" x14ac:dyDescent="0.2">
      <c r="B553" s="3" t="s">
        <v>1784</v>
      </c>
      <c r="C553" s="3" t="s">
        <v>943</v>
      </c>
      <c r="D553" s="3" t="s">
        <v>596</v>
      </c>
      <c r="E553" s="1" t="s">
        <v>1704</v>
      </c>
      <c r="F553" s="3" t="s">
        <v>374</v>
      </c>
      <c r="G553" s="4">
        <f>IF(ISNA(VLOOKUP(F553,Monster!B:E,4,FALSE)),0,VLOOKUP(F553,Monster!B:E,4,FALSE))</f>
        <v>58</v>
      </c>
      <c r="H553" s="3"/>
      <c r="I553" s="3" t="s">
        <v>1784</v>
      </c>
      <c r="J553" s="4">
        <v>1205</v>
      </c>
      <c r="K553" s="4">
        <v>0</v>
      </c>
      <c r="L553" s="4">
        <v>1305</v>
      </c>
      <c r="M553" s="3" t="s">
        <v>71</v>
      </c>
      <c r="N553" s="3"/>
      <c r="O553" s="4">
        <f>((NOT(ISNA(VLOOKUP(M553,Monster!$H$2:$I$6,2,FALSE)))*L553)+J553)*(1+K553/100*0.25)</f>
        <v>2510</v>
      </c>
      <c r="P553" s="3" t="s">
        <v>689</v>
      </c>
      <c r="Q553" s="4">
        <v>1</v>
      </c>
      <c r="R553" s="3" t="s">
        <v>372</v>
      </c>
      <c r="S553" s="1" t="s">
        <v>1711</v>
      </c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</row>
    <row r="554" spans="2:35" ht="12.75" hidden="1" x14ac:dyDescent="0.2">
      <c r="B554" s="1" t="s">
        <v>1785</v>
      </c>
      <c r="C554" s="1" t="s">
        <v>949</v>
      </c>
      <c r="D554" s="1" t="s">
        <v>596</v>
      </c>
      <c r="E554" s="1" t="s">
        <v>1704</v>
      </c>
      <c r="F554" s="1"/>
      <c r="G554" s="1">
        <f>IF(ISNA(VLOOKUP(F554,Monster!B:E,4,FALSE)),0,VLOOKUP(F554,Monster!B:E,4,FALSE))</f>
        <v>0</v>
      </c>
      <c r="I554" s="1" t="s">
        <v>1786</v>
      </c>
      <c r="J554" s="1">
        <v>1596</v>
      </c>
      <c r="K554" s="1">
        <v>0</v>
      </c>
      <c r="L554" s="1">
        <v>0</v>
      </c>
      <c r="M554" s="1" t="s">
        <v>107</v>
      </c>
      <c r="O554" s="1">
        <f>((NOT(ISNA(VLOOKUP(M554,Monster!$H$2:$I$6,2,FALSE)))*L554)+J554)*(1+K554/100*0.25)</f>
        <v>1596</v>
      </c>
      <c r="P554" s="1" t="s">
        <v>158</v>
      </c>
      <c r="Q554" s="1">
        <v>1</v>
      </c>
      <c r="S554" s="1" t="s">
        <v>1711</v>
      </c>
    </row>
    <row r="555" spans="2:35" ht="12.75" hidden="1" x14ac:dyDescent="0.2">
      <c r="B555" s="1" t="s">
        <v>1787</v>
      </c>
      <c r="C555" s="1" t="s">
        <v>958</v>
      </c>
      <c r="D555" s="1" t="s">
        <v>596</v>
      </c>
      <c r="E555" s="1" t="s">
        <v>1704</v>
      </c>
      <c r="F555" s="1"/>
      <c r="G555" s="1">
        <f>IF(ISNA(VLOOKUP(F555,Monster!B:E,4,FALSE)),0,VLOOKUP(F555,Monster!B:E,4,FALSE))</f>
        <v>0</v>
      </c>
      <c r="I555" s="1" t="s">
        <v>1788</v>
      </c>
      <c r="J555" s="1">
        <v>1878</v>
      </c>
      <c r="K555" s="1">
        <v>0</v>
      </c>
      <c r="L555" s="1">
        <v>0</v>
      </c>
      <c r="M555" s="1" t="s">
        <v>107</v>
      </c>
      <c r="O555" s="1">
        <f>((NOT(ISNA(VLOOKUP(M555,Monster!$H$2:$I$6,2,FALSE)))*L555)+J555)*(1+K555/100*0.25)</f>
        <v>1878</v>
      </c>
      <c r="P555" s="1" t="s">
        <v>412</v>
      </c>
      <c r="Q555" s="1">
        <v>1</v>
      </c>
      <c r="S555" s="1" t="s">
        <v>1711</v>
      </c>
    </row>
    <row r="556" spans="2:35" ht="12.75" hidden="1" x14ac:dyDescent="0.2">
      <c r="B556" s="1" t="s">
        <v>1789</v>
      </c>
      <c r="C556" s="1" t="s">
        <v>34</v>
      </c>
      <c r="D556" s="1" t="s">
        <v>596</v>
      </c>
      <c r="E556" s="1" t="s">
        <v>1790</v>
      </c>
      <c r="F556" s="1"/>
      <c r="G556" s="1">
        <f>IF(ISNA(VLOOKUP(F556,Monster!B:E,4,FALSE)),0,VLOOKUP(F556,Monster!B:E,4,FALSE))</f>
        <v>0</v>
      </c>
      <c r="I556" s="1" t="s">
        <v>1791</v>
      </c>
      <c r="J556" s="1">
        <v>1596</v>
      </c>
      <c r="K556" s="1">
        <v>0</v>
      </c>
      <c r="L556" s="1">
        <v>0</v>
      </c>
      <c r="M556" s="1" t="s">
        <v>107</v>
      </c>
      <c r="O556" s="1">
        <f>((NOT(ISNA(VLOOKUP(M556,Monster!$H$2:$I$6,2,FALSE)))*L556)+J556)*(1+K556/100*0.25)</f>
        <v>1596</v>
      </c>
      <c r="P556" s="1" t="s">
        <v>410</v>
      </c>
      <c r="Q556" s="1">
        <v>2</v>
      </c>
      <c r="S556" s="1" t="s">
        <v>1792</v>
      </c>
    </row>
    <row r="557" spans="2:35" ht="12.75" hidden="1" x14ac:dyDescent="0.2">
      <c r="B557" s="1" t="s">
        <v>1793</v>
      </c>
      <c r="C557" s="1" t="s">
        <v>324</v>
      </c>
      <c r="D557" s="1" t="s">
        <v>596</v>
      </c>
      <c r="E557" s="1" t="s">
        <v>1790</v>
      </c>
      <c r="F557" s="1" t="s">
        <v>11</v>
      </c>
      <c r="G557" s="1">
        <f>IF(ISNA(VLOOKUP(F557,Monster!B:E,4,FALSE)),0,VLOOKUP(F557,Monster!B:E,4,FALSE))</f>
        <v>1</v>
      </c>
      <c r="I557" s="1" t="s">
        <v>1794</v>
      </c>
      <c r="J557" s="1">
        <v>1373</v>
      </c>
      <c r="K557" s="1">
        <v>0</v>
      </c>
      <c r="L557" s="1">
        <v>607</v>
      </c>
      <c r="M557" s="1" t="s">
        <v>50</v>
      </c>
      <c r="O557" s="1">
        <f>((NOT(ISNA(VLOOKUP(M557,Monster!$H$2:$I$6,2,FALSE)))*L557)+J557)*(1+K557/100*0.25)</f>
        <v>1980</v>
      </c>
      <c r="P557" s="1" t="s">
        <v>348</v>
      </c>
      <c r="Q557" s="1">
        <v>2</v>
      </c>
      <c r="S557" s="1" t="s">
        <v>1792</v>
      </c>
    </row>
    <row r="558" spans="2:35" ht="12.75" hidden="1" x14ac:dyDescent="0.2">
      <c r="C558" s="1" t="s">
        <v>439</v>
      </c>
      <c r="D558" s="1" t="s">
        <v>596</v>
      </c>
      <c r="E558" s="1" t="s">
        <v>1790</v>
      </c>
      <c r="F558" s="1" t="s">
        <v>47</v>
      </c>
      <c r="G558" s="1">
        <f>IF(ISNA(VLOOKUP(F558,Monster!B:E,4,FALSE)),0,VLOOKUP(F558,Monster!B:E,4,FALSE))</f>
        <v>2</v>
      </c>
      <c r="J558" s="1">
        <v>1596</v>
      </c>
      <c r="K558" s="1">
        <v>30</v>
      </c>
      <c r="L558" s="1">
        <v>0</v>
      </c>
      <c r="M558" s="1" t="s">
        <v>107</v>
      </c>
      <c r="O558" s="1">
        <f>((NOT(ISNA(VLOOKUP(M558,Monster!$H$2:$I$6,2,FALSE)))*L558)+J558)*(1+K558/100*0.25)</f>
        <v>1715.6999999999998</v>
      </c>
      <c r="P558" s="1" t="s">
        <v>319</v>
      </c>
      <c r="Q558" s="1">
        <v>2</v>
      </c>
    </row>
    <row r="559" spans="2:35" ht="12.75" hidden="1" x14ac:dyDescent="0.2">
      <c r="C559" s="1" t="s">
        <v>541</v>
      </c>
      <c r="D559" s="1" t="s">
        <v>596</v>
      </c>
      <c r="E559" s="1" t="s">
        <v>1790</v>
      </c>
      <c r="F559" s="1" t="s">
        <v>52</v>
      </c>
      <c r="G559" s="1">
        <f>IF(ISNA(VLOOKUP(F559,Monster!B:E,4,FALSE)),0,VLOOKUP(F559,Monster!B:E,4,FALSE))</f>
        <v>3</v>
      </c>
      <c r="J559" s="1">
        <v>1596</v>
      </c>
      <c r="K559" s="1">
        <v>0</v>
      </c>
      <c r="L559" s="1">
        <v>400</v>
      </c>
      <c r="M559" s="1" t="s">
        <v>79</v>
      </c>
      <c r="O559" s="1">
        <f>((NOT(ISNA(VLOOKUP(M559,Monster!$H$2:$I$6,2,FALSE)))*L559)+J559)*(1+K559/100*0.25)</f>
        <v>1596</v>
      </c>
      <c r="P559" s="1" t="s">
        <v>590</v>
      </c>
      <c r="Q559" s="1">
        <v>1</v>
      </c>
    </row>
    <row r="560" spans="2:35" ht="12.75" hidden="1" x14ac:dyDescent="0.2">
      <c r="C560" s="1" t="s">
        <v>617</v>
      </c>
      <c r="D560" s="1" t="s">
        <v>596</v>
      </c>
      <c r="E560" s="1" t="s">
        <v>1790</v>
      </c>
      <c r="F560" s="1" t="s">
        <v>60</v>
      </c>
      <c r="G560" s="1">
        <f>IF(ISNA(VLOOKUP(F560,Monster!B:E,4,FALSE)),0,VLOOKUP(F560,Monster!B:E,4,FALSE))</f>
        <v>4</v>
      </c>
      <c r="J560" s="1">
        <v>1221</v>
      </c>
      <c r="K560" s="1">
        <v>0</v>
      </c>
      <c r="L560" s="1">
        <v>1142</v>
      </c>
      <c r="M560" s="1" t="s">
        <v>50</v>
      </c>
      <c r="O560" s="1">
        <f>((NOT(ISNA(VLOOKUP(M560,Monster!$H$2:$I$6,2,FALSE)))*L560)+J560)*(1+K560/100*0.25)</f>
        <v>2363</v>
      </c>
      <c r="P560" s="1" t="s">
        <v>244</v>
      </c>
      <c r="Q560" s="1">
        <v>1</v>
      </c>
    </row>
    <row r="561" spans="2:19" ht="12.75" hidden="1" x14ac:dyDescent="0.2">
      <c r="C561" s="1" t="s">
        <v>696</v>
      </c>
      <c r="D561" s="1" t="s">
        <v>596</v>
      </c>
      <c r="E561" s="1" t="s">
        <v>1790</v>
      </c>
      <c r="F561" s="1" t="s">
        <v>69</v>
      </c>
      <c r="G561" s="1">
        <f>IF(ISNA(VLOOKUP(F561,Monster!B:E,4,FALSE)),0,VLOOKUP(F561,Monster!B:E,4,FALSE))</f>
        <v>5</v>
      </c>
      <c r="J561" s="1">
        <v>1756</v>
      </c>
      <c r="K561" s="1">
        <v>0</v>
      </c>
      <c r="L561" s="1">
        <v>0</v>
      </c>
      <c r="M561" s="1" t="s">
        <v>107</v>
      </c>
      <c r="O561" s="1">
        <f>((NOT(ISNA(VLOOKUP(M561,Monster!$H$2:$I$6,2,FALSE)))*L561)+J561)*(1+K561/100*0.25)</f>
        <v>1756</v>
      </c>
      <c r="P561" s="1" t="s">
        <v>213</v>
      </c>
      <c r="Q561" s="1">
        <v>2</v>
      </c>
    </row>
    <row r="562" spans="2:19" ht="12.75" hidden="1" x14ac:dyDescent="0.2">
      <c r="B562" s="1" t="s">
        <v>1795</v>
      </c>
      <c r="C562" s="1" t="s">
        <v>719</v>
      </c>
      <c r="D562" s="1" t="s">
        <v>596</v>
      </c>
      <c r="E562" s="1" t="s">
        <v>1790</v>
      </c>
      <c r="F562" s="1" t="s">
        <v>75</v>
      </c>
      <c r="G562" s="1">
        <f>IF(ISNA(VLOOKUP(F562,Monster!B:E,4,FALSE)),0,VLOOKUP(F562,Monster!B:E,4,FALSE))</f>
        <v>6</v>
      </c>
      <c r="I562" s="1" t="s">
        <v>1796</v>
      </c>
      <c r="J562" s="1">
        <v>1596</v>
      </c>
      <c r="K562" s="1">
        <v>0</v>
      </c>
      <c r="L562" s="1">
        <v>400</v>
      </c>
      <c r="M562" s="1" t="s">
        <v>87</v>
      </c>
      <c r="O562" s="1">
        <f>((NOT(ISNA(VLOOKUP(M562,Monster!$H$2:$I$6,2,FALSE)))*L562)+J562)*(1+K562/100*0.25)</f>
        <v>1596</v>
      </c>
      <c r="P562" s="1" t="s">
        <v>590</v>
      </c>
      <c r="Q562" s="1">
        <v>1</v>
      </c>
      <c r="S562" s="1" t="s">
        <v>1792</v>
      </c>
    </row>
    <row r="563" spans="2:19" ht="12.75" hidden="1" x14ac:dyDescent="0.2">
      <c r="B563" s="1" t="s">
        <v>1797</v>
      </c>
      <c r="C563" s="1" t="s">
        <v>729</v>
      </c>
      <c r="D563" s="1" t="s">
        <v>596</v>
      </c>
      <c r="E563" s="1" t="s">
        <v>1790</v>
      </c>
      <c r="F563" s="1" t="s">
        <v>81</v>
      </c>
      <c r="G563" s="1">
        <f>IF(ISNA(VLOOKUP(F563,Monster!B:E,4,FALSE)),0,VLOOKUP(F563,Monster!B:E,4,FALSE))</f>
        <v>7</v>
      </c>
      <c r="I563" s="1" t="s">
        <v>1798</v>
      </c>
      <c r="J563" s="1">
        <v>1293</v>
      </c>
      <c r="K563" s="1">
        <v>0</v>
      </c>
      <c r="L563" s="1">
        <v>910</v>
      </c>
      <c r="M563" s="1" t="s">
        <v>58</v>
      </c>
      <c r="O563" s="1">
        <f>((NOT(ISNA(VLOOKUP(M563,Monster!$H$2:$I$6,2,FALSE)))*L563)+J563)*(1+K563/100*0.25)</f>
        <v>2203</v>
      </c>
      <c r="P563" s="1" t="s">
        <v>253</v>
      </c>
      <c r="Q563" s="1">
        <v>1</v>
      </c>
      <c r="S563" s="1" t="s">
        <v>1799</v>
      </c>
    </row>
    <row r="564" spans="2:19" ht="12.75" hidden="1" x14ac:dyDescent="0.2">
      <c r="C564" s="1" t="s">
        <v>735</v>
      </c>
      <c r="D564" s="1" t="s">
        <v>596</v>
      </c>
      <c r="E564" s="1" t="s">
        <v>1790</v>
      </c>
      <c r="F564" s="1" t="s">
        <v>91</v>
      </c>
      <c r="G564" s="1">
        <f>IF(ISNA(VLOOKUP(F564,Monster!B:E,4,FALSE)),0,VLOOKUP(F564,Monster!B:E,4,FALSE))</f>
        <v>8</v>
      </c>
      <c r="J564" s="1">
        <v>1764</v>
      </c>
      <c r="K564" s="1">
        <v>0</v>
      </c>
      <c r="L564" s="1">
        <v>0</v>
      </c>
      <c r="M564" s="1" t="s">
        <v>107</v>
      </c>
      <c r="O564" s="1">
        <f>((NOT(ISNA(VLOOKUP(M564,Monster!$H$2:$I$6,2,FALSE)))*L564)+J564)*(1+K564/100*0.25)</f>
        <v>1764</v>
      </c>
      <c r="P564" s="1" t="s">
        <v>228</v>
      </c>
      <c r="Q564" s="1">
        <v>2</v>
      </c>
    </row>
    <row r="565" spans="2:19" ht="12.75" hidden="1" x14ac:dyDescent="0.2">
      <c r="C565" s="1" t="s">
        <v>740</v>
      </c>
      <c r="D565" s="1" t="s">
        <v>596</v>
      </c>
      <c r="E565" s="1" t="s">
        <v>1790</v>
      </c>
      <c r="F565" s="1" t="s">
        <v>97</v>
      </c>
      <c r="G565" s="1">
        <f>IF(ISNA(VLOOKUP(F565,Monster!B:E,4,FALSE)),0,VLOOKUP(F565,Monster!B:E,4,FALSE))</f>
        <v>9</v>
      </c>
      <c r="J565" s="1">
        <v>1756</v>
      </c>
      <c r="K565" s="1">
        <v>0</v>
      </c>
      <c r="L565" s="1">
        <v>300</v>
      </c>
      <c r="M565" s="1" t="s">
        <v>95</v>
      </c>
      <c r="O565" s="1">
        <f>((NOT(ISNA(VLOOKUP(M565,Monster!$H$2:$I$6,2,FALSE)))*L565)+J565)*(1+K565/100*0.25)</f>
        <v>1756</v>
      </c>
      <c r="P565" s="1" t="s">
        <v>590</v>
      </c>
      <c r="Q565" s="1">
        <v>1</v>
      </c>
    </row>
    <row r="566" spans="2:19" ht="12.75" hidden="1" x14ac:dyDescent="0.2">
      <c r="B566" s="1" t="s">
        <v>1800</v>
      </c>
      <c r="C566" s="1" t="s">
        <v>745</v>
      </c>
      <c r="D566" s="1" t="s">
        <v>596</v>
      </c>
      <c r="E566" s="1" t="s">
        <v>1790</v>
      </c>
      <c r="F566" s="1" t="s">
        <v>102</v>
      </c>
      <c r="G566" s="1">
        <f>IF(ISNA(VLOOKUP(F566,Monster!B:E,4,FALSE)),0,VLOOKUP(F566,Monster!B:E,4,FALSE))</f>
        <v>10</v>
      </c>
      <c r="I566" s="1" t="s">
        <v>1801</v>
      </c>
      <c r="J566" s="1">
        <v>1293</v>
      </c>
      <c r="K566" s="1">
        <v>0</v>
      </c>
      <c r="L566" s="1">
        <v>910</v>
      </c>
      <c r="M566" s="1" t="s">
        <v>50</v>
      </c>
      <c r="O566" s="1">
        <f>((NOT(ISNA(VLOOKUP(M566,Monster!$H$2:$I$6,2,FALSE)))*L566)+J566)*(1+K566/100*0.25)</f>
        <v>2203</v>
      </c>
      <c r="P566" s="1" t="s">
        <v>394</v>
      </c>
      <c r="Q566" s="1">
        <v>1</v>
      </c>
      <c r="S566" s="1" t="s">
        <v>1799</v>
      </c>
    </row>
    <row r="567" spans="2:19" ht="12.75" hidden="1" x14ac:dyDescent="0.2">
      <c r="C567" s="1" t="s">
        <v>750</v>
      </c>
      <c r="D567" s="1" t="s">
        <v>596</v>
      </c>
      <c r="E567" s="1" t="s">
        <v>1790</v>
      </c>
      <c r="F567" s="1" t="s">
        <v>109</v>
      </c>
      <c r="G567" s="1">
        <f>IF(ISNA(VLOOKUP(F567,Monster!B:E,4,FALSE)),0,VLOOKUP(F567,Monster!B:E,4,FALSE))</f>
        <v>11</v>
      </c>
      <c r="J567" s="1">
        <v>1293</v>
      </c>
      <c r="K567" s="1">
        <v>0</v>
      </c>
      <c r="L567" s="1">
        <v>910</v>
      </c>
      <c r="M567" s="1" t="s">
        <v>41</v>
      </c>
      <c r="O567" s="1">
        <f>((NOT(ISNA(VLOOKUP(M567,Monster!$H$2:$I$6,2,FALSE)))*L567)+J567)*(1+K567/100*0.25)</f>
        <v>2203</v>
      </c>
      <c r="P567" s="1" t="s">
        <v>543</v>
      </c>
      <c r="Q567" s="1">
        <v>1</v>
      </c>
    </row>
    <row r="568" spans="2:19" ht="12.75" hidden="1" x14ac:dyDescent="0.2">
      <c r="C568" s="1" t="s">
        <v>756</v>
      </c>
      <c r="D568" s="1" t="s">
        <v>596</v>
      </c>
      <c r="E568" s="1" t="s">
        <v>1790</v>
      </c>
      <c r="F568" s="1" t="s">
        <v>119</v>
      </c>
      <c r="G568" s="1">
        <f>IF(ISNA(VLOOKUP(F568,Monster!B:E,4,FALSE)),0,VLOOKUP(F568,Monster!B:E,4,FALSE))</f>
        <v>12</v>
      </c>
      <c r="J568" s="1">
        <v>1197</v>
      </c>
      <c r="K568" s="1">
        <v>20</v>
      </c>
      <c r="L568" s="1">
        <v>1154</v>
      </c>
      <c r="M568" s="1" t="s">
        <v>58</v>
      </c>
      <c r="O568" s="1">
        <f>((NOT(ISNA(VLOOKUP(M568,Monster!$H$2:$I$6,2,FALSE)))*L568)+J568)*(1+K568/100*0.25)</f>
        <v>2468.5500000000002</v>
      </c>
      <c r="P568" s="1" t="s">
        <v>175</v>
      </c>
      <c r="Q568" s="1">
        <v>1</v>
      </c>
    </row>
    <row r="569" spans="2:19" ht="12.75" hidden="1" x14ac:dyDescent="0.2">
      <c r="B569" s="1" t="s">
        <v>1802</v>
      </c>
      <c r="C569" s="1" t="s">
        <v>761</v>
      </c>
      <c r="D569" s="1" t="s">
        <v>596</v>
      </c>
      <c r="E569" s="1" t="s">
        <v>1790</v>
      </c>
      <c r="F569" s="1" t="s">
        <v>125</v>
      </c>
      <c r="G569" s="1">
        <f>IF(ISNA(VLOOKUP(F569,Monster!B:E,4,FALSE)),0,VLOOKUP(F569,Monster!B:E,4,FALSE))</f>
        <v>13</v>
      </c>
      <c r="I569" s="1" t="s">
        <v>1802</v>
      </c>
      <c r="J569" s="1">
        <v>1516</v>
      </c>
      <c r="K569" s="1">
        <v>0</v>
      </c>
      <c r="L569" s="1">
        <v>496</v>
      </c>
      <c r="M569" s="1" t="s">
        <v>79</v>
      </c>
      <c r="O569" s="1">
        <f>((NOT(ISNA(VLOOKUP(M569,Monster!$H$2:$I$6,2,FALSE)))*L569)+J569)*(1+K569/100*0.25)</f>
        <v>1516</v>
      </c>
      <c r="P569" s="1" t="s">
        <v>348</v>
      </c>
      <c r="Q569" s="1">
        <v>2</v>
      </c>
      <c r="S569" s="1" t="s">
        <v>1792</v>
      </c>
    </row>
    <row r="570" spans="2:19" ht="12.75" hidden="1" x14ac:dyDescent="0.2">
      <c r="B570" s="1" t="s">
        <v>1803</v>
      </c>
      <c r="C570" s="1" t="s">
        <v>766</v>
      </c>
      <c r="D570" s="1" t="s">
        <v>596</v>
      </c>
      <c r="E570" s="1" t="s">
        <v>1790</v>
      </c>
      <c r="F570" s="1" t="s">
        <v>131</v>
      </c>
      <c r="G570" s="1">
        <f>IF(ISNA(VLOOKUP(F570,Monster!B:E,4,FALSE)),0,VLOOKUP(F570,Monster!B:E,4,FALSE))</f>
        <v>14</v>
      </c>
      <c r="I570" s="1" t="s">
        <v>1804</v>
      </c>
      <c r="J570" s="1">
        <v>1756</v>
      </c>
      <c r="K570" s="1">
        <v>0</v>
      </c>
      <c r="L570" s="1">
        <v>300</v>
      </c>
      <c r="M570" s="1" t="s">
        <v>79</v>
      </c>
      <c r="O570" s="1">
        <f>((NOT(ISNA(VLOOKUP(M570,Monster!$H$2:$I$6,2,FALSE)))*L570)+J570)*(1+K570/100*0.25)</f>
        <v>1756</v>
      </c>
      <c r="P570" s="1" t="s">
        <v>253</v>
      </c>
      <c r="Q570" s="1">
        <v>1</v>
      </c>
      <c r="S570" s="1" t="s">
        <v>1792</v>
      </c>
    </row>
    <row r="571" spans="2:19" ht="12.75" hidden="1" x14ac:dyDescent="0.2">
      <c r="B571" s="1" t="s">
        <v>1805</v>
      </c>
      <c r="C571" s="1" t="s">
        <v>771</v>
      </c>
      <c r="D571" s="1" t="s">
        <v>596</v>
      </c>
      <c r="E571" s="1" t="s">
        <v>1790</v>
      </c>
      <c r="F571" s="1" t="s">
        <v>137</v>
      </c>
      <c r="G571" s="1">
        <f>IF(ISNA(VLOOKUP(F571,Monster!B:E,4,FALSE)),0,VLOOKUP(F571,Monster!B:E,4,FALSE))</f>
        <v>15</v>
      </c>
      <c r="I571" s="1" t="s">
        <v>1805</v>
      </c>
      <c r="J571" s="1">
        <v>1675</v>
      </c>
      <c r="K571" s="1">
        <v>30</v>
      </c>
      <c r="L571" s="1">
        <v>399</v>
      </c>
      <c r="M571" s="1" t="s">
        <v>79</v>
      </c>
      <c r="O571" s="1">
        <f>((NOT(ISNA(VLOOKUP(M571,Monster!$H$2:$I$6,2,FALSE)))*L571)+J571)*(1+K571/100*0.25)</f>
        <v>1800.625</v>
      </c>
      <c r="P571" s="1" t="s">
        <v>483</v>
      </c>
      <c r="Q571" s="1">
        <v>2</v>
      </c>
      <c r="S571" s="1" t="s">
        <v>1792</v>
      </c>
    </row>
    <row r="572" spans="2:19" ht="12.75" hidden="1" x14ac:dyDescent="0.2">
      <c r="B572" s="1" t="s">
        <v>1806</v>
      </c>
      <c r="C572" s="1" t="s">
        <v>775</v>
      </c>
      <c r="D572" s="1" t="s">
        <v>596</v>
      </c>
      <c r="E572" s="1" t="s">
        <v>1790</v>
      </c>
      <c r="F572" s="1" t="s">
        <v>146</v>
      </c>
      <c r="G572" s="1">
        <f>IF(ISNA(VLOOKUP(F572,Monster!B:E,4,FALSE)),0,VLOOKUP(F572,Monster!B:E,4,FALSE))</f>
        <v>16</v>
      </c>
      <c r="I572" s="1" t="s">
        <v>1807</v>
      </c>
      <c r="J572" s="1">
        <v>1221</v>
      </c>
      <c r="K572" s="1">
        <v>0</v>
      </c>
      <c r="L572" s="1">
        <v>1142</v>
      </c>
      <c r="M572" s="1" t="s">
        <v>66</v>
      </c>
      <c r="O572" s="1">
        <f>((NOT(ISNA(VLOOKUP(M572,Monster!$H$2:$I$6,2,FALSE)))*L572)+J572)*(1+K572/100*0.25)</f>
        <v>2363</v>
      </c>
      <c r="P572" s="1" t="s">
        <v>228</v>
      </c>
      <c r="Q572" s="1">
        <v>2</v>
      </c>
      <c r="S572" s="1" t="s">
        <v>1799</v>
      </c>
    </row>
    <row r="573" spans="2:19" ht="12.75" hidden="1" x14ac:dyDescent="0.2">
      <c r="B573" s="1" t="s">
        <v>1808</v>
      </c>
      <c r="C573" s="1" t="s">
        <v>779</v>
      </c>
      <c r="D573" s="1" t="s">
        <v>596</v>
      </c>
      <c r="E573" s="1" t="s">
        <v>1790</v>
      </c>
      <c r="F573" s="1" t="s">
        <v>151</v>
      </c>
      <c r="G573" s="1">
        <f>IF(ISNA(VLOOKUP(F573,Monster!B:E,4,FALSE)),0,VLOOKUP(F573,Monster!B:E,4,FALSE))</f>
        <v>17</v>
      </c>
      <c r="I573" s="1" t="s">
        <v>1809</v>
      </c>
      <c r="J573" s="1">
        <v>1979</v>
      </c>
      <c r="K573" s="1">
        <v>0</v>
      </c>
      <c r="L573" s="1">
        <v>0</v>
      </c>
      <c r="M573" s="1" t="s">
        <v>107</v>
      </c>
      <c r="O573" s="1">
        <f>((NOT(ISNA(VLOOKUP(M573,Monster!$H$2:$I$6,2,FALSE)))*L573)+J573)*(1+K573/100*0.25)</f>
        <v>1979</v>
      </c>
      <c r="P573" s="1" t="s">
        <v>364</v>
      </c>
      <c r="Q573" s="1">
        <v>1</v>
      </c>
      <c r="S573" s="1" t="s">
        <v>1792</v>
      </c>
    </row>
    <row r="574" spans="2:19" ht="12.75" hidden="1" x14ac:dyDescent="0.2">
      <c r="B574" s="1" t="s">
        <v>1810</v>
      </c>
      <c r="C574" s="1" t="s">
        <v>782</v>
      </c>
      <c r="D574" s="1" t="s">
        <v>596</v>
      </c>
      <c r="E574" s="1" t="s">
        <v>1790</v>
      </c>
      <c r="F574" s="1" t="s">
        <v>155</v>
      </c>
      <c r="G574" s="1">
        <f>IF(ISNA(VLOOKUP(F574,Monster!B:E,4,FALSE)),0,VLOOKUP(F574,Monster!B:E,4,FALSE))</f>
        <v>18</v>
      </c>
      <c r="I574" s="1" t="s">
        <v>1810</v>
      </c>
      <c r="J574" s="1">
        <v>2218</v>
      </c>
      <c r="K574" s="1">
        <v>-30</v>
      </c>
      <c r="L574" s="1">
        <v>0</v>
      </c>
      <c r="M574" s="1" t="s">
        <v>107</v>
      </c>
      <c r="O574" s="1">
        <f>((NOT(ISNA(VLOOKUP(M574,Monster!$H$2:$I$6,2,FALSE)))*L574)+J574)*(1+K574/100*0.25)</f>
        <v>2051.65</v>
      </c>
      <c r="P574" s="1" t="s">
        <v>463</v>
      </c>
      <c r="Q574" s="1">
        <v>1</v>
      </c>
      <c r="S574" s="1" t="s">
        <v>1792</v>
      </c>
    </row>
    <row r="575" spans="2:19" ht="12.75" hidden="1" x14ac:dyDescent="0.2">
      <c r="B575" s="1" t="s">
        <v>1811</v>
      </c>
      <c r="C575" s="1" t="s">
        <v>786</v>
      </c>
      <c r="D575" s="1" t="s">
        <v>596</v>
      </c>
      <c r="E575" s="1" t="s">
        <v>1790</v>
      </c>
      <c r="F575" s="1" t="s">
        <v>160</v>
      </c>
      <c r="G575" s="1">
        <f>IF(ISNA(VLOOKUP(F575,Monster!B:E,4,FALSE)),0,VLOOKUP(F575,Monster!B:E,4,FALSE))</f>
        <v>19</v>
      </c>
      <c r="I575" s="1" t="s">
        <v>1812</v>
      </c>
      <c r="J575" s="1">
        <v>1221</v>
      </c>
      <c r="K575" s="1">
        <v>0</v>
      </c>
      <c r="L575" s="1">
        <v>1142</v>
      </c>
      <c r="M575" s="1" t="s">
        <v>41</v>
      </c>
      <c r="O575" s="1">
        <f>((NOT(ISNA(VLOOKUP(M575,Monster!$H$2:$I$6,2,FALSE)))*L575)+J575)*(1+K575/100*0.25)</f>
        <v>2363</v>
      </c>
      <c r="P575" s="1" t="s">
        <v>244</v>
      </c>
      <c r="Q575" s="1">
        <v>1</v>
      </c>
      <c r="S575" s="1" t="s">
        <v>1799</v>
      </c>
    </row>
    <row r="576" spans="2:19" ht="12.75" hidden="1" x14ac:dyDescent="0.2">
      <c r="B576" s="1" t="s">
        <v>1813</v>
      </c>
      <c r="C576" s="1" t="s">
        <v>790</v>
      </c>
      <c r="D576" s="1" t="s">
        <v>596</v>
      </c>
      <c r="E576" s="1" t="s">
        <v>1790</v>
      </c>
      <c r="F576" s="1" t="s">
        <v>165</v>
      </c>
      <c r="G576" s="1">
        <f>IF(ISNA(VLOOKUP(F576,Monster!B:E,4,FALSE)),0,VLOOKUP(F576,Monster!B:E,4,FALSE))</f>
        <v>20</v>
      </c>
      <c r="I576" s="1" t="s">
        <v>1813</v>
      </c>
      <c r="J576" s="1">
        <v>1682</v>
      </c>
      <c r="K576" s="1">
        <v>0</v>
      </c>
      <c r="L576" s="1">
        <v>605</v>
      </c>
      <c r="M576" s="1" t="s">
        <v>41</v>
      </c>
      <c r="O576" s="1">
        <f>((NOT(ISNA(VLOOKUP(M576,Monster!$H$2:$I$6,2,FALSE)))*L576)+J576)*(1+K576/100*0.25)</f>
        <v>2287</v>
      </c>
      <c r="P576" s="1" t="s">
        <v>602</v>
      </c>
      <c r="Q576" s="1">
        <v>1</v>
      </c>
      <c r="S576" s="1" t="s">
        <v>1799</v>
      </c>
    </row>
    <row r="577" spans="2:19" ht="12.75" hidden="1" x14ac:dyDescent="0.2">
      <c r="B577" s="1" t="s">
        <v>1814</v>
      </c>
      <c r="C577" s="1" t="s">
        <v>794</v>
      </c>
      <c r="D577" s="1" t="s">
        <v>596</v>
      </c>
      <c r="E577" s="1" t="s">
        <v>1790</v>
      </c>
      <c r="F577" s="1" t="s">
        <v>171</v>
      </c>
      <c r="G577" s="1">
        <f>IF(ISNA(VLOOKUP(F577,Monster!B:E,4,FALSE)),0,VLOOKUP(F577,Monster!B:E,4,FALSE))</f>
        <v>21</v>
      </c>
      <c r="I577" s="1" t="s">
        <v>1814</v>
      </c>
      <c r="J577" s="1">
        <v>1258</v>
      </c>
      <c r="K577" s="1">
        <v>30</v>
      </c>
      <c r="L577" s="1">
        <v>1082</v>
      </c>
      <c r="M577" s="1" t="s">
        <v>41</v>
      </c>
      <c r="O577" s="1">
        <f>((NOT(ISNA(VLOOKUP(M577,Monster!$H$2:$I$6,2,FALSE)))*L577)+J577)*(1+K577/100*0.25)</f>
        <v>2515.5</v>
      </c>
      <c r="P577" s="1" t="s">
        <v>175</v>
      </c>
      <c r="Q577" s="1">
        <v>2</v>
      </c>
      <c r="S577" s="1" t="s">
        <v>1799</v>
      </c>
    </row>
    <row r="578" spans="2:19" ht="12.75" hidden="1" x14ac:dyDescent="0.2">
      <c r="B578" s="1"/>
      <c r="C578" s="1" t="s">
        <v>797</v>
      </c>
      <c r="D578" s="1" t="s">
        <v>596</v>
      </c>
      <c r="E578" s="1" t="s">
        <v>1790</v>
      </c>
      <c r="F578" s="1" t="s">
        <v>176</v>
      </c>
      <c r="G578" s="1">
        <f>IF(ISNA(VLOOKUP(F578,Monster!B:E,4,FALSE)),0,VLOOKUP(F578,Monster!B:E,4,FALSE))</f>
        <v>22</v>
      </c>
      <c r="I578" s="1"/>
      <c r="J578" s="1">
        <v>1596</v>
      </c>
      <c r="K578" s="1">
        <v>0</v>
      </c>
      <c r="L578" s="1">
        <v>400</v>
      </c>
      <c r="M578" s="1" t="s">
        <v>95</v>
      </c>
      <c r="O578" s="1">
        <f>((NOT(ISNA(VLOOKUP(M578,Monster!$H$2:$I$6,2,FALSE)))*L578)+J578)*(1+K578/100*0.25)</f>
        <v>1596</v>
      </c>
      <c r="P578" s="1" t="s">
        <v>213</v>
      </c>
      <c r="Q578" s="1">
        <v>2</v>
      </c>
    </row>
    <row r="579" spans="2:19" ht="12.75" hidden="1" x14ac:dyDescent="0.2">
      <c r="B579" s="1"/>
      <c r="C579" s="1" t="s">
        <v>800</v>
      </c>
      <c r="D579" s="1" t="s">
        <v>596</v>
      </c>
      <c r="E579" s="1" t="s">
        <v>1790</v>
      </c>
      <c r="F579" s="1" t="s">
        <v>184</v>
      </c>
      <c r="G579" s="1">
        <f>IF(ISNA(VLOOKUP(F579,Monster!B:E,4,FALSE)),0,VLOOKUP(F579,Monster!B:E,4,FALSE))</f>
        <v>23</v>
      </c>
      <c r="I579" s="1"/>
      <c r="J579" s="1">
        <v>1764</v>
      </c>
      <c r="K579" s="1">
        <v>0</v>
      </c>
      <c r="L579" s="1">
        <v>0</v>
      </c>
      <c r="M579" s="1" t="s">
        <v>107</v>
      </c>
      <c r="O579" s="1">
        <f>((NOT(ISNA(VLOOKUP(M579,Monster!$H$2:$I$6,2,FALSE)))*L579)+J579)*(1+K579/100*0.25)</f>
        <v>1764</v>
      </c>
      <c r="P579" s="1" t="s">
        <v>306</v>
      </c>
      <c r="Q579" s="1">
        <v>2</v>
      </c>
    </row>
    <row r="580" spans="2:19" ht="12.75" hidden="1" x14ac:dyDescent="0.2">
      <c r="B580" s="1" t="s">
        <v>1815</v>
      </c>
      <c r="C580" s="1" t="s">
        <v>803</v>
      </c>
      <c r="D580" s="1" t="s">
        <v>596</v>
      </c>
      <c r="E580" s="1" t="s">
        <v>1790</v>
      </c>
      <c r="F580" s="1" t="s">
        <v>190</v>
      </c>
      <c r="G580" s="1">
        <f>IF(ISNA(VLOOKUP(F580,Monster!B:E,4,FALSE)),0,VLOOKUP(F580,Monster!B:E,4,FALSE))</f>
        <v>24</v>
      </c>
      <c r="I580" s="1" t="s">
        <v>1816</v>
      </c>
      <c r="J580" s="1">
        <v>1191</v>
      </c>
      <c r="K580" s="1">
        <v>20</v>
      </c>
      <c r="L580" s="1">
        <v>910</v>
      </c>
      <c r="M580" s="1" t="s">
        <v>66</v>
      </c>
      <c r="O580" s="1">
        <f>((NOT(ISNA(VLOOKUP(M580,Monster!$H$2:$I$6,2,FALSE)))*L580)+J580)*(1+K580/100*0.25)</f>
        <v>2206.0500000000002</v>
      </c>
      <c r="P580" s="1" t="s">
        <v>253</v>
      </c>
      <c r="Q580" s="1">
        <v>1</v>
      </c>
      <c r="S580" s="1" t="s">
        <v>1799</v>
      </c>
    </row>
    <row r="581" spans="2:19" ht="12.75" hidden="1" x14ac:dyDescent="0.2">
      <c r="B581" s="1" t="s">
        <v>1817</v>
      </c>
      <c r="C581" s="1" t="s">
        <v>807</v>
      </c>
      <c r="D581" s="1" t="s">
        <v>596</v>
      </c>
      <c r="E581" s="1" t="s">
        <v>1790</v>
      </c>
      <c r="F581" s="1" t="s">
        <v>193</v>
      </c>
      <c r="G581" s="1">
        <f>IF(ISNA(VLOOKUP(F581,Monster!B:E,4,FALSE)),0,VLOOKUP(F581,Monster!B:E,4,FALSE))</f>
        <v>25</v>
      </c>
      <c r="I581" s="1" t="s">
        <v>1818</v>
      </c>
      <c r="J581" s="1">
        <v>1221</v>
      </c>
      <c r="K581" s="1">
        <v>0</v>
      </c>
      <c r="L581" s="1">
        <v>1142</v>
      </c>
      <c r="M581" s="1" t="s">
        <v>58</v>
      </c>
      <c r="O581" s="1">
        <f>((NOT(ISNA(VLOOKUP(M581,Monster!$H$2:$I$6,2,FALSE)))*L581)+J581)*(1+K581/100*0.25)</f>
        <v>2363</v>
      </c>
      <c r="P581" s="1" t="s">
        <v>38</v>
      </c>
      <c r="Q581" s="1">
        <v>1</v>
      </c>
      <c r="S581" s="1" t="s">
        <v>1799</v>
      </c>
    </row>
    <row r="582" spans="2:19" ht="12.75" hidden="1" x14ac:dyDescent="0.2">
      <c r="C582" s="1" t="s">
        <v>810</v>
      </c>
      <c r="D582" s="1" t="s">
        <v>596</v>
      </c>
      <c r="E582" s="1" t="s">
        <v>1790</v>
      </c>
      <c r="F582" s="1" t="s">
        <v>197</v>
      </c>
      <c r="G582" s="1">
        <f>IF(ISNA(VLOOKUP(F582,Monster!B:E,4,FALSE)),0,VLOOKUP(F582,Monster!B:E,4,FALSE))</f>
        <v>26</v>
      </c>
      <c r="J582" s="1">
        <v>1588</v>
      </c>
      <c r="K582" s="1">
        <v>0</v>
      </c>
      <c r="L582" s="1">
        <v>632</v>
      </c>
      <c r="M582" s="1" t="s">
        <v>58</v>
      </c>
      <c r="O582" s="1">
        <f>((NOT(ISNA(VLOOKUP(M582,Monster!$H$2:$I$6,2,FALSE)))*L582)+J582)*(1+K582/100*0.25)</f>
        <v>2220</v>
      </c>
      <c r="P582" s="1" t="s">
        <v>412</v>
      </c>
      <c r="Q582" s="1">
        <v>1</v>
      </c>
    </row>
    <row r="583" spans="2:19" ht="12.75" hidden="1" x14ac:dyDescent="0.2">
      <c r="B583" s="1" t="s">
        <v>1819</v>
      </c>
      <c r="C583" s="1" t="s">
        <v>813</v>
      </c>
      <c r="D583" s="1" t="s">
        <v>596</v>
      </c>
      <c r="E583" s="1" t="s">
        <v>1790</v>
      </c>
      <c r="F583" s="1" t="s">
        <v>205</v>
      </c>
      <c r="G583" s="1">
        <f>IF(ISNA(VLOOKUP(F583,Monster!B:E,4,FALSE)),0,VLOOKUP(F583,Monster!B:E,4,FALSE))</f>
        <v>27</v>
      </c>
      <c r="I583" s="1" t="s">
        <v>1820</v>
      </c>
      <c r="J583" s="1">
        <v>1719</v>
      </c>
      <c r="K583" s="1">
        <v>20</v>
      </c>
      <c r="L583" s="1">
        <v>0</v>
      </c>
      <c r="M583" s="1" t="s">
        <v>107</v>
      </c>
      <c r="O583" s="1">
        <f>((NOT(ISNA(VLOOKUP(M583,Monster!$H$2:$I$6,2,FALSE)))*L583)+J583)*(1+K583/100*0.25)</f>
        <v>1804.95</v>
      </c>
      <c r="P583" s="1" t="s">
        <v>269</v>
      </c>
      <c r="Q583" s="1">
        <v>1</v>
      </c>
      <c r="S583" s="1" t="s">
        <v>1792</v>
      </c>
    </row>
    <row r="584" spans="2:19" ht="12.75" hidden="1" x14ac:dyDescent="0.2">
      <c r="B584" s="1" t="s">
        <v>1821</v>
      </c>
      <c r="C584" s="1" t="s">
        <v>816</v>
      </c>
      <c r="D584" s="1" t="s">
        <v>596</v>
      </c>
      <c r="E584" s="1" t="s">
        <v>1790</v>
      </c>
      <c r="F584" s="1" t="s">
        <v>210</v>
      </c>
      <c r="G584" s="1">
        <f>IF(ISNA(VLOOKUP(F584,Monster!B:E,4,FALSE)),0,VLOOKUP(F584,Monster!B:E,4,FALSE))</f>
        <v>28</v>
      </c>
      <c r="I584" s="1" t="s">
        <v>1822</v>
      </c>
      <c r="J584" s="1">
        <v>1138</v>
      </c>
      <c r="K584" s="1">
        <v>20</v>
      </c>
      <c r="L584" s="1">
        <v>1156</v>
      </c>
      <c r="M584" s="1" t="s">
        <v>71</v>
      </c>
      <c r="O584" s="1">
        <f>((NOT(ISNA(VLOOKUP(M584,Monster!$H$2:$I$6,2,FALSE)))*L584)+J584)*(1+K584/100*0.25)</f>
        <v>2408.7000000000003</v>
      </c>
      <c r="P584" s="1" t="s">
        <v>166</v>
      </c>
      <c r="Q584" s="1">
        <v>1</v>
      </c>
      <c r="S584" s="1" t="s">
        <v>1799</v>
      </c>
    </row>
    <row r="585" spans="2:19" ht="12.75" hidden="1" x14ac:dyDescent="0.2">
      <c r="B585" s="1" t="s">
        <v>1823</v>
      </c>
      <c r="C585" s="1" t="s">
        <v>821</v>
      </c>
      <c r="D585" s="1" t="s">
        <v>596</v>
      </c>
      <c r="E585" s="1" t="s">
        <v>1790</v>
      </c>
      <c r="F585" s="1" t="s">
        <v>216</v>
      </c>
      <c r="G585" s="1">
        <f>IF(ISNA(VLOOKUP(F585,Monster!B:E,4,FALSE)),0,VLOOKUP(F585,Monster!B:E,4,FALSE))</f>
        <v>29</v>
      </c>
      <c r="I585" s="1" t="s">
        <v>1824</v>
      </c>
      <c r="J585" s="1">
        <v>1318</v>
      </c>
      <c r="K585" s="1">
        <v>-30</v>
      </c>
      <c r="L585" s="1">
        <v>1261</v>
      </c>
      <c r="M585" s="1" t="s">
        <v>71</v>
      </c>
      <c r="O585" s="1">
        <f>((NOT(ISNA(VLOOKUP(M585,Monster!$H$2:$I$6,2,FALSE)))*L585)+J585)*(1+K585/100*0.25)</f>
        <v>2385.5750000000003</v>
      </c>
      <c r="P585" s="1" t="s">
        <v>583</v>
      </c>
      <c r="Q585" s="1">
        <v>1</v>
      </c>
      <c r="S585" s="1" t="s">
        <v>1799</v>
      </c>
    </row>
    <row r="586" spans="2:19" ht="12.75" hidden="1" x14ac:dyDescent="0.2">
      <c r="B586" s="1" t="s">
        <v>1825</v>
      </c>
      <c r="C586" s="1" t="s">
        <v>825</v>
      </c>
      <c r="D586" s="1" t="s">
        <v>596</v>
      </c>
      <c r="E586" s="1" t="s">
        <v>1790</v>
      </c>
      <c r="F586" s="1" t="s">
        <v>223</v>
      </c>
      <c r="G586" s="1">
        <f>IF(ISNA(VLOOKUP(F586,Monster!B:E,4,FALSE)),0,VLOOKUP(F586,Monster!B:E,4,FALSE))</f>
        <v>30</v>
      </c>
      <c r="I586" s="1" t="s">
        <v>1826</v>
      </c>
      <c r="J586" s="1">
        <v>1671</v>
      </c>
      <c r="K586" s="1">
        <v>-15</v>
      </c>
      <c r="L586" s="1">
        <v>342</v>
      </c>
      <c r="M586" s="1" t="s">
        <v>79</v>
      </c>
      <c r="O586" s="1">
        <f>((NOT(ISNA(VLOOKUP(M586,Monster!$H$2:$I$6,2,FALSE)))*L586)+J586)*(1+K586/100*0.25)</f>
        <v>1608.3375000000001</v>
      </c>
      <c r="P586" s="1" t="s">
        <v>364</v>
      </c>
      <c r="Q586" s="1">
        <v>1</v>
      </c>
      <c r="S586" s="1" t="s">
        <v>1792</v>
      </c>
    </row>
    <row r="587" spans="2:19" ht="12.75" hidden="1" x14ac:dyDescent="0.2">
      <c r="C587" s="1" t="s">
        <v>829</v>
      </c>
      <c r="D587" s="1" t="s">
        <v>596</v>
      </c>
      <c r="E587" s="1" t="s">
        <v>1790</v>
      </c>
      <c r="F587" s="1" t="s">
        <v>229</v>
      </c>
      <c r="G587" s="1">
        <f>IF(ISNA(VLOOKUP(F587,Monster!B:E,4,FALSE)),0,VLOOKUP(F587,Monster!B:E,4,FALSE))</f>
        <v>31</v>
      </c>
      <c r="J587" s="1">
        <v>1194</v>
      </c>
      <c r="K587" s="1">
        <v>20</v>
      </c>
      <c r="L587" s="1">
        <v>913</v>
      </c>
      <c r="M587" s="1" t="s">
        <v>58</v>
      </c>
      <c r="O587" s="1">
        <f>((NOT(ISNA(VLOOKUP(M587,Monster!$H$2:$I$6,2,FALSE)))*L587)+J587)*(1+K587/100*0.25)</f>
        <v>2212.35</v>
      </c>
      <c r="P587" s="1" t="s">
        <v>470</v>
      </c>
      <c r="Q587" s="1">
        <v>1</v>
      </c>
    </row>
    <row r="588" spans="2:19" ht="12.75" hidden="1" x14ac:dyDescent="0.2">
      <c r="B588" s="1" t="s">
        <v>1827</v>
      </c>
      <c r="C588" s="1" t="s">
        <v>834</v>
      </c>
      <c r="D588" s="1" t="s">
        <v>596</v>
      </c>
      <c r="E588" s="1" t="s">
        <v>1790</v>
      </c>
      <c r="F588" s="1" t="s">
        <v>234</v>
      </c>
      <c r="G588" s="1">
        <f>IF(ISNA(VLOOKUP(F588,Monster!B:E,4,FALSE)),0,VLOOKUP(F588,Monster!B:E,4,FALSE))</f>
        <v>32</v>
      </c>
      <c r="I588" s="1" t="s">
        <v>1827</v>
      </c>
      <c r="J588" s="1">
        <v>1553</v>
      </c>
      <c r="K588" s="1">
        <v>0</v>
      </c>
      <c r="L588" s="1">
        <v>974</v>
      </c>
      <c r="M588" s="1" t="s">
        <v>66</v>
      </c>
      <c r="O588" s="1">
        <f>((NOT(ISNA(VLOOKUP(M588,Monster!$H$2:$I$6,2,FALSE)))*L588)+J588)*(1+K588/100*0.25)</f>
        <v>2527</v>
      </c>
      <c r="P588" s="1" t="s">
        <v>528</v>
      </c>
      <c r="Q588" s="1">
        <v>2</v>
      </c>
      <c r="R588" s="1" t="s">
        <v>372</v>
      </c>
      <c r="S588" s="1" t="s">
        <v>1792</v>
      </c>
    </row>
    <row r="589" spans="2:19" ht="12.75" hidden="1" x14ac:dyDescent="0.2">
      <c r="B589" s="1" t="s">
        <v>1828</v>
      </c>
      <c r="C589" s="1" t="s">
        <v>839</v>
      </c>
      <c r="D589" s="1" t="s">
        <v>596</v>
      </c>
      <c r="E589" s="1" t="s">
        <v>1790</v>
      </c>
      <c r="F589" s="1" t="s">
        <v>239</v>
      </c>
      <c r="G589" s="1">
        <f>IF(ISNA(VLOOKUP(F589,Monster!B:E,4,FALSE)),0,VLOOKUP(F589,Monster!B:E,4,FALSE))</f>
        <v>33</v>
      </c>
      <c r="I589" s="1" t="s">
        <v>1829</v>
      </c>
      <c r="J589" s="1">
        <v>1138</v>
      </c>
      <c r="K589" s="1">
        <v>20</v>
      </c>
      <c r="L589" s="1">
        <v>1156</v>
      </c>
      <c r="M589" s="1" t="s">
        <v>50</v>
      </c>
      <c r="O589" s="1">
        <f>((NOT(ISNA(VLOOKUP(M589,Monster!$H$2:$I$6,2,FALSE)))*L589)+J589)*(1+K589/100*0.25)</f>
        <v>2408.7000000000003</v>
      </c>
      <c r="P589" s="1" t="s">
        <v>38</v>
      </c>
      <c r="Q589" s="1">
        <v>1</v>
      </c>
      <c r="S589" s="1" t="s">
        <v>1792</v>
      </c>
    </row>
    <row r="590" spans="2:19" ht="12.75" hidden="1" x14ac:dyDescent="0.2">
      <c r="B590" s="1" t="s">
        <v>1830</v>
      </c>
      <c r="C590" s="1" t="s">
        <v>845</v>
      </c>
      <c r="D590" s="1" t="s">
        <v>596</v>
      </c>
      <c r="E590" s="1" t="s">
        <v>1790</v>
      </c>
      <c r="F590" s="1" t="s">
        <v>245</v>
      </c>
      <c r="G590" s="1">
        <f>IF(ISNA(VLOOKUP(F590,Monster!B:E,4,FALSE)),0,VLOOKUP(F590,Monster!B:E,4,FALSE))</f>
        <v>34</v>
      </c>
      <c r="I590" s="1" t="s">
        <v>1830</v>
      </c>
      <c r="J590" s="1">
        <v>1684</v>
      </c>
      <c r="K590" s="1">
        <v>0</v>
      </c>
      <c r="L590" s="1">
        <v>502</v>
      </c>
      <c r="M590" s="1" t="s">
        <v>100</v>
      </c>
      <c r="O590" s="1">
        <f>((NOT(ISNA(VLOOKUP(M590,Monster!$H$2:$I$6,2,FALSE)))*L590)+J590)*(1+K590/100*0.25)</f>
        <v>1684</v>
      </c>
      <c r="P590" s="1" t="s">
        <v>364</v>
      </c>
      <c r="Q590" s="1">
        <v>2</v>
      </c>
      <c r="R590" s="1" t="s">
        <v>372</v>
      </c>
      <c r="S590" s="1" t="s">
        <v>1792</v>
      </c>
    </row>
    <row r="591" spans="2:19" ht="12.75" hidden="1" x14ac:dyDescent="0.2">
      <c r="C591" s="1" t="s">
        <v>849</v>
      </c>
      <c r="D591" s="1" t="s">
        <v>596</v>
      </c>
      <c r="E591" s="1" t="s">
        <v>1790</v>
      </c>
      <c r="F591" s="1" t="s">
        <v>251</v>
      </c>
      <c r="G591" s="1">
        <f>IF(ISNA(VLOOKUP(F591,Monster!B:E,4,FALSE)),0,VLOOKUP(F591,Monster!B:E,4,FALSE))</f>
        <v>35</v>
      </c>
      <c r="J591" s="1">
        <v>1588</v>
      </c>
      <c r="K591" s="1">
        <v>0</v>
      </c>
      <c r="L591" s="1">
        <v>632</v>
      </c>
      <c r="M591" s="1" t="s">
        <v>41</v>
      </c>
      <c r="O591" s="1">
        <f>((NOT(ISNA(VLOOKUP(M591,Monster!$H$2:$I$6,2,FALSE)))*L591)+J591)*(1+K591/100*0.25)</f>
        <v>2220</v>
      </c>
      <c r="P591" s="1" t="s">
        <v>412</v>
      </c>
      <c r="Q591" s="1">
        <v>1</v>
      </c>
    </row>
    <row r="592" spans="2:19" ht="12.75" hidden="1" x14ac:dyDescent="0.2">
      <c r="B592" s="1" t="s">
        <v>1831</v>
      </c>
      <c r="C592" s="1" t="s">
        <v>853</v>
      </c>
      <c r="D592" s="1" t="s">
        <v>596</v>
      </c>
      <c r="E592" s="1" t="s">
        <v>1790</v>
      </c>
      <c r="F592" s="1" t="s">
        <v>256</v>
      </c>
      <c r="G592" s="1">
        <f>IF(ISNA(VLOOKUP(F592,Monster!B:E,4,FALSE)),0,VLOOKUP(F592,Monster!B:E,4,FALSE))</f>
        <v>36</v>
      </c>
      <c r="I592" s="1" t="s">
        <v>1832</v>
      </c>
      <c r="J592" s="1">
        <v>1516</v>
      </c>
      <c r="K592" s="1">
        <v>0</v>
      </c>
      <c r="L592" s="1">
        <v>496</v>
      </c>
      <c r="M592" s="1" t="s">
        <v>100</v>
      </c>
      <c r="O592" s="1">
        <f>((NOT(ISNA(VLOOKUP(M592,Monster!$H$2:$I$6,2,FALSE)))*L592)+J592)*(1+K592/100*0.25)</f>
        <v>1516</v>
      </c>
      <c r="P592" s="1" t="s">
        <v>463</v>
      </c>
      <c r="Q592" s="1">
        <v>1</v>
      </c>
      <c r="S592" s="1" t="s">
        <v>1792</v>
      </c>
    </row>
    <row r="593" spans="2:19" ht="12.75" hidden="1" x14ac:dyDescent="0.2">
      <c r="B593" s="1" t="s">
        <v>1833</v>
      </c>
      <c r="C593" s="1" t="s">
        <v>857</v>
      </c>
      <c r="D593" s="1" t="s">
        <v>596</v>
      </c>
      <c r="E593" s="1" t="s">
        <v>1790</v>
      </c>
      <c r="F593" s="1" t="s">
        <v>263</v>
      </c>
      <c r="G593" s="1">
        <f>IF(ISNA(VLOOKUP(F593,Monster!B:E,4,FALSE)),0,VLOOKUP(F593,Monster!B:E,4,FALSE))</f>
        <v>37</v>
      </c>
      <c r="I593" s="1" t="s">
        <v>1834</v>
      </c>
      <c r="J593" s="1">
        <v>1318</v>
      </c>
      <c r="K593" s="1">
        <v>-30</v>
      </c>
      <c r="L593" s="1">
        <v>1261</v>
      </c>
      <c r="M593" s="1" t="s">
        <v>58</v>
      </c>
      <c r="O593" s="1">
        <f>((NOT(ISNA(VLOOKUP(M593,Monster!$H$2:$I$6,2,FALSE)))*L593)+J593)*(1+K593/100*0.25)</f>
        <v>2385.5750000000003</v>
      </c>
      <c r="P593" s="1" t="s">
        <v>463</v>
      </c>
      <c r="Q593" s="1">
        <v>1</v>
      </c>
      <c r="S593" s="1" t="s">
        <v>1792</v>
      </c>
    </row>
    <row r="594" spans="2:19" ht="12.75" hidden="1" x14ac:dyDescent="0.2">
      <c r="B594" s="1" t="s">
        <v>1835</v>
      </c>
      <c r="C594" s="1" t="s">
        <v>863</v>
      </c>
      <c r="D594" s="1" t="s">
        <v>596</v>
      </c>
      <c r="E594" s="1" t="s">
        <v>1790</v>
      </c>
      <c r="F594" s="1" t="s">
        <v>268</v>
      </c>
      <c r="G594" s="1">
        <f>IF(ISNA(VLOOKUP(F594,Monster!B:E,4,FALSE)),0,VLOOKUP(F594,Monster!B:E,4,FALSE))</f>
        <v>38</v>
      </c>
      <c r="I594" s="1" t="s">
        <v>1835</v>
      </c>
      <c r="J594" s="1">
        <v>1553</v>
      </c>
      <c r="K594" s="1">
        <v>0</v>
      </c>
      <c r="L594" s="1">
        <v>974</v>
      </c>
      <c r="M594" s="1" t="s">
        <v>71</v>
      </c>
      <c r="O594" s="1">
        <f>((NOT(ISNA(VLOOKUP(M594,Monster!$H$2:$I$6,2,FALSE)))*L594)+J594)*(1+K594/100*0.25)</f>
        <v>2527</v>
      </c>
      <c r="P594" s="1" t="s">
        <v>463</v>
      </c>
      <c r="Q594" s="1">
        <v>2</v>
      </c>
      <c r="R594" s="1" t="s">
        <v>372</v>
      </c>
      <c r="S594" s="1" t="s">
        <v>1792</v>
      </c>
    </row>
    <row r="595" spans="2:19" ht="12.75" hidden="1" x14ac:dyDescent="0.2">
      <c r="C595" s="1" t="s">
        <v>866</v>
      </c>
      <c r="D595" s="1" t="s">
        <v>596</v>
      </c>
      <c r="E595" s="1" t="s">
        <v>1790</v>
      </c>
      <c r="F595" s="1" t="s">
        <v>273</v>
      </c>
      <c r="G595" s="1">
        <f>IF(ISNA(VLOOKUP(F595,Monster!B:E,4,FALSE)),0,VLOOKUP(F595,Monster!B:E,4,FALSE))</f>
        <v>39</v>
      </c>
      <c r="J595" s="1">
        <v>1588</v>
      </c>
      <c r="K595" s="1">
        <v>0</v>
      </c>
      <c r="L595" s="1">
        <v>632</v>
      </c>
      <c r="M595" s="1" t="s">
        <v>66</v>
      </c>
      <c r="O595" s="1">
        <f>((NOT(ISNA(VLOOKUP(M595,Monster!$H$2:$I$6,2,FALSE)))*L595)+J595)*(1+K595/100*0.25)</f>
        <v>2220</v>
      </c>
      <c r="P595" s="1" t="s">
        <v>412</v>
      </c>
      <c r="Q595" s="1">
        <v>1</v>
      </c>
    </row>
    <row r="596" spans="2:19" ht="12.75" hidden="1" x14ac:dyDescent="0.2">
      <c r="B596" s="1" t="s">
        <v>1836</v>
      </c>
      <c r="C596" s="1" t="s">
        <v>869</v>
      </c>
      <c r="D596" s="1" t="s">
        <v>596</v>
      </c>
      <c r="E596" s="1" t="s">
        <v>1790</v>
      </c>
      <c r="F596" s="1" t="s">
        <v>278</v>
      </c>
      <c r="G596" s="1">
        <f>IF(ISNA(VLOOKUP(F596,Monster!B:E,4,FALSE)),0,VLOOKUP(F596,Monster!B:E,4,FALSE))</f>
        <v>40</v>
      </c>
      <c r="I596" s="1" t="s">
        <v>1837</v>
      </c>
      <c r="J596" s="1">
        <v>1516</v>
      </c>
      <c r="K596" s="1">
        <v>0</v>
      </c>
      <c r="L596" s="1">
        <v>496</v>
      </c>
      <c r="M596" s="1" t="s">
        <v>87</v>
      </c>
      <c r="O596" s="1">
        <f>((NOT(ISNA(VLOOKUP(M596,Monster!$H$2:$I$6,2,FALSE)))*L596)+J596)*(1+K596/100*0.25)</f>
        <v>1516</v>
      </c>
      <c r="P596" s="1" t="s">
        <v>253</v>
      </c>
      <c r="Q596" s="1">
        <v>1</v>
      </c>
      <c r="S596" s="1" t="s">
        <v>1792</v>
      </c>
    </row>
    <row r="597" spans="2:19" ht="12.75" hidden="1" x14ac:dyDescent="0.2">
      <c r="B597" s="1" t="s">
        <v>1838</v>
      </c>
      <c r="C597" s="1" t="s">
        <v>872</v>
      </c>
      <c r="D597" s="1" t="s">
        <v>596</v>
      </c>
      <c r="E597" s="1" t="s">
        <v>1790</v>
      </c>
      <c r="F597" s="1" t="s">
        <v>288</v>
      </c>
      <c r="G597" s="1">
        <f>IF(ISNA(VLOOKUP(F597,Monster!B:E,4,FALSE)),0,VLOOKUP(F597,Monster!B:E,4,FALSE))</f>
        <v>41</v>
      </c>
      <c r="I597" s="1" t="s">
        <v>1839</v>
      </c>
      <c r="J597" s="1">
        <v>1567</v>
      </c>
      <c r="K597" s="1">
        <v>-15</v>
      </c>
      <c r="L597" s="1">
        <v>496</v>
      </c>
      <c r="M597" s="1" t="s">
        <v>95</v>
      </c>
      <c r="O597" s="1">
        <f>((NOT(ISNA(VLOOKUP(M597,Monster!$H$2:$I$6,2,FALSE)))*L597)+J597)*(1+K597/100*0.25)</f>
        <v>1508.2375</v>
      </c>
      <c r="P597" s="1" t="s">
        <v>253</v>
      </c>
      <c r="Q597" s="1">
        <v>1</v>
      </c>
      <c r="S597" s="1" t="s">
        <v>1792</v>
      </c>
    </row>
    <row r="598" spans="2:19" ht="12.75" x14ac:dyDescent="0.2">
      <c r="B598" s="1" t="s">
        <v>1840</v>
      </c>
      <c r="C598" s="1" t="s">
        <v>875</v>
      </c>
      <c r="D598" s="1" t="s">
        <v>596</v>
      </c>
      <c r="E598" s="1" t="s">
        <v>1790</v>
      </c>
      <c r="F598" s="1" t="s">
        <v>293</v>
      </c>
      <c r="G598" s="1">
        <f>IF(ISNA(VLOOKUP(F598,Monster!B:E,4,FALSE)),0,VLOOKUP(F598,Monster!B:E,4,FALSE))</f>
        <v>42</v>
      </c>
      <c r="I598" s="1" t="s">
        <v>1840</v>
      </c>
      <c r="J598" s="1">
        <v>2198</v>
      </c>
      <c r="K598" s="1">
        <v>-40</v>
      </c>
      <c r="L598" s="1">
        <v>0</v>
      </c>
      <c r="M598" s="1" t="s">
        <v>107</v>
      </c>
      <c r="O598" s="1">
        <f>((NOT(ISNA(VLOOKUP(M598,Monster!$H$2:$I$6,2,FALSE)))*L598)+J598)*(1+K598/100*0.25)</f>
        <v>1978.2</v>
      </c>
      <c r="P598" s="1" t="s">
        <v>194</v>
      </c>
      <c r="Q598" s="1">
        <v>1</v>
      </c>
      <c r="S598" s="1" t="s">
        <v>1792</v>
      </c>
    </row>
    <row r="599" spans="2:19" ht="12.75" hidden="1" x14ac:dyDescent="0.2">
      <c r="B599" s="1" t="s">
        <v>1841</v>
      </c>
      <c r="C599" s="1" t="s">
        <v>880</v>
      </c>
      <c r="D599" s="1" t="s">
        <v>596</v>
      </c>
      <c r="E599" s="1" t="s">
        <v>1790</v>
      </c>
      <c r="F599" s="1" t="s">
        <v>298</v>
      </c>
      <c r="G599" s="1">
        <f>IF(ISNA(VLOOKUP(F599,Monster!B:E,4,FALSE)),0,VLOOKUP(F599,Monster!B:E,4,FALSE))</f>
        <v>43</v>
      </c>
      <c r="I599" s="1" t="s">
        <v>1841</v>
      </c>
      <c r="J599" s="1">
        <v>2198</v>
      </c>
      <c r="K599" s="1">
        <v>-10</v>
      </c>
      <c r="L599" s="1">
        <v>0</v>
      </c>
      <c r="M599" s="1" t="s">
        <v>107</v>
      </c>
      <c r="O599" s="1">
        <f>((NOT(ISNA(VLOOKUP(M599,Monster!$H$2:$I$6,2,FALSE)))*L599)+J599)*(1+K599/100*0.25)</f>
        <v>2143.0499999999997</v>
      </c>
      <c r="P599" s="1" t="s">
        <v>28</v>
      </c>
      <c r="Q599" s="1">
        <v>5</v>
      </c>
      <c r="S599" s="1" t="s">
        <v>1792</v>
      </c>
    </row>
    <row r="600" spans="2:19" ht="12.75" hidden="1" x14ac:dyDescent="0.2">
      <c r="C600" s="1" t="s">
        <v>885</v>
      </c>
      <c r="D600" s="1" t="s">
        <v>596</v>
      </c>
      <c r="E600" s="1" t="s">
        <v>1790</v>
      </c>
      <c r="F600" s="1" t="s">
        <v>302</v>
      </c>
      <c r="G600" s="1">
        <f>IF(ISNA(VLOOKUP(F600,Monster!B:E,4,FALSE)),0,VLOOKUP(F600,Monster!B:E,4,FALSE))</f>
        <v>44</v>
      </c>
      <c r="J600" s="1">
        <v>1205</v>
      </c>
      <c r="K600" s="1">
        <v>0</v>
      </c>
      <c r="L600" s="1">
        <v>1305</v>
      </c>
      <c r="M600" s="1" t="s">
        <v>58</v>
      </c>
      <c r="O600" s="1">
        <f>((NOT(ISNA(VLOOKUP(M600,Monster!$H$2:$I$6,2,FALSE)))*L600)+J600)*(1+K600/100*0.25)</f>
        <v>2510</v>
      </c>
      <c r="P600" s="1" t="s">
        <v>400</v>
      </c>
      <c r="Q600" s="1">
        <v>1</v>
      </c>
      <c r="R600" s="1" t="s">
        <v>372</v>
      </c>
    </row>
    <row r="601" spans="2:19" ht="12.75" x14ac:dyDescent="0.2">
      <c r="C601" s="1" t="s">
        <v>888</v>
      </c>
      <c r="D601" s="1" t="s">
        <v>596</v>
      </c>
      <c r="E601" s="1" t="s">
        <v>1790</v>
      </c>
      <c r="F601" s="1" t="s">
        <v>305</v>
      </c>
      <c r="G601" s="1">
        <f>IF(ISNA(VLOOKUP(F601,Monster!B:E,4,FALSE)),0,VLOOKUP(F601,Monster!B:E,4,FALSE))</f>
        <v>45</v>
      </c>
      <c r="J601" s="1">
        <v>1942</v>
      </c>
      <c r="K601" s="1">
        <v>-30</v>
      </c>
      <c r="L601" s="1">
        <v>297</v>
      </c>
      <c r="M601" s="1" t="s">
        <v>100</v>
      </c>
      <c r="O601" s="1">
        <f>((NOT(ISNA(VLOOKUP(M601,Monster!$H$2:$I$6,2,FALSE)))*L601)+J601)*(1+K601/100*0.25)</f>
        <v>1796.3500000000001</v>
      </c>
      <c r="P601" s="1" t="s">
        <v>194</v>
      </c>
      <c r="Q601" s="1">
        <v>1</v>
      </c>
    </row>
    <row r="602" spans="2:19" ht="12.75" hidden="1" x14ac:dyDescent="0.2">
      <c r="B602" s="1" t="s">
        <v>1842</v>
      </c>
      <c r="C602" s="1" t="s">
        <v>892</v>
      </c>
      <c r="D602" s="1" t="s">
        <v>596</v>
      </c>
      <c r="E602" s="1" t="s">
        <v>1790</v>
      </c>
      <c r="F602" s="1" t="s">
        <v>310</v>
      </c>
      <c r="G602" s="1">
        <f>IF(ISNA(VLOOKUP(F602,Monster!B:E,4,FALSE)),0,VLOOKUP(F602,Monster!B:E,4,FALSE))</f>
        <v>46</v>
      </c>
      <c r="I602" s="1" t="s">
        <v>1843</v>
      </c>
      <c r="J602" s="1">
        <v>1834</v>
      </c>
      <c r="K602" s="1">
        <v>10</v>
      </c>
      <c r="L602" s="1">
        <v>0</v>
      </c>
      <c r="M602" s="1" t="s">
        <v>107</v>
      </c>
      <c r="O602" s="1">
        <f>((NOT(ISNA(VLOOKUP(M602,Monster!$H$2:$I$6,2,FALSE)))*L602)+J602)*(1+K602/100*0.25)</f>
        <v>1879.85</v>
      </c>
      <c r="P602" s="1" t="s">
        <v>407</v>
      </c>
      <c r="Q602" s="1">
        <v>1</v>
      </c>
      <c r="S602" s="1" t="s">
        <v>1792</v>
      </c>
    </row>
    <row r="603" spans="2:19" ht="12.75" hidden="1" x14ac:dyDescent="0.2">
      <c r="C603" s="1" t="s">
        <v>896</v>
      </c>
      <c r="D603" s="1" t="s">
        <v>596</v>
      </c>
      <c r="E603" s="1" t="s">
        <v>1790</v>
      </c>
      <c r="F603" s="1" t="s">
        <v>316</v>
      </c>
      <c r="G603" s="1">
        <f>IF(ISNA(VLOOKUP(F603,Monster!B:E,4,FALSE)),0,VLOOKUP(F603,Monster!B:E,4,FALSE))</f>
        <v>47</v>
      </c>
      <c r="J603" s="1">
        <v>1971</v>
      </c>
      <c r="K603" s="1">
        <v>-20</v>
      </c>
      <c r="L603" s="1">
        <v>0</v>
      </c>
      <c r="M603" s="1" t="s">
        <v>107</v>
      </c>
      <c r="O603" s="1">
        <f>((NOT(ISNA(VLOOKUP(M603,Monster!$H$2:$I$6,2,FALSE)))*L603)+J603)*(1+K603/100*0.25)</f>
        <v>1872.4499999999998</v>
      </c>
      <c r="P603" s="1" t="s">
        <v>602</v>
      </c>
      <c r="Q603" s="1">
        <v>2</v>
      </c>
    </row>
    <row r="604" spans="2:19" ht="12.75" x14ac:dyDescent="0.2">
      <c r="B604" s="1" t="s">
        <v>1844</v>
      </c>
      <c r="C604" s="1" t="s">
        <v>900</v>
      </c>
      <c r="D604" s="1" t="s">
        <v>596</v>
      </c>
      <c r="E604" s="1" t="s">
        <v>1790</v>
      </c>
      <c r="F604" s="1" t="s">
        <v>320</v>
      </c>
      <c r="G604" s="1">
        <f>IF(ISNA(VLOOKUP(F604,Monster!B:E,4,FALSE)),0,VLOOKUP(F604,Monster!B:E,4,FALSE))</f>
        <v>48</v>
      </c>
      <c r="I604" s="1" t="s">
        <v>1845</v>
      </c>
      <c r="J604" s="1">
        <v>1318</v>
      </c>
      <c r="K604" s="1">
        <v>-30</v>
      </c>
      <c r="L604" s="1">
        <v>1261</v>
      </c>
      <c r="M604" s="1" t="s">
        <v>41</v>
      </c>
      <c r="O604" s="1">
        <f>((NOT(ISNA(VLOOKUP(M604,Monster!$H$2:$I$6,2,FALSE)))*L604)+J604)*(1+K604/100*0.25)</f>
        <v>2385.5750000000003</v>
      </c>
      <c r="P604" s="1" t="s">
        <v>194</v>
      </c>
      <c r="Q604" s="1">
        <v>1</v>
      </c>
      <c r="S604" s="1" t="s">
        <v>1799</v>
      </c>
    </row>
    <row r="605" spans="2:19" ht="12.75" hidden="1" x14ac:dyDescent="0.2">
      <c r="B605" s="1" t="s">
        <v>1846</v>
      </c>
      <c r="C605" s="1" t="s">
        <v>904</v>
      </c>
      <c r="D605" s="1" t="s">
        <v>596</v>
      </c>
      <c r="E605" s="1" t="s">
        <v>1790</v>
      </c>
      <c r="F605" s="1" t="s">
        <v>328</v>
      </c>
      <c r="G605" s="1">
        <f>IF(ISNA(VLOOKUP(F605,Monster!B:E,4,FALSE)),0,VLOOKUP(F605,Monster!B:E,4,FALSE))</f>
        <v>49</v>
      </c>
      <c r="I605" s="1" t="s">
        <v>1846</v>
      </c>
      <c r="J605" s="1">
        <v>1741</v>
      </c>
      <c r="K605" s="1">
        <v>0</v>
      </c>
      <c r="L605" s="1">
        <v>505</v>
      </c>
      <c r="M605" s="1" t="s">
        <v>79</v>
      </c>
      <c r="O605" s="1">
        <f>((NOT(ISNA(VLOOKUP(M605,Monster!$H$2:$I$6,2,FALSE)))*L605)+J605)*(1+K605/100*0.25)</f>
        <v>1741</v>
      </c>
      <c r="P605" s="1" t="s">
        <v>624</v>
      </c>
      <c r="Q605" s="1">
        <v>2</v>
      </c>
      <c r="R605" s="1" t="s">
        <v>372</v>
      </c>
      <c r="S605" s="1" t="s">
        <v>1792</v>
      </c>
    </row>
    <row r="606" spans="2:19" ht="12.75" hidden="1" x14ac:dyDescent="0.2">
      <c r="C606" s="1" t="s">
        <v>908</v>
      </c>
      <c r="D606" s="1" t="s">
        <v>596</v>
      </c>
      <c r="E606" s="1" t="s">
        <v>1790</v>
      </c>
      <c r="F606" s="1" t="s">
        <v>334</v>
      </c>
      <c r="G606" s="1">
        <f>IF(ISNA(VLOOKUP(F606,Monster!B:E,4,FALSE)),0,VLOOKUP(F606,Monster!B:E,4,FALSE))</f>
        <v>50</v>
      </c>
      <c r="J606" s="1">
        <v>1647</v>
      </c>
      <c r="K606" s="1">
        <v>10</v>
      </c>
      <c r="L606" s="1">
        <v>307</v>
      </c>
      <c r="M606" s="1" t="s">
        <v>79</v>
      </c>
      <c r="O606" s="1">
        <f>((NOT(ISNA(VLOOKUP(M606,Monster!$H$2:$I$6,2,FALSE)))*L606)+J606)*(1+K606/100*0.25)</f>
        <v>1688.175</v>
      </c>
      <c r="P606" s="1" t="s">
        <v>412</v>
      </c>
      <c r="Q606" s="1">
        <v>1</v>
      </c>
    </row>
    <row r="607" spans="2:19" ht="12.75" hidden="1" x14ac:dyDescent="0.2">
      <c r="C607" s="1" t="s">
        <v>913</v>
      </c>
      <c r="D607" s="1" t="s">
        <v>596</v>
      </c>
      <c r="E607" s="1" t="s">
        <v>1790</v>
      </c>
      <c r="F607" s="1" t="s">
        <v>339</v>
      </c>
      <c r="G607" s="1">
        <f>IF(ISNA(VLOOKUP(F607,Monster!B:E,4,FALSE)),0,VLOOKUP(F607,Monster!B:E,4,FALSE))</f>
        <v>51</v>
      </c>
      <c r="J607" s="1">
        <v>1764</v>
      </c>
      <c r="K607" s="1">
        <v>0</v>
      </c>
      <c r="L607" s="1">
        <v>0</v>
      </c>
      <c r="M607" s="1" t="s">
        <v>107</v>
      </c>
      <c r="O607" s="1">
        <f>((NOT(ISNA(VLOOKUP(M607,Monster!$H$2:$I$6,2,FALSE)))*L607)+J607)*(1+K607/100*0.25)</f>
        <v>1764</v>
      </c>
      <c r="P607" s="1" t="s">
        <v>560</v>
      </c>
      <c r="Q607" s="1">
        <v>2</v>
      </c>
    </row>
    <row r="608" spans="2:19" ht="12.75" hidden="1" x14ac:dyDescent="0.2">
      <c r="B608" s="1" t="s">
        <v>1847</v>
      </c>
      <c r="C608" s="1" t="s">
        <v>917</v>
      </c>
      <c r="D608" s="1" t="s">
        <v>596</v>
      </c>
      <c r="E608" s="1" t="s">
        <v>1790</v>
      </c>
      <c r="F608" s="1" t="s">
        <v>343</v>
      </c>
      <c r="G608" s="1">
        <f>IF(ISNA(VLOOKUP(F608,Monster!B:E,4,FALSE)),0,VLOOKUP(F608,Monster!B:E,4,FALSE))</f>
        <v>52</v>
      </c>
      <c r="I608" s="1" t="s">
        <v>1847</v>
      </c>
      <c r="J608" s="1">
        <v>1293</v>
      </c>
      <c r="K608" s="1">
        <v>0</v>
      </c>
      <c r="L608" s="1">
        <v>910</v>
      </c>
      <c r="M608" s="1" t="s">
        <v>66</v>
      </c>
      <c r="O608" s="1">
        <f>((NOT(ISNA(VLOOKUP(M608,Monster!$H$2:$I$6,2,FALSE)))*L608)+J608)*(1+K608/100*0.25)</f>
        <v>2203</v>
      </c>
      <c r="P608" s="1" t="s">
        <v>648</v>
      </c>
      <c r="Q608" s="1">
        <v>1</v>
      </c>
      <c r="S608" s="1" t="s">
        <v>1799</v>
      </c>
    </row>
    <row r="609" spans="2:21" ht="12.75" hidden="1" x14ac:dyDescent="0.2">
      <c r="B609" s="1" t="s">
        <v>1848</v>
      </c>
      <c r="C609" s="1" t="s">
        <v>922</v>
      </c>
      <c r="D609" s="1" t="s">
        <v>596</v>
      </c>
      <c r="E609" s="1" t="s">
        <v>1790</v>
      </c>
      <c r="F609" s="1" t="s">
        <v>349</v>
      </c>
      <c r="G609" s="1">
        <f>IF(ISNA(VLOOKUP(F609,Monster!B:E,4,FALSE)),0,VLOOKUP(F609,Monster!B:E,4,FALSE))</f>
        <v>53</v>
      </c>
      <c r="I609" s="1" t="s">
        <v>1848</v>
      </c>
      <c r="J609" s="1">
        <v>1738</v>
      </c>
      <c r="K609" s="1">
        <v>40</v>
      </c>
      <c r="L609" s="1">
        <v>0</v>
      </c>
      <c r="M609" s="1" t="s">
        <v>107</v>
      </c>
      <c r="O609" s="1">
        <f>((NOT(ISNA(VLOOKUP(M609,Monster!$H$2:$I$6,2,FALSE)))*L609)+J609)*(1+K609/100*0.25)</f>
        <v>1911.8000000000002</v>
      </c>
      <c r="P609" s="1" t="s">
        <v>535</v>
      </c>
      <c r="Q609" s="1">
        <v>2</v>
      </c>
      <c r="S609" s="1" t="s">
        <v>1792</v>
      </c>
    </row>
    <row r="610" spans="2:21" ht="12.75" hidden="1" x14ac:dyDescent="0.2">
      <c r="B610" s="1" t="s">
        <v>1849</v>
      </c>
      <c r="C610" s="1" t="s">
        <v>926</v>
      </c>
      <c r="D610" s="1" t="s">
        <v>596</v>
      </c>
      <c r="E610" s="1" t="s">
        <v>1790</v>
      </c>
      <c r="F610" s="1" t="s">
        <v>354</v>
      </c>
      <c r="G610" s="1">
        <f>IF(ISNA(VLOOKUP(F610,Monster!B:E,4,FALSE)),0,VLOOKUP(F610,Monster!B:E,4,FALSE))</f>
        <v>54</v>
      </c>
      <c r="I610" s="1" t="s">
        <v>1849</v>
      </c>
      <c r="J610" s="1">
        <v>1328</v>
      </c>
      <c r="K610" s="1">
        <v>20</v>
      </c>
      <c r="L610" s="1">
        <v>1074</v>
      </c>
      <c r="M610" s="1" t="s">
        <v>50</v>
      </c>
      <c r="O610" s="1">
        <f>((NOT(ISNA(VLOOKUP(M610,Monster!$H$2:$I$6,2,FALSE)))*L610)+J610)*(1+K610/100*0.25)</f>
        <v>2522.1</v>
      </c>
      <c r="P610" s="1" t="s">
        <v>677</v>
      </c>
      <c r="Q610" s="1">
        <v>1</v>
      </c>
      <c r="R610" s="1" t="s">
        <v>372</v>
      </c>
      <c r="S610" s="1" t="s">
        <v>1792</v>
      </c>
    </row>
    <row r="611" spans="2:21" ht="12.75" hidden="1" x14ac:dyDescent="0.2">
      <c r="B611" s="1" t="s">
        <v>1850</v>
      </c>
      <c r="C611" s="1" t="s">
        <v>930</v>
      </c>
      <c r="D611" s="1" t="s">
        <v>596</v>
      </c>
      <c r="E611" s="1" t="s">
        <v>1790</v>
      </c>
      <c r="F611" s="1" t="s">
        <v>360</v>
      </c>
      <c r="G611" s="1">
        <f>IF(ISNA(VLOOKUP(F611,Monster!B:E,4,FALSE)),0,VLOOKUP(F611,Monster!B:E,4,FALSE))</f>
        <v>55</v>
      </c>
      <c r="I611" s="1" t="s">
        <v>1851</v>
      </c>
      <c r="J611" s="1">
        <v>1979</v>
      </c>
      <c r="K611" s="1">
        <v>0</v>
      </c>
      <c r="L611" s="1">
        <v>0</v>
      </c>
      <c r="M611" s="1" t="s">
        <v>107</v>
      </c>
      <c r="O611" s="1">
        <f>((NOT(ISNA(VLOOKUP(M611,Monster!$H$2:$I$6,2,FALSE)))*L611)+J611)*(1+K611/100*0.25)</f>
        <v>1979</v>
      </c>
      <c r="P611" s="1" t="s">
        <v>515</v>
      </c>
      <c r="Q611" s="1">
        <v>1</v>
      </c>
      <c r="S611" s="1" t="s">
        <v>1792</v>
      </c>
    </row>
    <row r="612" spans="2:21" ht="12.75" hidden="1" x14ac:dyDescent="0.2">
      <c r="B612" s="1" t="s">
        <v>1852</v>
      </c>
      <c r="C612" s="1" t="s">
        <v>934</v>
      </c>
      <c r="D612" s="1" t="s">
        <v>596</v>
      </c>
      <c r="E612" s="1" t="s">
        <v>1790</v>
      </c>
      <c r="F612" s="1" t="s">
        <v>365</v>
      </c>
      <c r="G612" s="1">
        <f>IF(ISNA(VLOOKUP(F612,Monster!B:E,4,FALSE)),0,VLOOKUP(F612,Monster!B:E,4,FALSE))</f>
        <v>56</v>
      </c>
      <c r="I612" s="1" t="s">
        <v>1853</v>
      </c>
      <c r="J612" s="1">
        <v>1020</v>
      </c>
      <c r="K612" s="1">
        <v>0</v>
      </c>
      <c r="L612" s="1">
        <v>1173</v>
      </c>
      <c r="M612" s="1" t="s">
        <v>66</v>
      </c>
      <c r="O612" s="1">
        <f>((NOT(ISNA(VLOOKUP(M612,Monster!$H$2:$I$6,2,FALSE)))*L612)+J612)*(1+K612/100*0.25)</f>
        <v>2193</v>
      </c>
      <c r="P612" s="1" t="s">
        <v>659</v>
      </c>
      <c r="Q612" s="1">
        <v>1</v>
      </c>
      <c r="S612" s="1" t="s">
        <v>1792</v>
      </c>
    </row>
    <row r="613" spans="2:21" ht="12.75" hidden="1" x14ac:dyDescent="0.2">
      <c r="B613" s="1" t="s">
        <v>1854</v>
      </c>
      <c r="C613" s="1" t="s">
        <v>939</v>
      </c>
      <c r="D613" s="1" t="s">
        <v>596</v>
      </c>
      <c r="E613" s="1" t="s">
        <v>1790</v>
      </c>
      <c r="F613" s="1" t="s">
        <v>370</v>
      </c>
      <c r="G613" s="1">
        <f>IF(ISNA(VLOOKUP(F613,Monster!B:E,4,FALSE)),0,VLOOKUP(F613,Monster!B:E,4,FALSE))</f>
        <v>57</v>
      </c>
      <c r="I613" s="1" t="s">
        <v>1855</v>
      </c>
      <c r="J613" s="1">
        <v>1197</v>
      </c>
      <c r="K613" s="1">
        <v>20</v>
      </c>
      <c r="L613" s="1">
        <v>1154</v>
      </c>
      <c r="M613" s="1" t="s">
        <v>41</v>
      </c>
      <c r="O613" s="1">
        <f>((NOT(ISNA(VLOOKUP(M613,Monster!$H$2:$I$6,2,FALSE)))*L613)+J613)*(1+K613/100*0.25)</f>
        <v>2468.5500000000002</v>
      </c>
      <c r="P613" s="1" t="s">
        <v>615</v>
      </c>
      <c r="Q613" s="1">
        <v>2</v>
      </c>
      <c r="S613" s="1" t="s">
        <v>1792</v>
      </c>
    </row>
    <row r="614" spans="2:21" ht="12.75" hidden="1" x14ac:dyDescent="0.2">
      <c r="B614" s="1" t="s">
        <v>1856</v>
      </c>
      <c r="C614" s="1" t="s">
        <v>943</v>
      </c>
      <c r="D614" s="1" t="s">
        <v>596</v>
      </c>
      <c r="E614" s="1" t="s">
        <v>1790</v>
      </c>
      <c r="F614" s="1" t="s">
        <v>374</v>
      </c>
      <c r="G614" s="1">
        <f>IF(ISNA(VLOOKUP(F614,Monster!B:E,4,FALSE)),0,VLOOKUP(F614,Monster!B:E,4,FALSE))</f>
        <v>58</v>
      </c>
      <c r="I614" s="1" t="s">
        <v>1856</v>
      </c>
      <c r="J614" s="1">
        <v>1205</v>
      </c>
      <c r="K614" s="1">
        <v>0</v>
      </c>
      <c r="L614" s="1">
        <v>1305</v>
      </c>
      <c r="M614" s="1" t="s">
        <v>71</v>
      </c>
      <c r="O614" s="1">
        <f>((NOT(ISNA(VLOOKUP(M614,Monster!$H$2:$I$6,2,FALSE)))*L614)+J614)*(1+K614/100*0.25)</f>
        <v>2510</v>
      </c>
      <c r="P614" s="1" t="s">
        <v>689</v>
      </c>
      <c r="Q614" s="1">
        <v>1</v>
      </c>
      <c r="R614" s="1" t="s">
        <v>372</v>
      </c>
      <c r="S614" s="1" t="s">
        <v>1792</v>
      </c>
    </row>
    <row r="615" spans="2:21" ht="12.75" hidden="1" x14ac:dyDescent="0.2">
      <c r="B615" s="1" t="s">
        <v>1857</v>
      </c>
      <c r="C615" s="1" t="s">
        <v>949</v>
      </c>
      <c r="D615" s="1" t="s">
        <v>596</v>
      </c>
      <c r="E615" s="1" t="s">
        <v>1790</v>
      </c>
      <c r="F615" s="1"/>
      <c r="G615" s="1">
        <f>IF(ISNA(VLOOKUP(F615,Monster!B:E,4,FALSE)),0,VLOOKUP(F615,Monster!B:E,4,FALSE))</f>
        <v>0</v>
      </c>
      <c r="I615" s="1" t="s">
        <v>1858</v>
      </c>
      <c r="J615" s="1">
        <v>1596</v>
      </c>
      <c r="K615" s="1">
        <v>0</v>
      </c>
      <c r="L615" s="1">
        <v>0</v>
      </c>
      <c r="M615" s="1" t="s">
        <v>107</v>
      </c>
      <c r="O615" s="1">
        <f>((NOT(ISNA(VLOOKUP(M615,Monster!$H$2:$I$6,2,FALSE)))*L615)+J615)*(1+K615/100*0.25)</f>
        <v>1596</v>
      </c>
      <c r="P615" s="1" t="s">
        <v>158</v>
      </c>
      <c r="Q615" s="1">
        <v>1</v>
      </c>
      <c r="S615" s="1" t="s">
        <v>1792</v>
      </c>
    </row>
    <row r="616" spans="2:21" ht="12.75" hidden="1" x14ac:dyDescent="0.2">
      <c r="B616" s="1" t="s">
        <v>1859</v>
      </c>
      <c r="C616" s="1" t="s">
        <v>958</v>
      </c>
      <c r="D616" s="1" t="s">
        <v>596</v>
      </c>
      <c r="E616" s="1" t="s">
        <v>1790</v>
      </c>
      <c r="F616" s="1"/>
      <c r="G616" s="1">
        <f>IF(ISNA(VLOOKUP(F616,Monster!B:E,4,FALSE)),0,VLOOKUP(F616,Monster!B:E,4,FALSE))</f>
        <v>0</v>
      </c>
      <c r="I616" s="1" t="s">
        <v>1860</v>
      </c>
      <c r="J616" s="1">
        <v>1878</v>
      </c>
      <c r="K616" s="1">
        <v>0</v>
      </c>
      <c r="L616" s="1">
        <v>0</v>
      </c>
      <c r="M616" s="1" t="s">
        <v>107</v>
      </c>
      <c r="O616" s="1">
        <f>((NOT(ISNA(VLOOKUP(M616,Monster!$H$2:$I$6,2,FALSE)))*L616)+J616)*(1+K616/100*0.25)</f>
        <v>1878</v>
      </c>
      <c r="P616" s="1" t="s">
        <v>412</v>
      </c>
      <c r="Q616" s="1">
        <v>1</v>
      </c>
      <c r="S616" s="1" t="s">
        <v>1792</v>
      </c>
    </row>
    <row r="617" spans="2:21" ht="12.75" hidden="1" x14ac:dyDescent="0.2">
      <c r="B617" s="1" t="s">
        <v>1861</v>
      </c>
      <c r="C617" s="1" t="s">
        <v>1302</v>
      </c>
      <c r="D617" s="1" t="s">
        <v>596</v>
      </c>
      <c r="E617" s="1" t="s">
        <v>1790</v>
      </c>
      <c r="F617" s="1"/>
      <c r="G617" s="1">
        <f>IF(ISNA(VLOOKUP(F617,Monster!B:E,4,FALSE)),0,VLOOKUP(F617,Monster!B:E,4,FALSE))</f>
        <v>0</v>
      </c>
      <c r="I617" s="1" t="s">
        <v>1861</v>
      </c>
      <c r="J617" s="1">
        <v>1893</v>
      </c>
      <c r="K617" s="1">
        <v>0</v>
      </c>
      <c r="L617" s="1">
        <v>0</v>
      </c>
      <c r="M617" s="1" t="s">
        <v>107</v>
      </c>
      <c r="O617" s="1">
        <f>((NOT(ISNA(VLOOKUP(M617,Monster!$H$2:$I$6,2,FALSE)))*L617)+J617)*(1+K617/100*0.25)</f>
        <v>1893</v>
      </c>
      <c r="P617" s="1" t="s">
        <v>693</v>
      </c>
      <c r="Q617" s="1">
        <v>1</v>
      </c>
      <c r="S617" s="1" t="s">
        <v>1792</v>
      </c>
    </row>
    <row r="618" spans="2:21" ht="12.75" hidden="1" x14ac:dyDescent="0.2">
      <c r="B618" s="1" t="s">
        <v>1862</v>
      </c>
      <c r="C618" s="1" t="s">
        <v>34</v>
      </c>
      <c r="D618" s="1" t="s">
        <v>596</v>
      </c>
      <c r="E618" s="1" t="s">
        <v>1863</v>
      </c>
      <c r="F618" s="1"/>
      <c r="G618" s="1">
        <f>IF(ISNA(VLOOKUP(F618,Monster!B:E,4,FALSE)),0,VLOOKUP(F618,Monster!B:E,4,FALSE))</f>
        <v>0</v>
      </c>
      <c r="I618" s="1" t="s">
        <v>1864</v>
      </c>
      <c r="J618" s="1">
        <v>1596</v>
      </c>
      <c r="K618" s="1">
        <v>0</v>
      </c>
      <c r="L618" s="1">
        <v>0</v>
      </c>
      <c r="M618" s="1" t="s">
        <v>107</v>
      </c>
      <c r="O618" s="1">
        <f>((NOT(ISNA(VLOOKUP(M618,Monster!$H$2:$I$6,2,FALSE)))*L618)+J618)*(1+K618/100*0.25)</f>
        <v>1596</v>
      </c>
      <c r="P618" s="1" t="s">
        <v>410</v>
      </c>
      <c r="Q618" s="1">
        <v>2</v>
      </c>
      <c r="S618" s="1" t="s">
        <v>1865</v>
      </c>
      <c r="T618" s="1" t="s">
        <v>1866</v>
      </c>
    </row>
    <row r="619" spans="2:21" ht="12.75" hidden="1" x14ac:dyDescent="0.2">
      <c r="B619" s="1" t="s">
        <v>1867</v>
      </c>
      <c r="C619" s="1" t="s">
        <v>324</v>
      </c>
      <c r="D619" s="1" t="s">
        <v>596</v>
      </c>
      <c r="E619" s="1" t="s">
        <v>1863</v>
      </c>
      <c r="F619" s="1" t="s">
        <v>11</v>
      </c>
      <c r="G619" s="1">
        <f>IF(ISNA(VLOOKUP(F619,Monster!B:E,4,FALSE)),0,VLOOKUP(F619,Monster!B:E,4,FALSE))</f>
        <v>1</v>
      </c>
      <c r="I619" s="1" t="s">
        <v>1868</v>
      </c>
      <c r="J619" s="1">
        <v>1373</v>
      </c>
      <c r="K619" s="1">
        <v>0</v>
      </c>
      <c r="L619" s="1">
        <v>607</v>
      </c>
      <c r="M619" s="1" t="s">
        <v>50</v>
      </c>
      <c r="O619" s="1">
        <f>((NOT(ISNA(VLOOKUP(M619,Monster!$H$2:$I$6,2,FALSE)))*L619)+J619)*(1+K619/100*0.25)</f>
        <v>1980</v>
      </c>
      <c r="P619" s="1" t="s">
        <v>348</v>
      </c>
      <c r="Q619" s="1">
        <v>2</v>
      </c>
      <c r="S619" s="1" t="s">
        <v>1869</v>
      </c>
      <c r="T619" s="1" t="s">
        <v>1870</v>
      </c>
    </row>
    <row r="620" spans="2:21" ht="12.75" hidden="1" x14ac:dyDescent="0.2">
      <c r="C620" s="1" t="s">
        <v>439</v>
      </c>
      <c r="D620" s="1" t="s">
        <v>596</v>
      </c>
      <c r="E620" s="1" t="s">
        <v>1863</v>
      </c>
      <c r="F620" s="1" t="s">
        <v>47</v>
      </c>
      <c r="G620" s="1">
        <f>IF(ISNA(VLOOKUP(F620,Monster!B:E,4,FALSE)),0,VLOOKUP(F620,Monster!B:E,4,FALSE))</f>
        <v>2</v>
      </c>
      <c r="J620" s="1">
        <v>1596</v>
      </c>
      <c r="K620" s="1">
        <v>30</v>
      </c>
      <c r="L620" s="1">
        <v>0</v>
      </c>
      <c r="M620" s="1" t="s">
        <v>107</v>
      </c>
      <c r="O620" s="1">
        <f>((NOT(ISNA(VLOOKUP(M620,Monster!$H$2:$I$6,2,FALSE)))*L620)+J620)*(1+K620/100*0.25)</f>
        <v>1715.6999999999998</v>
      </c>
      <c r="P620" s="1" t="s">
        <v>319</v>
      </c>
      <c r="Q620" s="1">
        <v>2</v>
      </c>
    </row>
    <row r="621" spans="2:21" ht="12.75" hidden="1" x14ac:dyDescent="0.2">
      <c r="C621" s="1" t="s">
        <v>541</v>
      </c>
      <c r="D621" s="1" t="s">
        <v>596</v>
      </c>
      <c r="E621" s="1" t="s">
        <v>1863</v>
      </c>
      <c r="F621" s="1" t="s">
        <v>52</v>
      </c>
      <c r="G621" s="1">
        <f>IF(ISNA(VLOOKUP(F621,Monster!B:E,4,FALSE)),0,VLOOKUP(F621,Monster!B:E,4,FALSE))</f>
        <v>3</v>
      </c>
      <c r="J621" s="1">
        <v>1596</v>
      </c>
      <c r="K621" s="1">
        <v>0</v>
      </c>
      <c r="L621" s="1">
        <v>400</v>
      </c>
      <c r="M621" s="1" t="s">
        <v>79</v>
      </c>
      <c r="O621" s="1">
        <f>((NOT(ISNA(VLOOKUP(M621,Monster!$H$2:$I$6,2,FALSE)))*L621)+J621)*(1+K621/100*0.25)</f>
        <v>1596</v>
      </c>
      <c r="P621" s="1" t="s">
        <v>590</v>
      </c>
      <c r="Q621" s="1">
        <v>1</v>
      </c>
    </row>
    <row r="622" spans="2:21" ht="12.75" hidden="1" x14ac:dyDescent="0.2">
      <c r="B622" s="1" t="s">
        <v>1871</v>
      </c>
      <c r="C622" s="1" t="s">
        <v>617</v>
      </c>
      <c r="D622" s="1" t="s">
        <v>596</v>
      </c>
      <c r="E622" s="1" t="s">
        <v>1863</v>
      </c>
      <c r="F622" s="1" t="s">
        <v>60</v>
      </c>
      <c r="G622" s="1">
        <f>IF(ISNA(VLOOKUP(F622,Monster!B:E,4,FALSE)),0,VLOOKUP(F622,Monster!B:E,4,FALSE))</f>
        <v>4</v>
      </c>
      <c r="I622" s="1" t="s">
        <v>1871</v>
      </c>
      <c r="J622" s="1">
        <v>1221</v>
      </c>
      <c r="K622" s="1">
        <v>0</v>
      </c>
      <c r="L622" s="1">
        <v>1142</v>
      </c>
      <c r="M622" s="1" t="s">
        <v>50</v>
      </c>
      <c r="O622" s="1">
        <f>((NOT(ISNA(VLOOKUP(M622,Monster!$H$2:$I$6,2,FALSE)))*L622)+J622)*(1+K622/100*0.25)</f>
        <v>2363</v>
      </c>
      <c r="P622" s="1" t="s">
        <v>244</v>
      </c>
      <c r="Q622" s="1">
        <v>1</v>
      </c>
      <c r="S622" s="1" t="s">
        <v>1872</v>
      </c>
      <c r="T622" s="1" t="s">
        <v>1873</v>
      </c>
      <c r="U622" s="1" t="s">
        <v>1874</v>
      </c>
    </row>
    <row r="623" spans="2:21" ht="12.75" hidden="1" x14ac:dyDescent="0.2">
      <c r="B623" s="1" t="s">
        <v>1875</v>
      </c>
      <c r="C623" s="1" t="s">
        <v>696</v>
      </c>
      <c r="D623" s="1" t="s">
        <v>596</v>
      </c>
      <c r="E623" s="1" t="s">
        <v>1863</v>
      </c>
      <c r="F623" s="1" t="s">
        <v>69</v>
      </c>
      <c r="G623" s="1">
        <f>IF(ISNA(VLOOKUP(F623,Monster!B:E,4,FALSE)),0,VLOOKUP(F623,Monster!B:E,4,FALSE))</f>
        <v>5</v>
      </c>
      <c r="I623" s="1" t="s">
        <v>1875</v>
      </c>
      <c r="J623" s="1">
        <v>1756</v>
      </c>
      <c r="K623" s="1">
        <v>0</v>
      </c>
      <c r="L623" s="1">
        <v>0</v>
      </c>
      <c r="M623" s="1" t="s">
        <v>107</v>
      </c>
      <c r="O623" s="1">
        <f>((NOT(ISNA(VLOOKUP(M623,Monster!$H$2:$I$6,2,FALSE)))*L623)+J623)*(1+K623/100*0.25)</f>
        <v>1756</v>
      </c>
      <c r="P623" s="1" t="s">
        <v>213</v>
      </c>
      <c r="Q623" s="1">
        <v>2</v>
      </c>
      <c r="S623" s="1" t="s">
        <v>1876</v>
      </c>
      <c r="T623" s="1" t="s">
        <v>1877</v>
      </c>
    </row>
    <row r="624" spans="2:21" ht="12.75" hidden="1" x14ac:dyDescent="0.2">
      <c r="C624" s="1" t="s">
        <v>719</v>
      </c>
      <c r="D624" s="1" t="s">
        <v>596</v>
      </c>
      <c r="E624" s="1" t="s">
        <v>1863</v>
      </c>
      <c r="F624" s="1" t="s">
        <v>75</v>
      </c>
      <c r="G624" s="1">
        <f>IF(ISNA(VLOOKUP(F624,Monster!B:E,4,FALSE)),0,VLOOKUP(F624,Monster!B:E,4,FALSE))</f>
        <v>6</v>
      </c>
      <c r="J624" s="1">
        <v>1596</v>
      </c>
      <c r="K624" s="1">
        <v>0</v>
      </c>
      <c r="L624" s="1">
        <v>400</v>
      </c>
      <c r="M624" s="1" t="s">
        <v>87</v>
      </c>
      <c r="O624" s="1">
        <f>((NOT(ISNA(VLOOKUP(M624,Monster!$H$2:$I$6,2,FALSE)))*L624)+J624)*(1+K624/100*0.25)</f>
        <v>1596</v>
      </c>
      <c r="P624" s="1" t="s">
        <v>590</v>
      </c>
      <c r="Q624" s="1">
        <v>1</v>
      </c>
    </row>
    <row r="625" spans="2:21" ht="12.75" hidden="1" x14ac:dyDescent="0.2">
      <c r="B625" s="1" t="s">
        <v>1878</v>
      </c>
      <c r="C625" s="1" t="s">
        <v>729</v>
      </c>
      <c r="D625" s="1" t="s">
        <v>596</v>
      </c>
      <c r="E625" s="1" t="s">
        <v>1863</v>
      </c>
      <c r="F625" s="1" t="s">
        <v>81</v>
      </c>
      <c r="G625" s="1">
        <f>IF(ISNA(VLOOKUP(F625,Monster!B:E,4,FALSE)),0,VLOOKUP(F625,Monster!B:E,4,FALSE))</f>
        <v>7</v>
      </c>
      <c r="I625" s="1" t="s">
        <v>1879</v>
      </c>
      <c r="J625" s="1">
        <v>1293</v>
      </c>
      <c r="K625" s="1">
        <v>0</v>
      </c>
      <c r="L625" s="1">
        <v>910</v>
      </c>
      <c r="M625" s="1" t="s">
        <v>58</v>
      </c>
      <c r="O625" s="1">
        <f>((NOT(ISNA(VLOOKUP(M625,Monster!$H$2:$I$6,2,FALSE)))*L625)+J625)*(1+K625/100*0.25)</f>
        <v>2203</v>
      </c>
      <c r="P625" s="1" t="s">
        <v>253</v>
      </c>
      <c r="Q625" s="1">
        <v>1</v>
      </c>
      <c r="S625" s="1" t="s">
        <v>1880</v>
      </c>
      <c r="T625" s="1" t="s">
        <v>1881</v>
      </c>
    </row>
    <row r="626" spans="2:21" ht="12.75" hidden="1" x14ac:dyDescent="0.2">
      <c r="B626" s="1" t="s">
        <v>1882</v>
      </c>
      <c r="C626" s="1" t="s">
        <v>735</v>
      </c>
      <c r="D626" s="1" t="s">
        <v>596</v>
      </c>
      <c r="E626" s="1" t="s">
        <v>1863</v>
      </c>
      <c r="F626" s="1" t="s">
        <v>91</v>
      </c>
      <c r="G626" s="1">
        <f>IF(ISNA(VLOOKUP(F626,Monster!B:E,4,FALSE)),0,VLOOKUP(F626,Monster!B:E,4,FALSE))</f>
        <v>8</v>
      </c>
      <c r="I626" s="1" t="s">
        <v>1883</v>
      </c>
      <c r="J626" s="1">
        <v>1764</v>
      </c>
      <c r="K626" s="1">
        <v>0</v>
      </c>
      <c r="L626" s="1">
        <v>0</v>
      </c>
      <c r="M626" s="1" t="s">
        <v>107</v>
      </c>
      <c r="O626" s="1">
        <f>((NOT(ISNA(VLOOKUP(M626,Monster!$H$2:$I$6,2,FALSE)))*L626)+J626)*(1+K626/100*0.25)</f>
        <v>1764</v>
      </c>
      <c r="P626" s="1" t="s">
        <v>228</v>
      </c>
      <c r="Q626" s="1">
        <v>2</v>
      </c>
      <c r="S626" s="1" t="s">
        <v>1865</v>
      </c>
      <c r="T626" s="1" t="s">
        <v>1884</v>
      </c>
      <c r="U626" s="1" t="s">
        <v>1866</v>
      </c>
    </row>
    <row r="627" spans="2:21" ht="12.75" hidden="1" x14ac:dyDescent="0.2">
      <c r="B627" s="1" t="s">
        <v>1885</v>
      </c>
      <c r="C627" s="1" t="s">
        <v>740</v>
      </c>
      <c r="D627" s="1" t="s">
        <v>596</v>
      </c>
      <c r="E627" s="1" t="s">
        <v>1863</v>
      </c>
      <c r="F627" s="1" t="s">
        <v>97</v>
      </c>
      <c r="G627" s="1">
        <f>IF(ISNA(VLOOKUP(F627,Monster!B:E,4,FALSE)),0,VLOOKUP(F627,Monster!B:E,4,FALSE))</f>
        <v>9</v>
      </c>
      <c r="I627" s="1" t="s">
        <v>1885</v>
      </c>
      <c r="J627" s="1">
        <v>1979</v>
      </c>
      <c r="K627" s="1">
        <v>0</v>
      </c>
      <c r="L627" s="1">
        <v>0</v>
      </c>
      <c r="M627" s="1" t="s">
        <v>107</v>
      </c>
      <c r="O627" s="1">
        <f>((NOT(ISNA(VLOOKUP(M627,Monster!$H$2:$I$6,2,FALSE)))*L627)+J627)*(1+K627/100*0.25)</f>
        <v>1979</v>
      </c>
      <c r="P627" s="1" t="s">
        <v>590</v>
      </c>
      <c r="Q627" s="1">
        <v>1</v>
      </c>
      <c r="S627" s="1" t="s">
        <v>1886</v>
      </c>
      <c r="T627" s="1" t="s">
        <v>1887</v>
      </c>
      <c r="U627" s="1" t="s">
        <v>1866</v>
      </c>
    </row>
    <row r="628" spans="2:21" ht="12.75" hidden="1" x14ac:dyDescent="0.2">
      <c r="B628" s="1" t="s">
        <v>1888</v>
      </c>
      <c r="C628" s="1" t="s">
        <v>745</v>
      </c>
      <c r="D628" s="1" t="s">
        <v>596</v>
      </c>
      <c r="E628" s="1" t="s">
        <v>1863</v>
      </c>
      <c r="F628" s="1" t="s">
        <v>102</v>
      </c>
      <c r="G628" s="1">
        <f>IF(ISNA(VLOOKUP(F628,Monster!B:E,4,FALSE)),0,VLOOKUP(F628,Monster!B:E,4,FALSE))</f>
        <v>10</v>
      </c>
      <c r="I628" s="1" t="s">
        <v>1889</v>
      </c>
      <c r="J628" s="1">
        <v>1293</v>
      </c>
      <c r="K628" s="1">
        <v>0</v>
      </c>
      <c r="L628" s="1">
        <v>910</v>
      </c>
      <c r="M628" s="1" t="s">
        <v>50</v>
      </c>
      <c r="O628" s="1">
        <f>((NOT(ISNA(VLOOKUP(M628,Monster!$H$2:$I$6,2,FALSE)))*L628)+J628)*(1+K628/100*0.25)</f>
        <v>2203</v>
      </c>
      <c r="P628" s="1" t="s">
        <v>394</v>
      </c>
      <c r="Q628" s="1">
        <v>1</v>
      </c>
      <c r="S628" s="1" t="s">
        <v>1872</v>
      </c>
      <c r="T628" s="1" t="s">
        <v>1890</v>
      </c>
      <c r="U628" s="1" t="s">
        <v>1891</v>
      </c>
    </row>
    <row r="629" spans="2:21" ht="12.75" hidden="1" x14ac:dyDescent="0.2">
      <c r="B629" s="1" t="s">
        <v>1892</v>
      </c>
      <c r="C629" s="1" t="s">
        <v>750</v>
      </c>
      <c r="D629" s="1" t="s">
        <v>596</v>
      </c>
      <c r="E629" s="1" t="s">
        <v>1863</v>
      </c>
      <c r="F629" s="1" t="s">
        <v>109</v>
      </c>
      <c r="G629" s="1">
        <f>IF(ISNA(VLOOKUP(F629,Monster!B:E,4,FALSE)),0,VLOOKUP(F629,Monster!B:E,4,FALSE))</f>
        <v>11</v>
      </c>
      <c r="I629" s="1" t="s">
        <v>1893</v>
      </c>
      <c r="J629" s="1">
        <v>1293</v>
      </c>
      <c r="K629" s="1">
        <v>0</v>
      </c>
      <c r="L629" s="1">
        <v>910</v>
      </c>
      <c r="M629" s="1" t="s">
        <v>41</v>
      </c>
      <c r="O629" s="1">
        <f>((NOT(ISNA(VLOOKUP(M629,Monster!$H$2:$I$6,2,FALSE)))*L629)+J629)*(1+K629/100*0.25)</f>
        <v>2203</v>
      </c>
      <c r="P629" s="1" t="s">
        <v>543</v>
      </c>
      <c r="Q629" s="1">
        <v>1</v>
      </c>
      <c r="S629" s="1" t="s">
        <v>1894</v>
      </c>
      <c r="T629" s="1" t="s">
        <v>1895</v>
      </c>
    </row>
    <row r="630" spans="2:21" ht="12.75" hidden="1" x14ac:dyDescent="0.2">
      <c r="B630" s="1" t="s">
        <v>1896</v>
      </c>
      <c r="C630" s="1" t="s">
        <v>756</v>
      </c>
      <c r="D630" s="1" t="s">
        <v>596</v>
      </c>
      <c r="E630" s="1" t="s">
        <v>1863</v>
      </c>
      <c r="F630" s="1" t="s">
        <v>119</v>
      </c>
      <c r="G630" s="1">
        <f>IF(ISNA(VLOOKUP(F630,Monster!B:E,4,FALSE)),0,VLOOKUP(F630,Monster!B:E,4,FALSE))</f>
        <v>12</v>
      </c>
      <c r="I630" s="1" t="s">
        <v>1896</v>
      </c>
      <c r="J630" s="1">
        <v>1197</v>
      </c>
      <c r="K630" s="1">
        <v>20</v>
      </c>
      <c r="L630" s="1">
        <v>1154</v>
      </c>
      <c r="M630" s="1" t="s">
        <v>58</v>
      </c>
      <c r="O630" s="1">
        <f>((NOT(ISNA(VLOOKUP(M630,Monster!$H$2:$I$6,2,FALSE)))*L630)+J630)*(1+K630/100*0.25)</f>
        <v>2468.5500000000002</v>
      </c>
      <c r="P630" s="1" t="s">
        <v>175</v>
      </c>
      <c r="Q630" s="1">
        <v>1</v>
      </c>
      <c r="S630" s="1" t="s">
        <v>1897</v>
      </c>
      <c r="T630" s="1" t="s">
        <v>1898</v>
      </c>
      <c r="U630" s="1" t="s">
        <v>1880</v>
      </c>
    </row>
    <row r="631" spans="2:21" ht="12.75" hidden="1" x14ac:dyDescent="0.2">
      <c r="C631" s="1" t="s">
        <v>761</v>
      </c>
      <c r="D631" s="1" t="s">
        <v>596</v>
      </c>
      <c r="E631" s="1" t="s">
        <v>1863</v>
      </c>
      <c r="F631" s="1" t="s">
        <v>125</v>
      </c>
      <c r="G631" s="1">
        <f>IF(ISNA(VLOOKUP(F631,Monster!B:E,4,FALSE)),0,VLOOKUP(F631,Monster!B:E,4,FALSE))</f>
        <v>13</v>
      </c>
      <c r="J631" s="1">
        <v>1516</v>
      </c>
      <c r="K631" s="1">
        <v>0</v>
      </c>
      <c r="L631" s="1">
        <v>496</v>
      </c>
      <c r="M631" s="1" t="s">
        <v>79</v>
      </c>
      <c r="O631" s="1">
        <f>((NOT(ISNA(VLOOKUP(M631,Monster!$H$2:$I$6,2,FALSE)))*L631)+J631)*(1+K631/100*0.25)</f>
        <v>1516</v>
      </c>
      <c r="P631" s="1" t="s">
        <v>348</v>
      </c>
      <c r="Q631" s="1">
        <v>2</v>
      </c>
    </row>
    <row r="632" spans="2:21" ht="12.75" hidden="1" x14ac:dyDescent="0.2">
      <c r="C632" s="1" t="s">
        <v>766</v>
      </c>
      <c r="D632" s="1" t="s">
        <v>596</v>
      </c>
      <c r="E632" s="1" t="s">
        <v>1863</v>
      </c>
      <c r="F632" s="1" t="s">
        <v>131</v>
      </c>
      <c r="G632" s="1">
        <f>IF(ISNA(VLOOKUP(F632,Monster!B:E,4,FALSE)),0,VLOOKUP(F632,Monster!B:E,4,FALSE))</f>
        <v>14</v>
      </c>
      <c r="J632" s="1">
        <v>1756</v>
      </c>
      <c r="K632" s="1">
        <v>0</v>
      </c>
      <c r="L632" s="1">
        <v>300</v>
      </c>
      <c r="M632" s="1" t="s">
        <v>79</v>
      </c>
      <c r="O632" s="1">
        <f>((NOT(ISNA(VLOOKUP(M632,Monster!$H$2:$I$6,2,FALSE)))*L632)+J632)*(1+K632/100*0.25)</f>
        <v>1756</v>
      </c>
      <c r="P632" s="1" t="s">
        <v>253</v>
      </c>
      <c r="Q632" s="1">
        <v>1</v>
      </c>
    </row>
    <row r="633" spans="2:21" ht="12.75" hidden="1" x14ac:dyDescent="0.2">
      <c r="B633" s="1" t="s">
        <v>1899</v>
      </c>
      <c r="C633" s="1" t="s">
        <v>771</v>
      </c>
      <c r="D633" s="1" t="s">
        <v>596</v>
      </c>
      <c r="E633" s="1" t="s">
        <v>1863</v>
      </c>
      <c r="F633" s="1" t="s">
        <v>137</v>
      </c>
      <c r="G633" s="1">
        <f>IF(ISNA(VLOOKUP(F633,Monster!B:E,4,FALSE)),0,VLOOKUP(F633,Monster!B:E,4,FALSE))</f>
        <v>15</v>
      </c>
      <c r="I633" s="1" t="s">
        <v>1899</v>
      </c>
      <c r="J633" s="1">
        <v>1993</v>
      </c>
      <c r="K633" s="1">
        <v>30</v>
      </c>
      <c r="L633" s="1">
        <v>0</v>
      </c>
      <c r="M633" s="1" t="s">
        <v>107</v>
      </c>
      <c r="O633" s="1">
        <f>((NOT(ISNA(VLOOKUP(M633,Monster!$H$2:$I$6,2,FALSE)))*L633)+J633)*(1+K633/100*0.25)</f>
        <v>2142.4749999999999</v>
      </c>
      <c r="P633" s="1" t="s">
        <v>483</v>
      </c>
      <c r="Q633" s="1">
        <v>2</v>
      </c>
      <c r="S633" s="1" t="s">
        <v>1900</v>
      </c>
      <c r="T633" s="1" t="s">
        <v>1901</v>
      </c>
      <c r="U633" s="1" t="s">
        <v>1887</v>
      </c>
    </row>
    <row r="634" spans="2:21" ht="12.75" hidden="1" x14ac:dyDescent="0.2">
      <c r="B634" s="1" t="s">
        <v>1902</v>
      </c>
      <c r="C634" s="1" t="s">
        <v>775</v>
      </c>
      <c r="D634" s="1" t="s">
        <v>596</v>
      </c>
      <c r="E634" s="1" t="s">
        <v>1863</v>
      </c>
      <c r="F634" s="1" t="s">
        <v>146</v>
      </c>
      <c r="G634" s="1">
        <f>IF(ISNA(VLOOKUP(F634,Monster!B:E,4,FALSE)),0,VLOOKUP(F634,Monster!B:E,4,FALSE))</f>
        <v>16</v>
      </c>
      <c r="I634" s="1" t="s">
        <v>1903</v>
      </c>
      <c r="J634" s="1">
        <v>1221</v>
      </c>
      <c r="K634" s="1">
        <v>0</v>
      </c>
      <c r="L634" s="1">
        <v>1142</v>
      </c>
      <c r="M634" s="1" t="s">
        <v>66</v>
      </c>
      <c r="O634" s="1">
        <f>((NOT(ISNA(VLOOKUP(M634,Monster!$H$2:$I$6,2,FALSE)))*L634)+J634)*(1+K634/100*0.25)</f>
        <v>2363</v>
      </c>
      <c r="P634" s="1" t="s">
        <v>228</v>
      </c>
      <c r="Q634" s="1">
        <v>2</v>
      </c>
      <c r="S634" s="1" t="s">
        <v>1904</v>
      </c>
      <c r="T634" s="1" t="s">
        <v>1905</v>
      </c>
      <c r="U634" s="1" t="s">
        <v>1906</v>
      </c>
    </row>
    <row r="635" spans="2:21" ht="12.75" hidden="1" x14ac:dyDescent="0.2">
      <c r="C635" s="1" t="s">
        <v>779</v>
      </c>
      <c r="D635" s="1" t="s">
        <v>596</v>
      </c>
      <c r="E635" s="1" t="s">
        <v>1863</v>
      </c>
      <c r="F635" s="1" t="s">
        <v>151</v>
      </c>
      <c r="G635" s="1">
        <f>IF(ISNA(VLOOKUP(F635,Monster!B:E,4,FALSE)),0,VLOOKUP(F635,Monster!B:E,4,FALSE))</f>
        <v>17</v>
      </c>
      <c r="J635" s="1">
        <v>1979</v>
      </c>
      <c r="K635" s="1">
        <v>0</v>
      </c>
      <c r="L635" s="1">
        <v>0</v>
      </c>
      <c r="M635" s="1" t="s">
        <v>107</v>
      </c>
      <c r="O635" s="1">
        <f>((NOT(ISNA(VLOOKUP(M635,Monster!$H$2:$I$6,2,FALSE)))*L635)+J635)*(1+K635/100*0.25)</f>
        <v>1979</v>
      </c>
      <c r="P635" s="1" t="s">
        <v>364</v>
      </c>
      <c r="Q635" s="1">
        <v>1</v>
      </c>
    </row>
    <row r="636" spans="2:21" ht="12.75" hidden="1" x14ac:dyDescent="0.2">
      <c r="C636" s="1" t="s">
        <v>782</v>
      </c>
      <c r="D636" s="1" t="s">
        <v>596</v>
      </c>
      <c r="E636" s="1" t="s">
        <v>1863</v>
      </c>
      <c r="F636" s="1" t="s">
        <v>155</v>
      </c>
      <c r="G636" s="1">
        <f>IF(ISNA(VLOOKUP(F636,Monster!B:E,4,FALSE)),0,VLOOKUP(F636,Monster!B:E,4,FALSE))</f>
        <v>18</v>
      </c>
      <c r="J636" s="1">
        <v>2218</v>
      </c>
      <c r="K636" s="1">
        <v>-30</v>
      </c>
      <c r="L636" s="1">
        <v>0</v>
      </c>
      <c r="M636" s="1" t="s">
        <v>107</v>
      </c>
      <c r="O636" s="1">
        <f>((NOT(ISNA(VLOOKUP(M636,Monster!$H$2:$I$6,2,FALSE)))*L636)+J636)*(1+K636/100*0.25)</f>
        <v>2051.65</v>
      </c>
      <c r="P636" s="1" t="s">
        <v>463</v>
      </c>
      <c r="Q636" s="1">
        <v>1</v>
      </c>
    </row>
    <row r="637" spans="2:21" ht="12.75" hidden="1" x14ac:dyDescent="0.2">
      <c r="B637" s="1" t="s">
        <v>1907</v>
      </c>
      <c r="C637" s="1" t="s">
        <v>786</v>
      </c>
      <c r="D637" s="1" t="s">
        <v>596</v>
      </c>
      <c r="E637" s="1" t="s">
        <v>1863</v>
      </c>
      <c r="F637" s="1" t="s">
        <v>160</v>
      </c>
      <c r="G637" s="1">
        <f>IF(ISNA(VLOOKUP(F637,Monster!B:E,4,FALSE)),0,VLOOKUP(F637,Monster!B:E,4,FALSE))</f>
        <v>19</v>
      </c>
      <c r="I637" s="1" t="s">
        <v>1908</v>
      </c>
      <c r="J637" s="1">
        <v>1221</v>
      </c>
      <c r="K637" s="1">
        <v>0</v>
      </c>
      <c r="L637" s="1">
        <v>1142</v>
      </c>
      <c r="M637" s="1" t="s">
        <v>41</v>
      </c>
      <c r="O637" s="1">
        <f>((NOT(ISNA(VLOOKUP(M637,Monster!$H$2:$I$6,2,FALSE)))*L637)+J637)*(1+K637/100*0.25)</f>
        <v>2363</v>
      </c>
      <c r="P637" s="1" t="s">
        <v>244</v>
      </c>
      <c r="Q637" s="1">
        <v>1</v>
      </c>
      <c r="S637" s="1" t="s">
        <v>1909</v>
      </c>
      <c r="T637" s="1" t="s">
        <v>1910</v>
      </c>
      <c r="U637" s="1" t="s">
        <v>1911</v>
      </c>
    </row>
    <row r="638" spans="2:21" ht="12.75" hidden="1" x14ac:dyDescent="0.2">
      <c r="B638" s="1" t="s">
        <v>1912</v>
      </c>
      <c r="C638" s="1" t="s">
        <v>790</v>
      </c>
      <c r="D638" s="1" t="s">
        <v>596</v>
      </c>
      <c r="E638" s="1" t="s">
        <v>1863</v>
      </c>
      <c r="F638" s="1" t="s">
        <v>165</v>
      </c>
      <c r="G638" s="1">
        <f>IF(ISNA(VLOOKUP(F638,Monster!B:E,4,FALSE)),0,VLOOKUP(F638,Monster!B:E,4,FALSE))</f>
        <v>20</v>
      </c>
      <c r="I638" s="1" t="s">
        <v>1912</v>
      </c>
      <c r="J638" s="1">
        <v>1682</v>
      </c>
      <c r="K638" s="1">
        <v>0</v>
      </c>
      <c r="L638" s="1">
        <v>605</v>
      </c>
      <c r="M638" s="1" t="s">
        <v>41</v>
      </c>
      <c r="O638" s="1">
        <f>((NOT(ISNA(VLOOKUP(M638,Monster!$H$2:$I$6,2,FALSE)))*L638)+J638)*(1+K638/100*0.25)</f>
        <v>2287</v>
      </c>
      <c r="P638" s="1" t="s">
        <v>602</v>
      </c>
      <c r="Q638" s="1">
        <v>1</v>
      </c>
      <c r="S638" s="1" t="s">
        <v>1909</v>
      </c>
      <c r="T638" s="1" t="s">
        <v>1910</v>
      </c>
      <c r="U638" s="1" t="s">
        <v>1913</v>
      </c>
    </row>
    <row r="639" spans="2:21" ht="12.75" hidden="1" x14ac:dyDescent="0.2">
      <c r="B639" s="1" t="s">
        <v>1914</v>
      </c>
      <c r="C639" s="1" t="s">
        <v>794</v>
      </c>
      <c r="D639" s="1" t="s">
        <v>596</v>
      </c>
      <c r="E639" s="1" t="s">
        <v>1863</v>
      </c>
      <c r="F639" s="1" t="s">
        <v>171</v>
      </c>
      <c r="G639" s="1">
        <f>IF(ISNA(VLOOKUP(F639,Monster!B:E,4,FALSE)),0,VLOOKUP(F639,Monster!B:E,4,FALSE))</f>
        <v>21</v>
      </c>
      <c r="I639" s="1" t="s">
        <v>1914</v>
      </c>
      <c r="J639" s="1">
        <v>1258</v>
      </c>
      <c r="K639" s="1">
        <v>30</v>
      </c>
      <c r="L639" s="1">
        <v>1082</v>
      </c>
      <c r="M639" s="1" t="s">
        <v>41</v>
      </c>
      <c r="O639" s="1">
        <f>((NOT(ISNA(VLOOKUP(M639,Monster!$H$2:$I$6,2,FALSE)))*L639)+J639)*(1+K639/100*0.25)</f>
        <v>2515.5</v>
      </c>
      <c r="P639" s="1" t="s">
        <v>175</v>
      </c>
      <c r="Q639" s="1">
        <v>2</v>
      </c>
      <c r="S639" s="1" t="s">
        <v>1910</v>
      </c>
      <c r="T639" s="1" t="s">
        <v>1911</v>
      </c>
      <c r="U639" s="1" t="s">
        <v>1915</v>
      </c>
    </row>
    <row r="640" spans="2:21" ht="12.75" hidden="1" x14ac:dyDescent="0.2">
      <c r="C640" s="1" t="s">
        <v>797</v>
      </c>
      <c r="D640" s="1" t="s">
        <v>596</v>
      </c>
      <c r="E640" s="1" t="s">
        <v>1863</v>
      </c>
      <c r="F640" s="1" t="s">
        <v>176</v>
      </c>
      <c r="G640" s="1">
        <f>IF(ISNA(VLOOKUP(F640,Monster!B:E,4,FALSE)),0,VLOOKUP(F640,Monster!B:E,4,FALSE))</f>
        <v>22</v>
      </c>
      <c r="J640" s="1">
        <v>1596</v>
      </c>
      <c r="K640" s="1">
        <v>0</v>
      </c>
      <c r="L640" s="1">
        <v>400</v>
      </c>
      <c r="M640" s="1" t="s">
        <v>95</v>
      </c>
      <c r="O640" s="1">
        <f>((NOT(ISNA(VLOOKUP(M640,Monster!$H$2:$I$6,2,FALSE)))*L640)+J640)*(1+K640/100*0.25)</f>
        <v>1596</v>
      </c>
      <c r="P640" s="1" t="s">
        <v>213</v>
      </c>
      <c r="Q640" s="1">
        <v>2</v>
      </c>
    </row>
    <row r="641" spans="2:21" ht="12.75" hidden="1" x14ac:dyDescent="0.2">
      <c r="B641" s="1" t="s">
        <v>1916</v>
      </c>
      <c r="C641" s="1" t="s">
        <v>800</v>
      </c>
      <c r="D641" s="1" t="s">
        <v>596</v>
      </c>
      <c r="E641" s="1" t="s">
        <v>1863</v>
      </c>
      <c r="F641" s="1" t="s">
        <v>184</v>
      </c>
      <c r="G641" s="1">
        <f>IF(ISNA(VLOOKUP(F641,Monster!B:E,4,FALSE)),0,VLOOKUP(F641,Monster!B:E,4,FALSE))</f>
        <v>23</v>
      </c>
      <c r="I641" s="1" t="s">
        <v>1916</v>
      </c>
      <c r="J641" s="1">
        <v>1764</v>
      </c>
      <c r="K641" s="1">
        <v>0</v>
      </c>
      <c r="L641" s="1">
        <v>0</v>
      </c>
      <c r="M641" s="1" t="s">
        <v>107</v>
      </c>
      <c r="O641" s="1">
        <f>((NOT(ISNA(VLOOKUP(M641,Monster!$H$2:$I$6,2,FALSE)))*L641)+J641)*(1+K641/100*0.25)</f>
        <v>1764</v>
      </c>
      <c r="P641" s="1" t="s">
        <v>306</v>
      </c>
      <c r="Q641" s="1">
        <v>2</v>
      </c>
      <c r="S641" s="1" t="s">
        <v>1865</v>
      </c>
      <c r="T641" s="1" t="s">
        <v>1877</v>
      </c>
      <c r="U641" s="1" t="s">
        <v>1917</v>
      </c>
    </row>
    <row r="642" spans="2:21" ht="12.75" hidden="1" x14ac:dyDescent="0.2">
      <c r="B642" s="1" t="s">
        <v>1918</v>
      </c>
      <c r="C642" s="1" t="s">
        <v>803</v>
      </c>
      <c r="D642" s="1" t="s">
        <v>596</v>
      </c>
      <c r="E642" s="1" t="s">
        <v>1863</v>
      </c>
      <c r="F642" s="1" t="s">
        <v>190</v>
      </c>
      <c r="G642" s="1">
        <f>IF(ISNA(VLOOKUP(F642,Monster!B:E,4,FALSE)),0,VLOOKUP(F642,Monster!B:E,4,FALSE))</f>
        <v>24</v>
      </c>
      <c r="I642" s="1" t="s">
        <v>1919</v>
      </c>
      <c r="J642" s="1">
        <v>1191</v>
      </c>
      <c r="K642" s="1">
        <v>20</v>
      </c>
      <c r="L642" s="1">
        <v>910</v>
      </c>
      <c r="M642" s="1" t="s">
        <v>66</v>
      </c>
      <c r="O642" s="1">
        <f>((NOT(ISNA(VLOOKUP(M642,Monster!$H$2:$I$6,2,FALSE)))*L642)+J642)*(1+K642/100*0.25)</f>
        <v>2206.0500000000002</v>
      </c>
      <c r="P642" s="1" t="s">
        <v>253</v>
      </c>
      <c r="Q642" s="1">
        <v>1</v>
      </c>
      <c r="S642" s="1" t="s">
        <v>1920</v>
      </c>
      <c r="T642" s="1" t="s">
        <v>1921</v>
      </c>
    </row>
    <row r="643" spans="2:21" ht="12.75" hidden="1" x14ac:dyDescent="0.2">
      <c r="B643" s="1" t="s">
        <v>1922</v>
      </c>
      <c r="C643" s="1" t="s">
        <v>807</v>
      </c>
      <c r="D643" s="1" t="s">
        <v>596</v>
      </c>
      <c r="E643" s="1" t="s">
        <v>1863</v>
      </c>
      <c r="F643" s="1" t="s">
        <v>193</v>
      </c>
      <c r="G643" s="1">
        <f>IF(ISNA(VLOOKUP(F643,Monster!B:E,4,FALSE)),0,VLOOKUP(F643,Monster!B:E,4,FALSE))</f>
        <v>25</v>
      </c>
      <c r="I643" s="1" t="s">
        <v>1923</v>
      </c>
      <c r="J643" s="1">
        <v>1221</v>
      </c>
      <c r="K643" s="1">
        <v>0</v>
      </c>
      <c r="L643" s="1">
        <v>1142</v>
      </c>
      <c r="M643" s="1" t="s">
        <v>58</v>
      </c>
      <c r="O643" s="1">
        <f>((NOT(ISNA(VLOOKUP(M643,Monster!$H$2:$I$6,2,FALSE)))*L643)+J643)*(1+K643/100*0.25)</f>
        <v>2363</v>
      </c>
      <c r="P643" s="1" t="s">
        <v>38</v>
      </c>
      <c r="Q643" s="1">
        <v>1</v>
      </c>
      <c r="S643" s="1" t="s">
        <v>1880</v>
      </c>
      <c r="T643" s="1" t="s">
        <v>1924</v>
      </c>
      <c r="U643" s="1" t="s">
        <v>1925</v>
      </c>
    </row>
    <row r="644" spans="2:21" ht="12.75" hidden="1" x14ac:dyDescent="0.2">
      <c r="C644" s="1" t="s">
        <v>810</v>
      </c>
      <c r="D644" s="1" t="s">
        <v>596</v>
      </c>
      <c r="E644" s="1" t="s">
        <v>1863</v>
      </c>
      <c r="F644" s="1" t="s">
        <v>197</v>
      </c>
      <c r="G644" s="1">
        <f>IF(ISNA(VLOOKUP(F644,Monster!B:E,4,FALSE)),0,VLOOKUP(F644,Monster!B:E,4,FALSE))</f>
        <v>26</v>
      </c>
      <c r="J644" s="1">
        <v>1588</v>
      </c>
      <c r="K644" s="1">
        <v>0</v>
      </c>
      <c r="L644" s="1">
        <v>632</v>
      </c>
      <c r="M644" s="1" t="s">
        <v>58</v>
      </c>
      <c r="O644" s="1">
        <f>((NOT(ISNA(VLOOKUP(M644,Monster!$H$2:$I$6,2,FALSE)))*L644)+J644)*(1+K644/100*0.25)</f>
        <v>2220</v>
      </c>
      <c r="P644" s="1" t="s">
        <v>412</v>
      </c>
      <c r="Q644" s="1">
        <v>1</v>
      </c>
    </row>
    <row r="645" spans="2:21" ht="12.75" hidden="1" x14ac:dyDescent="0.2">
      <c r="B645" s="1" t="s">
        <v>1926</v>
      </c>
      <c r="C645" s="1" t="s">
        <v>813</v>
      </c>
      <c r="D645" s="1" t="s">
        <v>596</v>
      </c>
      <c r="E645" s="1" t="s">
        <v>1863</v>
      </c>
      <c r="F645" s="1" t="s">
        <v>205</v>
      </c>
      <c r="G645" s="1">
        <f>IF(ISNA(VLOOKUP(F645,Monster!B:E,4,FALSE)),0,VLOOKUP(F645,Monster!B:E,4,FALSE))</f>
        <v>27</v>
      </c>
      <c r="I645" s="1" t="s">
        <v>1927</v>
      </c>
      <c r="J645" s="1">
        <v>1719</v>
      </c>
      <c r="K645" s="1">
        <v>20</v>
      </c>
      <c r="L645" s="1">
        <v>0</v>
      </c>
      <c r="M645" s="1" t="s">
        <v>107</v>
      </c>
      <c r="O645" s="1">
        <f>((NOT(ISNA(VLOOKUP(M645,Monster!$H$2:$I$6,2,FALSE)))*L645)+J645)*(1+K645/100*0.25)</f>
        <v>1804.95</v>
      </c>
      <c r="P645" s="1" t="s">
        <v>269</v>
      </c>
      <c r="Q645" s="1">
        <v>1</v>
      </c>
      <c r="S645" s="1" t="s">
        <v>1928</v>
      </c>
      <c r="T645" s="1" t="s">
        <v>1929</v>
      </c>
    </row>
    <row r="646" spans="2:21" ht="12.75" hidden="1" x14ac:dyDescent="0.2">
      <c r="B646" s="1" t="s">
        <v>1930</v>
      </c>
      <c r="C646" s="1" t="s">
        <v>816</v>
      </c>
      <c r="D646" s="1" t="s">
        <v>596</v>
      </c>
      <c r="E646" s="1" t="s">
        <v>1863</v>
      </c>
      <c r="F646" s="1" t="s">
        <v>210</v>
      </c>
      <c r="G646" s="1">
        <f>IF(ISNA(VLOOKUP(F646,Monster!B:E,4,FALSE)),0,VLOOKUP(F646,Monster!B:E,4,FALSE))</f>
        <v>28</v>
      </c>
      <c r="I646" s="1" t="s">
        <v>1931</v>
      </c>
      <c r="J646" s="1">
        <v>1138</v>
      </c>
      <c r="K646" s="1">
        <v>20</v>
      </c>
      <c r="L646" s="1">
        <v>1156</v>
      </c>
      <c r="M646" s="1" t="s">
        <v>71</v>
      </c>
      <c r="O646" s="1">
        <f>((NOT(ISNA(VLOOKUP(M646,Monster!$H$2:$I$6,2,FALSE)))*L646)+J646)*(1+K646/100*0.25)</f>
        <v>2408.7000000000003</v>
      </c>
      <c r="P646" s="1" t="s">
        <v>166</v>
      </c>
      <c r="Q646" s="1">
        <v>1</v>
      </c>
      <c r="S646" s="1" t="s">
        <v>1932</v>
      </c>
      <c r="T646" s="1" t="s">
        <v>1933</v>
      </c>
    </row>
    <row r="647" spans="2:21" ht="12.75" hidden="1" x14ac:dyDescent="0.2">
      <c r="B647" s="1" t="s">
        <v>1934</v>
      </c>
      <c r="C647" s="1" t="s">
        <v>821</v>
      </c>
      <c r="D647" s="1" t="s">
        <v>596</v>
      </c>
      <c r="E647" s="1" t="s">
        <v>1863</v>
      </c>
      <c r="F647" s="1" t="s">
        <v>216</v>
      </c>
      <c r="G647" s="1">
        <f>IF(ISNA(VLOOKUP(F647,Monster!B:E,4,FALSE)),0,VLOOKUP(F647,Monster!B:E,4,FALSE))</f>
        <v>29</v>
      </c>
      <c r="I647" s="1" t="s">
        <v>1935</v>
      </c>
      <c r="J647" s="1">
        <v>1318</v>
      </c>
      <c r="K647" s="1">
        <v>-30</v>
      </c>
      <c r="L647" s="1">
        <v>1261</v>
      </c>
      <c r="M647" s="1" t="s">
        <v>71</v>
      </c>
      <c r="O647" s="1">
        <f>((NOT(ISNA(VLOOKUP(M647,Monster!$H$2:$I$6,2,FALSE)))*L647)+J647)*(1+K647/100*0.25)</f>
        <v>2385.5750000000003</v>
      </c>
      <c r="P647" s="1" t="s">
        <v>583</v>
      </c>
      <c r="Q647" s="1">
        <v>1</v>
      </c>
      <c r="S647" s="1" t="s">
        <v>1936</v>
      </c>
      <c r="T647" s="1" t="s">
        <v>1937</v>
      </c>
      <c r="U647" s="1" t="s">
        <v>1938</v>
      </c>
    </row>
    <row r="648" spans="2:21" ht="12.75" hidden="1" x14ac:dyDescent="0.2">
      <c r="B648" s="1" t="s">
        <v>1939</v>
      </c>
      <c r="C648" s="1" t="s">
        <v>825</v>
      </c>
      <c r="D648" s="1" t="s">
        <v>596</v>
      </c>
      <c r="E648" s="1" t="s">
        <v>1863</v>
      </c>
      <c r="F648" s="1" t="s">
        <v>223</v>
      </c>
      <c r="G648" s="1">
        <f>IF(ISNA(VLOOKUP(F648,Monster!B:E,4,FALSE)),0,VLOOKUP(F648,Monster!B:E,4,FALSE))</f>
        <v>30</v>
      </c>
      <c r="I648" s="1" t="s">
        <v>1940</v>
      </c>
      <c r="J648" s="1">
        <v>1671</v>
      </c>
      <c r="K648" s="1">
        <v>-15</v>
      </c>
      <c r="L648" s="1">
        <v>342</v>
      </c>
      <c r="M648" s="1" t="s">
        <v>79</v>
      </c>
      <c r="O648" s="1">
        <f>((NOT(ISNA(VLOOKUP(M648,Monster!$H$2:$I$6,2,FALSE)))*L648)+J648)*(1+K648/100*0.25)</f>
        <v>1608.3375000000001</v>
      </c>
      <c r="P648" s="1" t="s">
        <v>364</v>
      </c>
      <c r="Q648" s="1">
        <v>1</v>
      </c>
      <c r="S648" s="1" t="s">
        <v>1941</v>
      </c>
      <c r="T648" s="1" t="s">
        <v>1942</v>
      </c>
    </row>
    <row r="649" spans="2:21" ht="12.75" hidden="1" x14ac:dyDescent="0.2">
      <c r="B649" s="1" t="s">
        <v>1943</v>
      </c>
      <c r="C649" s="1" t="s">
        <v>829</v>
      </c>
      <c r="D649" s="1" t="s">
        <v>596</v>
      </c>
      <c r="E649" s="1" t="s">
        <v>1863</v>
      </c>
      <c r="F649" s="1" t="s">
        <v>229</v>
      </c>
      <c r="G649" s="1">
        <f>IF(ISNA(VLOOKUP(F649,Monster!B:E,4,FALSE)),0,VLOOKUP(F649,Monster!B:E,4,FALSE))</f>
        <v>31</v>
      </c>
      <c r="I649" s="1" t="s">
        <v>1944</v>
      </c>
      <c r="J649" s="1">
        <v>1194</v>
      </c>
      <c r="K649" s="1">
        <v>20</v>
      </c>
      <c r="L649" s="1">
        <v>913</v>
      </c>
      <c r="M649" s="1" t="s">
        <v>58</v>
      </c>
      <c r="O649" s="1">
        <f>((NOT(ISNA(VLOOKUP(M649,Monster!$H$2:$I$6,2,FALSE)))*L649)+J649)*(1+K649/100*0.25)</f>
        <v>2212.35</v>
      </c>
      <c r="P649" s="1" t="s">
        <v>470</v>
      </c>
      <c r="Q649" s="1">
        <v>1</v>
      </c>
      <c r="S649" s="1" t="s">
        <v>1897</v>
      </c>
      <c r="T649" s="1" t="s">
        <v>1945</v>
      </c>
    </row>
    <row r="650" spans="2:21" ht="12.75" hidden="1" x14ac:dyDescent="0.2">
      <c r="B650" s="1" t="s">
        <v>1946</v>
      </c>
      <c r="C650" s="1" t="s">
        <v>834</v>
      </c>
      <c r="D650" s="1" t="s">
        <v>596</v>
      </c>
      <c r="E650" s="1" t="s">
        <v>1863</v>
      </c>
      <c r="F650" s="1" t="s">
        <v>234</v>
      </c>
      <c r="G650" s="1">
        <f>IF(ISNA(VLOOKUP(F650,Monster!B:E,4,FALSE)),0,VLOOKUP(F650,Monster!B:E,4,FALSE))</f>
        <v>32</v>
      </c>
      <c r="I650" s="1" t="s">
        <v>1946</v>
      </c>
      <c r="J650" s="1">
        <v>1553</v>
      </c>
      <c r="K650" s="1">
        <v>0</v>
      </c>
      <c r="L650" s="1">
        <v>974</v>
      </c>
      <c r="M650" s="1" t="s">
        <v>66</v>
      </c>
      <c r="O650" s="1">
        <f>((NOT(ISNA(VLOOKUP(M650,Monster!$H$2:$I$6,2,FALSE)))*L650)+J650)*(1+K650/100*0.25)</f>
        <v>2527</v>
      </c>
      <c r="P650" s="1" t="s">
        <v>528</v>
      </c>
      <c r="Q650" s="1">
        <v>2</v>
      </c>
      <c r="R650" s="1" t="s">
        <v>372</v>
      </c>
      <c r="S650" s="1" t="s">
        <v>1947</v>
      </c>
      <c r="T650" s="1" t="s">
        <v>1948</v>
      </c>
      <c r="U650" s="1" t="s">
        <v>1906</v>
      </c>
    </row>
    <row r="651" spans="2:21" ht="12.75" hidden="1" x14ac:dyDescent="0.2">
      <c r="B651" s="1" t="s">
        <v>1949</v>
      </c>
      <c r="C651" s="1" t="s">
        <v>839</v>
      </c>
      <c r="D651" s="1" t="s">
        <v>596</v>
      </c>
      <c r="E651" s="1" t="s">
        <v>1863</v>
      </c>
      <c r="F651" s="1" t="s">
        <v>239</v>
      </c>
      <c r="G651" s="1">
        <f>IF(ISNA(VLOOKUP(F651,Monster!B:E,4,FALSE)),0,VLOOKUP(F651,Monster!B:E,4,FALSE))</f>
        <v>33</v>
      </c>
      <c r="I651" s="1" t="s">
        <v>1950</v>
      </c>
      <c r="J651" s="1">
        <v>1138</v>
      </c>
      <c r="K651" s="1">
        <v>20</v>
      </c>
      <c r="L651" s="1">
        <v>1156</v>
      </c>
      <c r="M651" s="1" t="s">
        <v>50</v>
      </c>
      <c r="O651" s="1">
        <f>((NOT(ISNA(VLOOKUP(M651,Monster!$H$2:$I$6,2,FALSE)))*L651)+J651)*(1+K651/100*0.25)</f>
        <v>2408.7000000000003</v>
      </c>
      <c r="P651" s="1" t="s">
        <v>38</v>
      </c>
      <c r="Q651" s="1">
        <v>1</v>
      </c>
      <c r="S651" s="1" t="s">
        <v>1872</v>
      </c>
      <c r="T651" s="1" t="s">
        <v>1951</v>
      </c>
      <c r="U651" s="1" t="s">
        <v>1952</v>
      </c>
    </row>
    <row r="652" spans="2:21" ht="12.75" hidden="1" x14ac:dyDescent="0.2">
      <c r="B652" s="1" t="s">
        <v>1953</v>
      </c>
      <c r="C652" s="1" t="s">
        <v>845</v>
      </c>
      <c r="D652" s="1" t="s">
        <v>596</v>
      </c>
      <c r="E652" s="1" t="s">
        <v>1863</v>
      </c>
      <c r="F652" s="1" t="s">
        <v>245</v>
      </c>
      <c r="G652" s="1">
        <f>IF(ISNA(VLOOKUP(F652,Monster!B:E,4,FALSE)),0,VLOOKUP(F652,Monster!B:E,4,FALSE))</f>
        <v>34</v>
      </c>
      <c r="I652" s="1" t="s">
        <v>1953</v>
      </c>
      <c r="J652" s="1">
        <v>1553</v>
      </c>
      <c r="K652" s="1">
        <v>0</v>
      </c>
      <c r="L652" s="1">
        <v>974</v>
      </c>
      <c r="M652" s="1" t="s">
        <v>41</v>
      </c>
      <c r="O652" s="1">
        <f>((NOT(ISNA(VLOOKUP(M652,Monster!$H$2:$I$6,2,FALSE)))*L652)+J652)*(1+K652/100*0.25)</f>
        <v>2527</v>
      </c>
      <c r="P652" s="1" t="s">
        <v>364</v>
      </c>
      <c r="Q652" s="1">
        <v>2</v>
      </c>
      <c r="R652" s="1" t="s">
        <v>372</v>
      </c>
      <c r="S652" s="1" t="s">
        <v>1954</v>
      </c>
      <c r="T652" s="1" t="s">
        <v>1955</v>
      </c>
      <c r="U652" s="1" t="s">
        <v>1895</v>
      </c>
    </row>
    <row r="653" spans="2:21" ht="12.75" hidden="1" x14ac:dyDescent="0.2">
      <c r="C653" s="1" t="s">
        <v>849</v>
      </c>
      <c r="D653" s="1" t="s">
        <v>596</v>
      </c>
      <c r="E653" s="1" t="s">
        <v>1863</v>
      </c>
      <c r="F653" s="1" t="s">
        <v>251</v>
      </c>
      <c r="G653" s="1">
        <f>IF(ISNA(VLOOKUP(F653,Monster!B:E,4,FALSE)),0,VLOOKUP(F653,Monster!B:E,4,FALSE))</f>
        <v>35</v>
      </c>
      <c r="J653" s="1">
        <v>1588</v>
      </c>
      <c r="K653" s="1">
        <v>0</v>
      </c>
      <c r="L653" s="1">
        <v>632</v>
      </c>
      <c r="M653" s="1" t="s">
        <v>41</v>
      </c>
      <c r="O653" s="1">
        <f>((NOT(ISNA(VLOOKUP(M653,Monster!$H$2:$I$6,2,FALSE)))*L653)+J653)*(1+K653/100*0.25)</f>
        <v>2220</v>
      </c>
      <c r="P653" s="1" t="s">
        <v>412</v>
      </c>
      <c r="Q653" s="1">
        <v>1</v>
      </c>
    </row>
    <row r="654" spans="2:21" ht="12.75" hidden="1" x14ac:dyDescent="0.2">
      <c r="B654" s="1" t="s">
        <v>1956</v>
      </c>
      <c r="C654" s="1" t="s">
        <v>853</v>
      </c>
      <c r="D654" s="1" t="s">
        <v>596</v>
      </c>
      <c r="E654" s="1" t="s">
        <v>1863</v>
      </c>
      <c r="F654" s="1" t="s">
        <v>256</v>
      </c>
      <c r="G654" s="1">
        <f>IF(ISNA(VLOOKUP(F654,Monster!B:E,4,FALSE)),0,VLOOKUP(F654,Monster!B:E,4,FALSE))</f>
        <v>36</v>
      </c>
      <c r="I654" s="1" t="s">
        <v>1956</v>
      </c>
      <c r="J654" s="1">
        <v>1878</v>
      </c>
      <c r="K654" s="1">
        <v>0</v>
      </c>
      <c r="L654" s="1">
        <v>0</v>
      </c>
      <c r="M654" s="1" t="s">
        <v>107</v>
      </c>
      <c r="O654" s="1">
        <f>((NOT(ISNA(VLOOKUP(M654,Monster!$H$2:$I$6,2,FALSE)))*L654)+J654)*(1+K654/100*0.25)</f>
        <v>1878</v>
      </c>
      <c r="P654" s="1" t="s">
        <v>463</v>
      </c>
      <c r="Q654" s="1">
        <v>1</v>
      </c>
      <c r="S654" s="1" t="s">
        <v>1957</v>
      </c>
      <c r="T654" s="1" t="s">
        <v>1887</v>
      </c>
      <c r="U654" s="1" t="s">
        <v>1958</v>
      </c>
    </row>
    <row r="655" spans="2:21" ht="12.75" hidden="1" x14ac:dyDescent="0.2">
      <c r="B655" s="1" t="s">
        <v>1959</v>
      </c>
      <c r="C655" s="1" t="s">
        <v>857</v>
      </c>
      <c r="D655" s="1" t="s">
        <v>596</v>
      </c>
      <c r="E655" s="1" t="s">
        <v>1863</v>
      </c>
      <c r="F655" s="1" t="s">
        <v>263</v>
      </c>
      <c r="G655" s="1">
        <f>IF(ISNA(VLOOKUP(F655,Monster!B:E,4,FALSE)),0,VLOOKUP(F655,Monster!B:E,4,FALSE))</f>
        <v>37</v>
      </c>
      <c r="I655" s="1" t="s">
        <v>1960</v>
      </c>
      <c r="J655" s="1">
        <v>1318</v>
      </c>
      <c r="K655" s="1">
        <v>-30</v>
      </c>
      <c r="L655" s="1">
        <v>1261</v>
      </c>
      <c r="M655" s="1" t="s">
        <v>58</v>
      </c>
      <c r="O655" s="1">
        <f>((NOT(ISNA(VLOOKUP(M655,Monster!$H$2:$I$6,2,FALSE)))*L655)+J655)*(1+K655/100*0.25)</f>
        <v>2385.5750000000003</v>
      </c>
      <c r="P655" s="1" t="s">
        <v>463</v>
      </c>
      <c r="Q655" s="1">
        <v>1</v>
      </c>
      <c r="S655" s="1" t="s">
        <v>1961</v>
      </c>
      <c r="T655" s="1" t="s">
        <v>1962</v>
      </c>
      <c r="U655" s="1" t="s">
        <v>1963</v>
      </c>
    </row>
    <row r="656" spans="2:21" ht="12.75" hidden="1" x14ac:dyDescent="0.2">
      <c r="B656" s="1" t="s">
        <v>1964</v>
      </c>
      <c r="C656" s="1" t="s">
        <v>863</v>
      </c>
      <c r="D656" s="1" t="s">
        <v>596</v>
      </c>
      <c r="E656" s="1" t="s">
        <v>1863</v>
      </c>
      <c r="F656" s="1" t="s">
        <v>268</v>
      </c>
      <c r="G656" s="1">
        <f>IF(ISNA(VLOOKUP(F656,Monster!B:E,4,FALSE)),0,VLOOKUP(F656,Monster!B:E,4,FALSE))</f>
        <v>38</v>
      </c>
      <c r="I656" s="1" t="s">
        <v>1964</v>
      </c>
      <c r="J656" s="1">
        <v>1553</v>
      </c>
      <c r="K656" s="1">
        <v>0</v>
      </c>
      <c r="L656" s="1">
        <v>974</v>
      </c>
      <c r="M656" s="1" t="s">
        <v>71</v>
      </c>
      <c r="O656" s="1">
        <f>((NOT(ISNA(VLOOKUP(M656,Monster!$H$2:$I$6,2,FALSE)))*L656)+J656)*(1+K656/100*0.25)</f>
        <v>2527</v>
      </c>
      <c r="P656" s="1" t="s">
        <v>463</v>
      </c>
      <c r="Q656" s="1">
        <v>2</v>
      </c>
      <c r="R656" s="1" t="s">
        <v>372</v>
      </c>
      <c r="S656" s="1" t="s">
        <v>1965</v>
      </c>
      <c r="T656" s="1" t="s">
        <v>1966</v>
      </c>
      <c r="U656" s="1" t="s">
        <v>1967</v>
      </c>
    </row>
    <row r="657" spans="2:21" ht="12.75" hidden="1" x14ac:dyDescent="0.2">
      <c r="C657" s="1" t="s">
        <v>866</v>
      </c>
      <c r="D657" s="1" t="s">
        <v>596</v>
      </c>
      <c r="E657" s="1" t="s">
        <v>1863</v>
      </c>
      <c r="F657" s="1" t="s">
        <v>273</v>
      </c>
      <c r="G657" s="1">
        <f>IF(ISNA(VLOOKUP(F657,Monster!B:E,4,FALSE)),0,VLOOKUP(F657,Monster!B:E,4,FALSE))</f>
        <v>39</v>
      </c>
      <c r="J657" s="1">
        <v>1588</v>
      </c>
      <c r="K657" s="1">
        <v>0</v>
      </c>
      <c r="L657" s="1">
        <v>632</v>
      </c>
      <c r="M657" s="1" t="s">
        <v>66</v>
      </c>
      <c r="O657" s="1">
        <f>((NOT(ISNA(VLOOKUP(M657,Monster!$H$2:$I$6,2,FALSE)))*L657)+J657)*(1+K657/100*0.25)</f>
        <v>2220</v>
      </c>
      <c r="P657" s="1" t="s">
        <v>412</v>
      </c>
      <c r="Q657" s="1">
        <v>1</v>
      </c>
    </row>
    <row r="658" spans="2:21" ht="12.75" hidden="1" x14ac:dyDescent="0.2">
      <c r="C658" s="1" t="s">
        <v>869</v>
      </c>
      <c r="D658" s="1" t="s">
        <v>596</v>
      </c>
      <c r="E658" s="1" t="s">
        <v>1863</v>
      </c>
      <c r="F658" s="1" t="s">
        <v>278</v>
      </c>
      <c r="G658" s="1">
        <f>IF(ISNA(VLOOKUP(F658,Monster!B:E,4,FALSE)),0,VLOOKUP(F658,Monster!B:E,4,FALSE))</f>
        <v>40</v>
      </c>
      <c r="J658" s="1">
        <v>1516</v>
      </c>
      <c r="K658" s="1">
        <v>0</v>
      </c>
      <c r="L658" s="1">
        <v>496</v>
      </c>
      <c r="M658" s="1" t="s">
        <v>87</v>
      </c>
      <c r="O658" s="1">
        <f>((NOT(ISNA(VLOOKUP(M658,Monster!$H$2:$I$6,2,FALSE)))*L658)+J658)*(1+K658/100*0.25)</f>
        <v>1516</v>
      </c>
      <c r="P658" s="1" t="s">
        <v>253</v>
      </c>
      <c r="Q658" s="1">
        <v>1</v>
      </c>
    </row>
    <row r="659" spans="2:21" ht="12.75" hidden="1" x14ac:dyDescent="0.2">
      <c r="C659" s="1" t="s">
        <v>872</v>
      </c>
      <c r="D659" s="1" t="s">
        <v>596</v>
      </c>
      <c r="E659" s="1" t="s">
        <v>1863</v>
      </c>
      <c r="F659" s="1" t="s">
        <v>288</v>
      </c>
      <c r="G659" s="1">
        <f>IF(ISNA(VLOOKUP(F659,Monster!B:E,4,FALSE)),0,VLOOKUP(F659,Monster!B:E,4,FALSE))</f>
        <v>41</v>
      </c>
      <c r="J659" s="1">
        <v>1567</v>
      </c>
      <c r="K659" s="1">
        <v>-15</v>
      </c>
      <c r="L659" s="1">
        <v>496</v>
      </c>
      <c r="M659" s="1" t="s">
        <v>95</v>
      </c>
      <c r="O659" s="1">
        <f>((NOT(ISNA(VLOOKUP(M659,Monster!$H$2:$I$6,2,FALSE)))*L659)+J659)*(1+K659/100*0.25)</f>
        <v>1508.2375</v>
      </c>
      <c r="P659" s="1" t="s">
        <v>253</v>
      </c>
      <c r="Q659" s="1">
        <v>1</v>
      </c>
    </row>
    <row r="660" spans="2:21" ht="12.75" x14ac:dyDescent="0.2">
      <c r="B660" s="1" t="s">
        <v>1968</v>
      </c>
      <c r="C660" s="1" t="s">
        <v>875</v>
      </c>
      <c r="D660" s="1" t="s">
        <v>596</v>
      </c>
      <c r="E660" s="1" t="s">
        <v>1863</v>
      </c>
      <c r="F660" s="1" t="s">
        <v>293</v>
      </c>
      <c r="G660" s="1">
        <f>IF(ISNA(VLOOKUP(F660,Monster!B:E,4,FALSE)),0,VLOOKUP(F660,Monster!B:E,4,FALSE))</f>
        <v>42</v>
      </c>
      <c r="I660" s="1" t="s">
        <v>1968</v>
      </c>
      <c r="J660" s="1">
        <v>2198</v>
      </c>
      <c r="K660" s="1">
        <v>-40</v>
      </c>
      <c r="L660" s="1">
        <v>0</v>
      </c>
      <c r="M660" s="1" t="s">
        <v>107</v>
      </c>
      <c r="O660" s="1">
        <f>((NOT(ISNA(VLOOKUP(M660,Monster!$H$2:$I$6,2,FALSE)))*L660)+J660)*(1+K660/100*0.25)</f>
        <v>1978.2</v>
      </c>
      <c r="P660" s="1" t="s">
        <v>194</v>
      </c>
      <c r="Q660" s="1">
        <v>1</v>
      </c>
      <c r="S660" s="1" t="s">
        <v>1884</v>
      </c>
      <c r="T660" s="1" t="s">
        <v>1866</v>
      </c>
      <c r="U660" s="1" t="s">
        <v>1876</v>
      </c>
    </row>
    <row r="661" spans="2:21" ht="12.75" hidden="1" x14ac:dyDescent="0.2">
      <c r="B661" s="1" t="s">
        <v>1969</v>
      </c>
      <c r="C661" s="1" t="s">
        <v>880</v>
      </c>
      <c r="D661" s="1" t="s">
        <v>596</v>
      </c>
      <c r="E661" s="1" t="s">
        <v>1863</v>
      </c>
      <c r="F661" s="1" t="s">
        <v>298</v>
      </c>
      <c r="G661" s="1">
        <f>IF(ISNA(VLOOKUP(F661,Monster!B:E,4,FALSE)),0,VLOOKUP(F661,Monster!B:E,4,FALSE))</f>
        <v>43</v>
      </c>
      <c r="I661" s="1" t="s">
        <v>1969</v>
      </c>
      <c r="J661" s="1">
        <v>2198</v>
      </c>
      <c r="K661" s="1">
        <v>-10</v>
      </c>
      <c r="L661" s="1">
        <v>0</v>
      </c>
      <c r="M661" s="1" t="s">
        <v>107</v>
      </c>
      <c r="O661" s="1">
        <f>((NOT(ISNA(VLOOKUP(M661,Monster!$H$2:$I$6,2,FALSE)))*L661)+J661)*(1+K661/100*0.25)</f>
        <v>2143.0499999999997</v>
      </c>
      <c r="P661" s="1" t="s">
        <v>70</v>
      </c>
      <c r="Q661" s="1">
        <v>3</v>
      </c>
      <c r="S661" s="1" t="s">
        <v>1877</v>
      </c>
      <c r="T661" s="1" t="s">
        <v>1970</v>
      </c>
    </row>
    <row r="662" spans="2:21" ht="12.75" hidden="1" x14ac:dyDescent="0.2">
      <c r="B662" s="1" t="s">
        <v>1971</v>
      </c>
      <c r="C662" s="1" t="s">
        <v>885</v>
      </c>
      <c r="D662" s="1" t="s">
        <v>596</v>
      </c>
      <c r="E662" s="1" t="s">
        <v>1863</v>
      </c>
      <c r="F662" s="1" t="s">
        <v>302</v>
      </c>
      <c r="G662" s="1">
        <f>IF(ISNA(VLOOKUP(F662,Monster!B:E,4,FALSE)),0,VLOOKUP(F662,Monster!B:E,4,FALSE))</f>
        <v>44</v>
      </c>
      <c r="I662" s="1" t="s">
        <v>1971</v>
      </c>
      <c r="J662" s="1">
        <v>1205</v>
      </c>
      <c r="K662" s="1">
        <v>0</v>
      </c>
      <c r="L662" s="1">
        <v>1305</v>
      </c>
      <c r="M662" s="1" t="s">
        <v>58</v>
      </c>
      <c r="O662" s="1">
        <f>((NOT(ISNA(VLOOKUP(M662,Monster!$H$2:$I$6,2,FALSE)))*L662)+J662)*(1+K662/100*0.25)</f>
        <v>2510</v>
      </c>
      <c r="P662" s="1" t="s">
        <v>400</v>
      </c>
      <c r="Q662" s="1">
        <v>1</v>
      </c>
      <c r="R662" s="1" t="s">
        <v>372</v>
      </c>
      <c r="S662" s="1" t="s">
        <v>1972</v>
      </c>
      <c r="T662" s="1" t="s">
        <v>1973</v>
      </c>
    </row>
    <row r="663" spans="2:21" ht="12.75" hidden="1" x14ac:dyDescent="0.2">
      <c r="B663" s="1" t="s">
        <v>1974</v>
      </c>
      <c r="C663" s="1" t="s">
        <v>888</v>
      </c>
      <c r="D663" s="1" t="s">
        <v>596</v>
      </c>
      <c r="E663" s="1" t="s">
        <v>1863</v>
      </c>
      <c r="F663" s="1" t="s">
        <v>305</v>
      </c>
      <c r="G663" s="1">
        <f>IF(ISNA(VLOOKUP(F663,Monster!B:E,4,FALSE)),0,VLOOKUP(F663,Monster!B:E,4,FALSE))</f>
        <v>45</v>
      </c>
      <c r="I663" s="1" t="s">
        <v>1974</v>
      </c>
      <c r="J663" s="1">
        <v>1942</v>
      </c>
      <c r="K663" s="1">
        <v>-30</v>
      </c>
      <c r="L663" s="1">
        <v>297</v>
      </c>
      <c r="M663" s="1" t="s">
        <v>100</v>
      </c>
      <c r="O663" s="1">
        <f>((NOT(ISNA(VLOOKUP(M663,Monster!$H$2:$I$6,2,FALSE)))*L663)+J663)*(1+K663/100*0.25)</f>
        <v>1796.3500000000001</v>
      </c>
      <c r="P663" s="1" t="s">
        <v>262</v>
      </c>
      <c r="Q663" s="1">
        <v>2</v>
      </c>
      <c r="S663" s="1" t="s">
        <v>1909</v>
      </c>
      <c r="T663" s="1" t="s">
        <v>1913</v>
      </c>
      <c r="U663" s="1" t="s">
        <v>1975</v>
      </c>
    </row>
    <row r="664" spans="2:21" ht="12.75" hidden="1" x14ac:dyDescent="0.2">
      <c r="C664" s="1" t="s">
        <v>892</v>
      </c>
      <c r="D664" s="1" t="s">
        <v>596</v>
      </c>
      <c r="E664" s="1" t="s">
        <v>1863</v>
      </c>
      <c r="F664" s="1" t="s">
        <v>310</v>
      </c>
      <c r="G664" s="1">
        <f>IF(ISNA(VLOOKUP(F664,Monster!B:E,4,FALSE)),0,VLOOKUP(F664,Monster!B:E,4,FALSE))</f>
        <v>46</v>
      </c>
      <c r="J664" s="1">
        <v>1834</v>
      </c>
      <c r="K664" s="1">
        <v>10</v>
      </c>
      <c r="L664" s="1">
        <v>0</v>
      </c>
      <c r="M664" s="1" t="s">
        <v>107</v>
      </c>
      <c r="O664" s="1">
        <f>((NOT(ISNA(VLOOKUP(M664,Monster!$H$2:$I$6,2,FALSE)))*L664)+J664)*(1+K664/100*0.25)</f>
        <v>1879.85</v>
      </c>
      <c r="P664" s="1" t="s">
        <v>407</v>
      </c>
      <c r="Q664" s="1">
        <v>1</v>
      </c>
    </row>
    <row r="665" spans="2:21" ht="12.75" hidden="1" x14ac:dyDescent="0.2">
      <c r="C665" s="1" t="s">
        <v>896</v>
      </c>
      <c r="D665" s="1" t="s">
        <v>596</v>
      </c>
      <c r="E665" s="1" t="s">
        <v>1863</v>
      </c>
      <c r="F665" s="1" t="s">
        <v>316</v>
      </c>
      <c r="G665" s="1">
        <f>IF(ISNA(VLOOKUP(F665,Monster!B:E,4,FALSE)),0,VLOOKUP(F665,Monster!B:E,4,FALSE))</f>
        <v>47</v>
      </c>
      <c r="J665" s="1">
        <v>1971</v>
      </c>
      <c r="K665" s="1">
        <v>-20</v>
      </c>
      <c r="L665" s="1">
        <v>0</v>
      </c>
      <c r="M665" s="1" t="s">
        <v>107</v>
      </c>
      <c r="O665" s="1">
        <f>((NOT(ISNA(VLOOKUP(M665,Monster!$H$2:$I$6,2,FALSE)))*L665)+J665)*(1+K665/100*0.25)</f>
        <v>1872.4499999999998</v>
      </c>
      <c r="P665" s="1" t="s">
        <v>602</v>
      </c>
      <c r="Q665" s="1">
        <v>2</v>
      </c>
    </row>
    <row r="666" spans="2:21" ht="12.75" x14ac:dyDescent="0.2">
      <c r="B666" s="1" t="s">
        <v>1976</v>
      </c>
      <c r="C666" s="1" t="s">
        <v>900</v>
      </c>
      <c r="D666" s="1" t="s">
        <v>596</v>
      </c>
      <c r="E666" s="1" t="s">
        <v>1863</v>
      </c>
      <c r="F666" s="1" t="s">
        <v>320</v>
      </c>
      <c r="G666" s="1">
        <f>IF(ISNA(VLOOKUP(F666,Monster!B:E,4,FALSE)),0,VLOOKUP(F666,Monster!B:E,4,FALSE))</f>
        <v>48</v>
      </c>
      <c r="I666" s="1" t="s">
        <v>1976</v>
      </c>
      <c r="J666" s="1">
        <v>1318</v>
      </c>
      <c r="K666" s="1">
        <v>-30</v>
      </c>
      <c r="L666" s="1">
        <v>1261</v>
      </c>
      <c r="M666" s="1" t="s">
        <v>41</v>
      </c>
      <c r="O666" s="1">
        <f>((NOT(ISNA(VLOOKUP(M666,Monster!$H$2:$I$6,2,FALSE)))*L666)+J666)*(1+K666/100*0.25)</f>
        <v>2385.5750000000003</v>
      </c>
      <c r="P666" s="1" t="s">
        <v>194</v>
      </c>
      <c r="Q666" s="1">
        <v>1</v>
      </c>
      <c r="S666" s="1" t="s">
        <v>1977</v>
      </c>
      <c r="T666" s="1" t="s">
        <v>1911</v>
      </c>
    </row>
    <row r="667" spans="2:21" ht="12.75" hidden="1" x14ac:dyDescent="0.2">
      <c r="B667" s="1" t="s">
        <v>1978</v>
      </c>
      <c r="C667" s="1" t="s">
        <v>904</v>
      </c>
      <c r="D667" s="1" t="s">
        <v>596</v>
      </c>
      <c r="E667" s="1" t="s">
        <v>1863</v>
      </c>
      <c r="F667" s="1" t="s">
        <v>328</v>
      </c>
      <c r="G667" s="1">
        <f>IF(ISNA(VLOOKUP(F667,Monster!B:E,4,FALSE)),0,VLOOKUP(F667,Monster!B:E,4,FALSE))</f>
        <v>49</v>
      </c>
      <c r="I667" s="1" t="s">
        <v>1978</v>
      </c>
      <c r="J667" s="1">
        <v>2041</v>
      </c>
      <c r="K667" s="1">
        <v>0</v>
      </c>
      <c r="L667" s="1">
        <v>0</v>
      </c>
      <c r="M667" s="1" t="s">
        <v>107</v>
      </c>
      <c r="O667" s="1">
        <f>((NOT(ISNA(VLOOKUP(M667,Monster!$H$2:$I$6,2,FALSE)))*L667)+J667)*(1+K667/100*0.25)</f>
        <v>2041</v>
      </c>
      <c r="P667" s="1" t="s">
        <v>624</v>
      </c>
      <c r="Q667" s="1">
        <v>2</v>
      </c>
      <c r="R667" s="1" t="s">
        <v>372</v>
      </c>
      <c r="S667" s="1" t="s">
        <v>1979</v>
      </c>
      <c r="T667" s="1" t="s">
        <v>1980</v>
      </c>
      <c r="U667" s="1" t="s">
        <v>1887</v>
      </c>
    </row>
    <row r="668" spans="2:21" ht="12.75" hidden="1" x14ac:dyDescent="0.2">
      <c r="C668" s="1" t="s">
        <v>908</v>
      </c>
      <c r="D668" s="1" t="s">
        <v>596</v>
      </c>
      <c r="E668" s="1" t="s">
        <v>1863</v>
      </c>
      <c r="F668" s="1" t="s">
        <v>334</v>
      </c>
      <c r="G668" s="1">
        <f>IF(ISNA(VLOOKUP(F668,Monster!B:E,4,FALSE)),0,VLOOKUP(F668,Monster!B:E,4,FALSE))</f>
        <v>50</v>
      </c>
      <c r="J668" s="1">
        <v>1647</v>
      </c>
      <c r="K668" s="1">
        <v>10</v>
      </c>
      <c r="L668" s="1">
        <v>307</v>
      </c>
      <c r="M668" s="1" t="s">
        <v>79</v>
      </c>
      <c r="O668" s="1">
        <f>((NOT(ISNA(VLOOKUP(M668,Monster!$H$2:$I$6,2,FALSE)))*L668)+J668)*(1+K668/100*0.25)</f>
        <v>1688.175</v>
      </c>
      <c r="P668" s="1" t="s">
        <v>412</v>
      </c>
      <c r="Q668" s="1">
        <v>1</v>
      </c>
    </row>
    <row r="669" spans="2:21" ht="12.75" hidden="1" x14ac:dyDescent="0.2">
      <c r="B669" s="1" t="s">
        <v>1981</v>
      </c>
      <c r="C669" s="1" t="s">
        <v>913</v>
      </c>
      <c r="D669" s="1" t="s">
        <v>596</v>
      </c>
      <c r="E669" s="1" t="s">
        <v>1863</v>
      </c>
      <c r="F669" s="1" t="s">
        <v>339</v>
      </c>
      <c r="G669" s="1">
        <f>IF(ISNA(VLOOKUP(F669,Monster!B:E,4,FALSE)),0,VLOOKUP(F669,Monster!B:E,4,FALSE))</f>
        <v>51</v>
      </c>
      <c r="I669" s="1" t="s">
        <v>1982</v>
      </c>
      <c r="J669" s="1">
        <v>1764</v>
      </c>
      <c r="K669" s="1">
        <v>0</v>
      </c>
      <c r="L669" s="1">
        <v>0</v>
      </c>
      <c r="M669" s="1" t="s">
        <v>107</v>
      </c>
      <c r="O669" s="1">
        <f>((NOT(ISNA(VLOOKUP(M669,Monster!$H$2:$I$6,2,FALSE)))*L669)+J669)*(1+K669/100*0.25)</f>
        <v>1764</v>
      </c>
      <c r="P669" s="1" t="s">
        <v>560</v>
      </c>
      <c r="Q669" s="1">
        <v>2</v>
      </c>
      <c r="S669" s="1" t="s">
        <v>1973</v>
      </c>
      <c r="T669" s="1" t="s">
        <v>1884</v>
      </c>
    </row>
    <row r="670" spans="2:21" ht="12.75" hidden="1" x14ac:dyDescent="0.2">
      <c r="B670" s="1" t="s">
        <v>1983</v>
      </c>
      <c r="C670" s="1" t="s">
        <v>917</v>
      </c>
      <c r="D670" s="1" t="s">
        <v>596</v>
      </c>
      <c r="E670" s="1" t="s">
        <v>1863</v>
      </c>
      <c r="F670" s="1" t="s">
        <v>343</v>
      </c>
      <c r="G670" s="1">
        <f>IF(ISNA(VLOOKUP(F670,Monster!B:E,4,FALSE)),0,VLOOKUP(F670,Monster!B:E,4,FALSE))</f>
        <v>52</v>
      </c>
      <c r="I670" s="1" t="s">
        <v>1983</v>
      </c>
      <c r="J670" s="1">
        <v>1293</v>
      </c>
      <c r="K670" s="1">
        <v>0</v>
      </c>
      <c r="L670" s="1">
        <v>910</v>
      </c>
      <c r="M670" s="1" t="s">
        <v>66</v>
      </c>
      <c r="O670" s="1">
        <f>((NOT(ISNA(VLOOKUP(M670,Monster!$H$2:$I$6,2,FALSE)))*L670)+J670)*(1+K670/100*0.25)</f>
        <v>2203</v>
      </c>
      <c r="P670" s="1" t="s">
        <v>648</v>
      </c>
      <c r="Q670" s="1">
        <v>1</v>
      </c>
      <c r="S670" s="1" t="s">
        <v>1904</v>
      </c>
      <c r="T670" s="1" t="s">
        <v>1984</v>
      </c>
    </row>
    <row r="671" spans="2:21" ht="12.75" hidden="1" x14ac:dyDescent="0.2">
      <c r="B671" s="1" t="s">
        <v>1985</v>
      </c>
      <c r="C671" s="1" t="s">
        <v>922</v>
      </c>
      <c r="D671" s="1" t="s">
        <v>596</v>
      </c>
      <c r="E671" s="1" t="s">
        <v>1863</v>
      </c>
      <c r="F671" s="1" t="s">
        <v>349</v>
      </c>
      <c r="G671" s="1">
        <f>IF(ISNA(VLOOKUP(F671,Monster!B:E,4,FALSE)),0,VLOOKUP(F671,Monster!B:E,4,FALSE))</f>
        <v>53</v>
      </c>
      <c r="I671" s="1" t="s">
        <v>1985</v>
      </c>
      <c r="J671" s="1">
        <v>1738</v>
      </c>
      <c r="K671" s="1">
        <v>40</v>
      </c>
      <c r="L671" s="1">
        <v>0</v>
      </c>
      <c r="M671" s="1" t="s">
        <v>107</v>
      </c>
      <c r="O671" s="1">
        <f>((NOT(ISNA(VLOOKUP(M671,Monster!$H$2:$I$6,2,FALSE)))*L671)+J671)*(1+K671/100*0.25)</f>
        <v>1911.8000000000002</v>
      </c>
      <c r="P671" s="1" t="s">
        <v>535</v>
      </c>
      <c r="Q671" s="1">
        <v>2</v>
      </c>
      <c r="S671" s="1" t="s">
        <v>1970</v>
      </c>
      <c r="T671" s="1" t="s">
        <v>1986</v>
      </c>
    </row>
    <row r="672" spans="2:21" ht="12.75" hidden="1" x14ac:dyDescent="0.2">
      <c r="B672" s="1" t="s">
        <v>1987</v>
      </c>
      <c r="C672" s="1" t="s">
        <v>926</v>
      </c>
      <c r="D672" s="1" t="s">
        <v>596</v>
      </c>
      <c r="E672" s="1" t="s">
        <v>1863</v>
      </c>
      <c r="F672" s="1" t="s">
        <v>354</v>
      </c>
      <c r="G672" s="1">
        <f>IF(ISNA(VLOOKUP(F672,Monster!B:E,4,FALSE)),0,VLOOKUP(F672,Monster!B:E,4,FALSE))</f>
        <v>54</v>
      </c>
      <c r="I672" s="1" t="s">
        <v>1987</v>
      </c>
      <c r="J672" s="1">
        <v>1328</v>
      </c>
      <c r="K672" s="1">
        <v>20</v>
      </c>
      <c r="L672" s="1">
        <v>1074</v>
      </c>
      <c r="M672" s="1" t="s">
        <v>50</v>
      </c>
      <c r="O672" s="1">
        <f>((NOT(ISNA(VLOOKUP(M672,Monster!$H$2:$I$6,2,FALSE)))*L672)+J672)*(1+K672/100*0.25)</f>
        <v>2522.1</v>
      </c>
      <c r="P672" s="1" t="s">
        <v>677</v>
      </c>
      <c r="Q672" s="1">
        <v>1</v>
      </c>
      <c r="R672" s="1" t="s">
        <v>372</v>
      </c>
      <c r="S672" s="1" t="s">
        <v>1988</v>
      </c>
      <c r="T672" s="1" t="s">
        <v>1973</v>
      </c>
      <c r="U672" s="1" t="s">
        <v>1989</v>
      </c>
    </row>
    <row r="673" spans="2:21" ht="12.75" hidden="1" x14ac:dyDescent="0.2">
      <c r="B673" s="1" t="s">
        <v>1990</v>
      </c>
      <c r="C673" s="1" t="s">
        <v>930</v>
      </c>
      <c r="D673" s="1" t="s">
        <v>596</v>
      </c>
      <c r="E673" s="1" t="s">
        <v>1863</v>
      </c>
      <c r="F673" s="1" t="s">
        <v>360</v>
      </c>
      <c r="G673" s="1">
        <f>IF(ISNA(VLOOKUP(F673,Monster!B:E,4,FALSE)),0,VLOOKUP(F673,Monster!B:E,4,FALSE))</f>
        <v>55</v>
      </c>
      <c r="I673" s="1" t="s">
        <v>1991</v>
      </c>
      <c r="J673" s="1">
        <v>1979</v>
      </c>
      <c r="K673" s="1">
        <v>0</v>
      </c>
      <c r="L673" s="1">
        <v>0</v>
      </c>
      <c r="M673" s="1" t="s">
        <v>107</v>
      </c>
      <c r="O673" s="1">
        <f>((NOT(ISNA(VLOOKUP(M673,Monster!$H$2:$I$6,2,FALSE)))*L673)+J673)*(1+K673/100*0.25)</f>
        <v>1979</v>
      </c>
      <c r="P673" s="1" t="s">
        <v>515</v>
      </c>
      <c r="Q673" s="1">
        <v>1</v>
      </c>
      <c r="S673" s="1" t="s">
        <v>1992</v>
      </c>
      <c r="T673" s="1" t="s">
        <v>1993</v>
      </c>
    </row>
    <row r="674" spans="2:21" ht="12.75" hidden="1" x14ac:dyDescent="0.2">
      <c r="B674" s="1" t="s">
        <v>1994</v>
      </c>
      <c r="C674" s="1" t="s">
        <v>934</v>
      </c>
      <c r="D674" s="1" t="s">
        <v>596</v>
      </c>
      <c r="E674" s="1" t="s">
        <v>1863</v>
      </c>
      <c r="F674" s="1" t="s">
        <v>365</v>
      </c>
      <c r="G674" s="1">
        <f>IF(ISNA(VLOOKUP(F674,Monster!B:E,4,FALSE)),0,VLOOKUP(F674,Monster!B:E,4,FALSE))</f>
        <v>56</v>
      </c>
      <c r="I674" s="1" t="s">
        <v>1995</v>
      </c>
      <c r="J674" s="1">
        <v>1020</v>
      </c>
      <c r="K674" s="1">
        <v>0</v>
      </c>
      <c r="L674" s="1">
        <v>1173</v>
      </c>
      <c r="M674" s="1" t="s">
        <v>66</v>
      </c>
      <c r="O674" s="1">
        <f>((NOT(ISNA(VLOOKUP(M674,Monster!$H$2:$I$6,2,FALSE)))*L674)+J674)*(1+K674/100*0.25)</f>
        <v>2193</v>
      </c>
      <c r="P674" s="1" t="s">
        <v>659</v>
      </c>
      <c r="Q674" s="1">
        <v>1</v>
      </c>
      <c r="S674" s="1" t="s">
        <v>1904</v>
      </c>
      <c r="T674" s="1" t="s">
        <v>1921</v>
      </c>
      <c r="U674" s="1" t="s">
        <v>1996</v>
      </c>
    </row>
    <row r="675" spans="2:21" ht="12.75" hidden="1" x14ac:dyDescent="0.2">
      <c r="B675" s="1" t="s">
        <v>1997</v>
      </c>
      <c r="C675" s="1" t="s">
        <v>939</v>
      </c>
      <c r="D675" s="1" t="s">
        <v>596</v>
      </c>
      <c r="E675" s="1" t="s">
        <v>1863</v>
      </c>
      <c r="F675" s="1" t="s">
        <v>370</v>
      </c>
      <c r="G675" s="1">
        <f>IF(ISNA(VLOOKUP(F675,Monster!B:E,4,FALSE)),0,VLOOKUP(F675,Monster!B:E,4,FALSE))</f>
        <v>57</v>
      </c>
      <c r="I675" s="1" t="s">
        <v>1998</v>
      </c>
      <c r="J675" s="1">
        <v>1197</v>
      </c>
      <c r="K675" s="1">
        <v>20</v>
      </c>
      <c r="L675" s="1">
        <v>1154</v>
      </c>
      <c r="M675" s="1" t="s">
        <v>41</v>
      </c>
      <c r="O675" s="1">
        <f>((NOT(ISNA(VLOOKUP(M675,Monster!$H$2:$I$6,2,FALSE)))*L675)+J675)*(1+K675/100*0.25)</f>
        <v>2468.5500000000002</v>
      </c>
      <c r="P675" s="1" t="s">
        <v>615</v>
      </c>
      <c r="Q675" s="1">
        <v>2</v>
      </c>
      <c r="S675" s="1" t="s">
        <v>1977</v>
      </c>
      <c r="T675" s="1" t="s">
        <v>1973</v>
      </c>
      <c r="U675" s="1" t="s">
        <v>1999</v>
      </c>
    </row>
    <row r="676" spans="2:21" ht="12.75" hidden="1" x14ac:dyDescent="0.2">
      <c r="B676" s="1" t="s">
        <v>2000</v>
      </c>
      <c r="C676" s="1" t="s">
        <v>943</v>
      </c>
      <c r="D676" s="1" t="s">
        <v>596</v>
      </c>
      <c r="E676" s="1" t="s">
        <v>1863</v>
      </c>
      <c r="F676" s="1" t="s">
        <v>374</v>
      </c>
      <c r="G676" s="1">
        <f>IF(ISNA(VLOOKUP(F676,Monster!B:E,4,FALSE)),0,VLOOKUP(F676,Monster!B:E,4,FALSE))</f>
        <v>58</v>
      </c>
      <c r="I676" s="1" t="s">
        <v>2000</v>
      </c>
      <c r="J676" s="1">
        <v>1205</v>
      </c>
      <c r="K676" s="1">
        <v>0</v>
      </c>
      <c r="L676" s="1">
        <v>1305</v>
      </c>
      <c r="M676" s="1" t="s">
        <v>71</v>
      </c>
      <c r="O676" s="1">
        <f>((NOT(ISNA(VLOOKUP(M676,Monster!$H$2:$I$6,2,FALSE)))*L676)+J676)*(1+K676/100*0.25)</f>
        <v>2510</v>
      </c>
      <c r="P676" s="1" t="s">
        <v>689</v>
      </c>
      <c r="Q676" s="1">
        <v>1</v>
      </c>
      <c r="R676" s="1" t="s">
        <v>372</v>
      </c>
      <c r="S676" s="1" t="s">
        <v>1965</v>
      </c>
      <c r="T676" s="1" t="s">
        <v>2001</v>
      </c>
      <c r="U676" s="1" t="s">
        <v>1933</v>
      </c>
    </row>
    <row r="677" spans="2:21" ht="12.75" hidden="1" x14ac:dyDescent="0.2">
      <c r="B677" s="1" t="s">
        <v>2002</v>
      </c>
      <c r="C677" s="1" t="s">
        <v>949</v>
      </c>
      <c r="D677" s="1" t="s">
        <v>596</v>
      </c>
      <c r="E677" s="1" t="s">
        <v>1863</v>
      </c>
      <c r="F677" s="1"/>
      <c r="G677" s="1">
        <f>IF(ISNA(VLOOKUP(F677,Monster!B:E,4,FALSE)),0,VLOOKUP(F677,Monster!B:E,4,FALSE))</f>
        <v>0</v>
      </c>
      <c r="I677" s="1" t="s">
        <v>2002</v>
      </c>
      <c r="J677" s="1">
        <v>1596</v>
      </c>
      <c r="K677" s="1">
        <v>0</v>
      </c>
      <c r="L677" s="1">
        <v>0</v>
      </c>
      <c r="M677" s="1" t="s">
        <v>107</v>
      </c>
      <c r="O677" s="1">
        <f>((NOT(ISNA(VLOOKUP(M677,Monster!$H$2:$I$6,2,FALSE)))*L677)+J677)*(1+K677/100*0.25)</f>
        <v>1596</v>
      </c>
      <c r="P677" s="1" t="s">
        <v>158</v>
      </c>
      <c r="Q677" s="1">
        <v>1</v>
      </c>
      <c r="S677" s="1" t="s">
        <v>1865</v>
      </c>
      <c r="T677" s="1" t="s">
        <v>1917</v>
      </c>
    </row>
    <row r="678" spans="2:21" ht="12.75" hidden="1" x14ac:dyDescent="0.2">
      <c r="B678" s="1" t="s">
        <v>2003</v>
      </c>
      <c r="C678" s="1" t="s">
        <v>1152</v>
      </c>
      <c r="D678" s="1" t="s">
        <v>596</v>
      </c>
      <c r="E678" s="1" t="s">
        <v>1863</v>
      </c>
      <c r="F678" s="1" t="s">
        <v>131</v>
      </c>
      <c r="G678" s="1">
        <f>IF(ISNA(VLOOKUP(F678,Monster!B:E,4,FALSE)),0,VLOOKUP(F678,Monster!B:E,4,FALSE))</f>
        <v>14</v>
      </c>
      <c r="I678" s="1" t="s">
        <v>2003</v>
      </c>
      <c r="J678" s="1">
        <v>1221</v>
      </c>
      <c r="K678" s="1">
        <v>0</v>
      </c>
      <c r="L678" s="1">
        <v>1142</v>
      </c>
      <c r="M678" s="1" t="s">
        <v>71</v>
      </c>
      <c r="O678" s="1">
        <f>((NOT(ISNA(VLOOKUP(M678,Monster!$H$2:$I$6,2,FALSE)))*L678)+J678)*(1+K678/100*0.25)</f>
        <v>2363</v>
      </c>
      <c r="P678" s="1" t="s">
        <v>583</v>
      </c>
      <c r="Q678" s="1">
        <v>2</v>
      </c>
      <c r="S678" s="1" t="s">
        <v>1936</v>
      </c>
      <c r="T678" s="1" t="s">
        <v>1967</v>
      </c>
    </row>
    <row r="679" spans="2:21" ht="12.75" hidden="1" x14ac:dyDescent="0.2">
      <c r="B679" s="1" t="s">
        <v>2004</v>
      </c>
      <c r="C679" s="1" t="s">
        <v>958</v>
      </c>
      <c r="D679" s="1" t="s">
        <v>596</v>
      </c>
      <c r="E679" s="1" t="s">
        <v>1863</v>
      </c>
      <c r="F679" s="1"/>
      <c r="G679" s="1">
        <f>IF(ISNA(VLOOKUP(F679,Monster!B:E,4,FALSE)),0,VLOOKUP(F679,Monster!B:E,4,FALSE))</f>
        <v>0</v>
      </c>
      <c r="I679" s="1" t="s">
        <v>2005</v>
      </c>
      <c r="J679" s="1">
        <v>1878</v>
      </c>
      <c r="K679" s="1">
        <v>0</v>
      </c>
      <c r="L679" s="1">
        <v>0</v>
      </c>
      <c r="M679" s="1" t="s">
        <v>107</v>
      </c>
      <c r="O679" s="1">
        <f>((NOT(ISNA(VLOOKUP(M679,Monster!$H$2:$I$6,2,FALSE)))*L679)+J679)*(1+K679/100*0.25)</f>
        <v>1878</v>
      </c>
      <c r="P679" s="1" t="s">
        <v>38</v>
      </c>
      <c r="Q679" s="1">
        <v>1</v>
      </c>
      <c r="S679" s="1" t="s">
        <v>2006</v>
      </c>
      <c r="T679" s="1" t="s">
        <v>1929</v>
      </c>
    </row>
    <row r="680" spans="2:21" ht="12.75" hidden="1" x14ac:dyDescent="0.2">
      <c r="B680" s="1" t="s">
        <v>2007</v>
      </c>
      <c r="C680" s="1" t="s">
        <v>34</v>
      </c>
      <c r="D680" s="1" t="s">
        <v>596</v>
      </c>
      <c r="E680" s="1" t="s">
        <v>2008</v>
      </c>
      <c r="F680" s="1"/>
      <c r="G680" s="1">
        <f>IF(ISNA(VLOOKUP(F680,Monster!B:E,4,FALSE)),0,VLOOKUP(F680,Monster!B:E,4,FALSE))</f>
        <v>0</v>
      </c>
      <c r="I680" s="1" t="s">
        <v>2009</v>
      </c>
      <c r="J680" s="1">
        <v>1596</v>
      </c>
      <c r="K680" s="1">
        <v>0</v>
      </c>
      <c r="L680" s="1">
        <v>0</v>
      </c>
      <c r="M680" s="1" t="s">
        <v>107</v>
      </c>
      <c r="O680" s="1">
        <f>((NOT(ISNA(VLOOKUP(M680,Monster!$H$2:$I$6,2,FALSE)))*L680)+J680)*(1+K680/100*0.25)</f>
        <v>1596</v>
      </c>
      <c r="P680" s="1" t="s">
        <v>410</v>
      </c>
      <c r="Q680" s="1">
        <v>2</v>
      </c>
      <c r="S680" s="1" t="s">
        <v>2010</v>
      </c>
      <c r="T680" s="1" t="s">
        <v>2011</v>
      </c>
    </row>
    <row r="681" spans="2:21" ht="12.75" hidden="1" x14ac:dyDescent="0.2">
      <c r="B681" s="1" t="s">
        <v>2012</v>
      </c>
      <c r="C681" s="1" t="s">
        <v>324</v>
      </c>
      <c r="D681" s="1" t="s">
        <v>596</v>
      </c>
      <c r="E681" s="1" t="s">
        <v>2008</v>
      </c>
      <c r="F681" s="1" t="s">
        <v>11</v>
      </c>
      <c r="G681" s="1">
        <f>IF(ISNA(VLOOKUP(F681,Monster!B:E,4,FALSE)),0,VLOOKUP(F681,Monster!B:E,4,FALSE))</f>
        <v>1</v>
      </c>
      <c r="I681" s="1" t="s">
        <v>2013</v>
      </c>
      <c r="J681" s="1">
        <v>1373</v>
      </c>
      <c r="K681" s="1">
        <v>0</v>
      </c>
      <c r="L681" s="1">
        <v>607</v>
      </c>
      <c r="M681" s="1" t="s">
        <v>50</v>
      </c>
      <c r="O681" s="1">
        <f>((NOT(ISNA(VLOOKUP(M681,Monster!$H$2:$I$6,2,FALSE)))*L681)+J681)*(1+K681/100*0.25)</f>
        <v>1980</v>
      </c>
      <c r="P681" s="1" t="s">
        <v>348</v>
      </c>
      <c r="Q681" s="1">
        <v>2</v>
      </c>
      <c r="S681" s="1" t="s">
        <v>2014</v>
      </c>
      <c r="T681" s="1" t="s">
        <v>2015</v>
      </c>
      <c r="U681" s="1" t="s">
        <v>2016</v>
      </c>
    </row>
    <row r="682" spans="2:21" ht="12.75" hidden="1" x14ac:dyDescent="0.2">
      <c r="C682" s="1" t="s">
        <v>439</v>
      </c>
      <c r="D682" s="1" t="s">
        <v>596</v>
      </c>
      <c r="E682" s="1" t="s">
        <v>2008</v>
      </c>
      <c r="F682" s="1" t="s">
        <v>47</v>
      </c>
      <c r="G682" s="1">
        <f>IF(ISNA(VLOOKUP(F682,Monster!B:E,4,FALSE)),0,VLOOKUP(F682,Monster!B:E,4,FALSE))</f>
        <v>2</v>
      </c>
      <c r="J682" s="1">
        <v>1596</v>
      </c>
      <c r="K682" s="1">
        <v>30</v>
      </c>
      <c r="L682" s="1">
        <v>0</v>
      </c>
      <c r="M682" s="1" t="s">
        <v>107</v>
      </c>
      <c r="O682" s="1">
        <f>((NOT(ISNA(VLOOKUP(M682,Monster!$H$2:$I$6,2,FALSE)))*L682)+J682)*(1+K682/100*0.25)</f>
        <v>1715.6999999999998</v>
      </c>
      <c r="P682" s="1" t="s">
        <v>319</v>
      </c>
      <c r="Q682" s="1">
        <v>2</v>
      </c>
    </row>
    <row r="683" spans="2:21" ht="12.75" hidden="1" x14ac:dyDescent="0.2">
      <c r="B683" s="1" t="s">
        <v>2017</v>
      </c>
      <c r="C683" s="1" t="s">
        <v>541</v>
      </c>
      <c r="D683" s="1" t="s">
        <v>596</v>
      </c>
      <c r="E683" s="1" t="s">
        <v>2008</v>
      </c>
      <c r="F683" s="1" t="s">
        <v>52</v>
      </c>
      <c r="G683" s="1">
        <f>IF(ISNA(VLOOKUP(F683,Monster!B:E,4,FALSE)),0,VLOOKUP(F683,Monster!B:E,4,FALSE))</f>
        <v>3</v>
      </c>
      <c r="I683" s="1" t="s">
        <v>2018</v>
      </c>
      <c r="J683" s="1">
        <v>1756</v>
      </c>
      <c r="K683" s="1">
        <v>0</v>
      </c>
      <c r="L683" s="1">
        <v>0</v>
      </c>
      <c r="M683" s="1" t="s">
        <v>107</v>
      </c>
      <c r="O683" s="1">
        <f>((NOT(ISNA(VLOOKUP(M683,Monster!$H$2:$I$6,2,FALSE)))*L683)+J683)*(1+K683/100*0.25)</f>
        <v>1756</v>
      </c>
      <c r="P683" s="1" t="s">
        <v>590</v>
      </c>
      <c r="Q683" s="1">
        <v>1</v>
      </c>
      <c r="S683" s="1" t="s">
        <v>2019</v>
      </c>
      <c r="T683" s="1" t="s">
        <v>2020</v>
      </c>
    </row>
    <row r="684" spans="2:21" ht="12.75" hidden="1" x14ac:dyDescent="0.2">
      <c r="B684" s="1" t="s">
        <v>2021</v>
      </c>
      <c r="C684" s="1" t="s">
        <v>617</v>
      </c>
      <c r="D684" s="1" t="s">
        <v>596</v>
      </c>
      <c r="E684" s="1" t="s">
        <v>2008</v>
      </c>
      <c r="F684" s="1" t="s">
        <v>60</v>
      </c>
      <c r="G684" s="1">
        <f>IF(ISNA(VLOOKUP(F684,Monster!B:E,4,FALSE)),0,VLOOKUP(F684,Monster!B:E,4,FALSE))</f>
        <v>4</v>
      </c>
      <c r="I684" s="1" t="s">
        <v>2021</v>
      </c>
      <c r="J684" s="1">
        <v>1221</v>
      </c>
      <c r="K684" s="1">
        <v>0</v>
      </c>
      <c r="L684" s="1">
        <v>1142</v>
      </c>
      <c r="M684" s="1" t="s">
        <v>50</v>
      </c>
      <c r="O684" s="1">
        <f>((NOT(ISNA(VLOOKUP(M684,Monster!$H$2:$I$6,2,FALSE)))*L684)+J684)*(1+K684/100*0.25)</f>
        <v>2363</v>
      </c>
      <c r="P684" s="1" t="s">
        <v>244</v>
      </c>
      <c r="Q684" s="1">
        <v>1</v>
      </c>
      <c r="S684" s="1" t="s">
        <v>2022</v>
      </c>
      <c r="T684" s="1" t="s">
        <v>2016</v>
      </c>
      <c r="U684" s="1" t="s">
        <v>2023</v>
      </c>
    </row>
    <row r="685" spans="2:21" ht="12.75" hidden="1" x14ac:dyDescent="0.2">
      <c r="C685" s="1" t="s">
        <v>696</v>
      </c>
      <c r="D685" s="1" t="s">
        <v>596</v>
      </c>
      <c r="E685" s="1" t="s">
        <v>2008</v>
      </c>
      <c r="F685" s="1" t="s">
        <v>69</v>
      </c>
      <c r="G685" s="1">
        <f>IF(ISNA(VLOOKUP(F685,Monster!B:E,4,FALSE)),0,VLOOKUP(F685,Monster!B:E,4,FALSE))</f>
        <v>5</v>
      </c>
      <c r="J685" s="1">
        <v>1756</v>
      </c>
      <c r="K685" s="1">
        <v>0</v>
      </c>
      <c r="L685" s="1">
        <v>0</v>
      </c>
      <c r="M685" s="1" t="s">
        <v>107</v>
      </c>
      <c r="O685" s="1">
        <f>((NOT(ISNA(VLOOKUP(M685,Monster!$H$2:$I$6,2,FALSE)))*L685)+J685)*(1+K685/100*0.25)</f>
        <v>1756</v>
      </c>
      <c r="P685" s="1" t="s">
        <v>213</v>
      </c>
      <c r="Q685" s="1">
        <v>2</v>
      </c>
    </row>
    <row r="686" spans="2:21" ht="12.75" hidden="1" x14ac:dyDescent="0.2">
      <c r="C686" s="1" t="s">
        <v>719</v>
      </c>
      <c r="D686" s="1" t="s">
        <v>596</v>
      </c>
      <c r="E686" s="1" t="s">
        <v>2008</v>
      </c>
      <c r="F686" s="1" t="s">
        <v>75</v>
      </c>
      <c r="G686" s="1">
        <f>IF(ISNA(VLOOKUP(F686,Monster!B:E,4,FALSE)),0,VLOOKUP(F686,Monster!B:E,4,FALSE))</f>
        <v>6</v>
      </c>
      <c r="J686" s="1">
        <v>1596</v>
      </c>
      <c r="K686" s="1">
        <v>0</v>
      </c>
      <c r="L686" s="1">
        <v>400</v>
      </c>
      <c r="M686" s="1" t="s">
        <v>87</v>
      </c>
      <c r="O686" s="1">
        <f>((NOT(ISNA(VLOOKUP(M686,Monster!$H$2:$I$6,2,FALSE)))*L686)+J686)*(1+K686/100*0.25)</f>
        <v>1596</v>
      </c>
      <c r="P686" s="1" t="s">
        <v>590</v>
      </c>
      <c r="Q686" s="1">
        <v>1</v>
      </c>
    </row>
    <row r="687" spans="2:21" ht="12.75" hidden="1" x14ac:dyDescent="0.2">
      <c r="B687" s="1" t="s">
        <v>2024</v>
      </c>
      <c r="C687" s="1" t="s">
        <v>729</v>
      </c>
      <c r="D687" s="1" t="s">
        <v>596</v>
      </c>
      <c r="E687" s="1" t="s">
        <v>2008</v>
      </c>
      <c r="F687" s="1" t="s">
        <v>81</v>
      </c>
      <c r="G687" s="1">
        <f>IF(ISNA(VLOOKUP(F687,Monster!B:E,4,FALSE)),0,VLOOKUP(F687,Monster!B:E,4,FALSE))</f>
        <v>7</v>
      </c>
      <c r="I687" s="1" t="s">
        <v>2025</v>
      </c>
      <c r="J687" s="1">
        <v>1293</v>
      </c>
      <c r="K687" s="1">
        <v>0</v>
      </c>
      <c r="L687" s="1">
        <v>910</v>
      </c>
      <c r="M687" s="1" t="s">
        <v>58</v>
      </c>
      <c r="O687" s="1">
        <f>((NOT(ISNA(VLOOKUP(M687,Monster!$H$2:$I$6,2,FALSE)))*L687)+J687)*(1+K687/100*0.25)</f>
        <v>2203</v>
      </c>
      <c r="P687" s="1" t="s">
        <v>253</v>
      </c>
      <c r="Q687" s="1">
        <v>1</v>
      </c>
      <c r="S687" s="1" t="s">
        <v>2026</v>
      </c>
      <c r="T687" s="1" t="s">
        <v>2027</v>
      </c>
      <c r="U687" s="1" t="s">
        <v>2028</v>
      </c>
    </row>
    <row r="688" spans="2:21" ht="12.75" hidden="1" x14ac:dyDescent="0.2">
      <c r="C688" s="1" t="s">
        <v>735</v>
      </c>
      <c r="D688" s="1" t="s">
        <v>596</v>
      </c>
      <c r="E688" s="1" t="s">
        <v>2008</v>
      </c>
      <c r="F688" s="1" t="s">
        <v>91</v>
      </c>
      <c r="G688" s="1">
        <f>IF(ISNA(VLOOKUP(F688,Monster!B:E,4,FALSE)),0,VLOOKUP(F688,Monster!B:E,4,FALSE))</f>
        <v>8</v>
      </c>
      <c r="J688" s="1">
        <v>1764</v>
      </c>
      <c r="K688" s="1">
        <v>0</v>
      </c>
      <c r="L688" s="1">
        <v>0</v>
      </c>
      <c r="M688" s="1" t="s">
        <v>107</v>
      </c>
      <c r="O688" s="1">
        <f>((NOT(ISNA(VLOOKUP(M688,Monster!$H$2:$I$6,2,FALSE)))*L688)+J688)*(1+K688/100*0.25)</f>
        <v>1764</v>
      </c>
      <c r="P688" s="1" t="s">
        <v>228</v>
      </c>
      <c r="Q688" s="1">
        <v>2</v>
      </c>
    </row>
    <row r="689" spans="2:21" ht="12.75" hidden="1" x14ac:dyDescent="0.2">
      <c r="B689" s="1" t="s">
        <v>2029</v>
      </c>
      <c r="C689" s="1" t="s">
        <v>740</v>
      </c>
      <c r="D689" s="1" t="s">
        <v>596</v>
      </c>
      <c r="E689" s="1" t="s">
        <v>2008</v>
      </c>
      <c r="F689" s="1" t="s">
        <v>97</v>
      </c>
      <c r="G689" s="1">
        <f>IF(ISNA(VLOOKUP(F689,Monster!B:E,4,FALSE)),0,VLOOKUP(F689,Monster!B:E,4,FALSE))</f>
        <v>9</v>
      </c>
      <c r="I689" s="1" t="s">
        <v>2029</v>
      </c>
      <c r="J689" s="1">
        <v>1979</v>
      </c>
      <c r="K689" s="1">
        <v>0</v>
      </c>
      <c r="L689" s="1">
        <v>0</v>
      </c>
      <c r="M689" s="1" t="s">
        <v>107</v>
      </c>
      <c r="O689" s="1">
        <f>((NOT(ISNA(VLOOKUP(M689,Monster!$H$2:$I$6,2,FALSE)))*L689)+J689)*(1+K689/100*0.25)</f>
        <v>1979</v>
      </c>
      <c r="P689" s="1" t="s">
        <v>590</v>
      </c>
      <c r="Q689" s="1">
        <v>1</v>
      </c>
      <c r="S689" s="1" t="s">
        <v>2030</v>
      </c>
      <c r="T689" s="1" t="s">
        <v>2031</v>
      </c>
      <c r="U689" s="1" t="s">
        <v>2011</v>
      </c>
    </row>
    <row r="690" spans="2:21" ht="12.75" hidden="1" x14ac:dyDescent="0.2">
      <c r="B690" s="1" t="s">
        <v>2032</v>
      </c>
      <c r="C690" s="1" t="s">
        <v>745</v>
      </c>
      <c r="D690" s="1" t="s">
        <v>596</v>
      </c>
      <c r="E690" s="1" t="s">
        <v>2008</v>
      </c>
      <c r="F690" s="1" t="s">
        <v>102</v>
      </c>
      <c r="G690" s="1">
        <f>IF(ISNA(VLOOKUP(F690,Monster!B:E,4,FALSE)),0,VLOOKUP(F690,Monster!B:E,4,FALSE))</f>
        <v>10</v>
      </c>
      <c r="I690" s="1" t="s">
        <v>2033</v>
      </c>
      <c r="J690" s="1">
        <v>1293</v>
      </c>
      <c r="K690" s="1">
        <v>0</v>
      </c>
      <c r="L690" s="1">
        <v>910</v>
      </c>
      <c r="M690" s="1" t="s">
        <v>50</v>
      </c>
      <c r="O690" s="1">
        <f>((NOT(ISNA(VLOOKUP(M690,Monster!$H$2:$I$6,2,FALSE)))*L690)+J690)*(1+K690/100*0.25)</f>
        <v>2203</v>
      </c>
      <c r="P690" s="1" t="s">
        <v>394</v>
      </c>
      <c r="Q690" s="1">
        <v>1</v>
      </c>
      <c r="S690" s="1" t="s">
        <v>2034</v>
      </c>
      <c r="T690" s="1" t="s">
        <v>2035</v>
      </c>
    </row>
    <row r="691" spans="2:21" ht="12.75" hidden="1" x14ac:dyDescent="0.2">
      <c r="B691" s="1" t="s">
        <v>2036</v>
      </c>
      <c r="C691" s="1" t="s">
        <v>750</v>
      </c>
      <c r="D691" s="1" t="s">
        <v>596</v>
      </c>
      <c r="E691" s="1" t="s">
        <v>2008</v>
      </c>
      <c r="F691" s="1" t="s">
        <v>109</v>
      </c>
      <c r="G691" s="1">
        <f>IF(ISNA(VLOOKUP(F691,Monster!B:E,4,FALSE)),0,VLOOKUP(F691,Monster!B:E,4,FALSE))</f>
        <v>11</v>
      </c>
      <c r="I691" s="1" t="s">
        <v>2037</v>
      </c>
      <c r="J691" s="1">
        <v>1293</v>
      </c>
      <c r="K691" s="1">
        <v>0</v>
      </c>
      <c r="L691" s="1">
        <v>910</v>
      </c>
      <c r="M691" s="1" t="s">
        <v>41</v>
      </c>
      <c r="O691" s="1">
        <f>((NOT(ISNA(VLOOKUP(M691,Monster!$H$2:$I$6,2,FALSE)))*L691)+J691)*(1+K691/100*0.25)</f>
        <v>2203</v>
      </c>
      <c r="P691" s="1" t="s">
        <v>543</v>
      </c>
      <c r="Q691" s="1">
        <v>1</v>
      </c>
      <c r="S691" s="1" t="s">
        <v>2038</v>
      </c>
      <c r="T691" s="1" t="s">
        <v>2039</v>
      </c>
    </row>
    <row r="692" spans="2:21" ht="12.75" x14ac:dyDescent="0.2">
      <c r="B692" s="1" t="s">
        <v>2040</v>
      </c>
      <c r="C692" s="1" t="s">
        <v>756</v>
      </c>
      <c r="D692" s="1" t="s">
        <v>596</v>
      </c>
      <c r="E692" s="1" t="s">
        <v>2008</v>
      </c>
      <c r="F692" s="1" t="s">
        <v>119</v>
      </c>
      <c r="G692" s="1">
        <f>IF(ISNA(VLOOKUP(F692,Monster!B:E,4,FALSE)),0,VLOOKUP(F692,Monster!B:E,4,FALSE))</f>
        <v>12</v>
      </c>
      <c r="I692" s="1" t="s">
        <v>2041</v>
      </c>
      <c r="J692" s="1">
        <v>1203</v>
      </c>
      <c r="K692" s="1">
        <v>-40</v>
      </c>
      <c r="L692" s="1">
        <v>1278</v>
      </c>
      <c r="M692" s="1" t="s">
        <v>58</v>
      </c>
      <c r="O692" s="1">
        <f>((NOT(ISNA(VLOOKUP(M692,Monster!$H$2:$I$6,2,FALSE)))*L692)+J692)*(1+K692/100*0.25)</f>
        <v>2232.9</v>
      </c>
      <c r="P692" s="1" t="s">
        <v>194</v>
      </c>
      <c r="Q692" s="1">
        <v>1</v>
      </c>
      <c r="S692" s="1" t="s">
        <v>2028</v>
      </c>
      <c r="T692" s="1" t="s">
        <v>2042</v>
      </c>
    </row>
    <row r="693" spans="2:21" ht="12.75" hidden="1" x14ac:dyDescent="0.2">
      <c r="B693" s="1" t="s">
        <v>2043</v>
      </c>
      <c r="C693" s="1" t="s">
        <v>761</v>
      </c>
      <c r="D693" s="1" t="s">
        <v>596</v>
      </c>
      <c r="E693" s="1" t="s">
        <v>2008</v>
      </c>
      <c r="F693" s="1" t="s">
        <v>125</v>
      </c>
      <c r="G693" s="1">
        <f>IF(ISNA(VLOOKUP(F693,Monster!B:E,4,FALSE)),0,VLOOKUP(F693,Monster!B:E,4,FALSE))</f>
        <v>13</v>
      </c>
      <c r="I693" s="1" t="s">
        <v>2044</v>
      </c>
      <c r="J693" s="1">
        <v>1878</v>
      </c>
      <c r="K693" s="1">
        <v>0</v>
      </c>
      <c r="L693" s="1">
        <v>0</v>
      </c>
      <c r="M693" s="1" t="s">
        <v>107</v>
      </c>
      <c r="O693" s="1">
        <f>((NOT(ISNA(VLOOKUP(M693,Monster!$H$2:$I$6,2,FALSE)))*L693)+J693)*(1+K693/100*0.25)</f>
        <v>1878</v>
      </c>
      <c r="P693" s="1" t="s">
        <v>348</v>
      </c>
      <c r="Q693" s="1">
        <v>2</v>
      </c>
      <c r="S693" s="1" t="s">
        <v>2045</v>
      </c>
      <c r="T693" s="1" t="s">
        <v>2030</v>
      </c>
      <c r="U693" s="1" t="s">
        <v>2046</v>
      </c>
    </row>
    <row r="694" spans="2:21" ht="12.75" hidden="1" x14ac:dyDescent="0.2">
      <c r="C694" s="1" t="s">
        <v>766</v>
      </c>
      <c r="D694" s="1" t="s">
        <v>596</v>
      </c>
      <c r="E694" s="1" t="s">
        <v>2008</v>
      </c>
      <c r="F694" s="1" t="s">
        <v>131</v>
      </c>
      <c r="G694" s="1">
        <f>IF(ISNA(VLOOKUP(F694,Monster!B:E,4,FALSE)),0,VLOOKUP(F694,Monster!B:E,4,FALSE))</f>
        <v>14</v>
      </c>
      <c r="J694" s="1">
        <v>1756</v>
      </c>
      <c r="K694" s="1">
        <v>0</v>
      </c>
      <c r="L694" s="1">
        <v>300</v>
      </c>
      <c r="M694" s="1" t="s">
        <v>79</v>
      </c>
      <c r="O694" s="1">
        <f>((NOT(ISNA(VLOOKUP(M694,Monster!$H$2:$I$6,2,FALSE)))*L694)+J694)*(1+K694/100*0.25)</f>
        <v>1756</v>
      </c>
      <c r="P694" s="1" t="s">
        <v>253</v>
      </c>
      <c r="Q694" s="1">
        <v>1</v>
      </c>
    </row>
    <row r="695" spans="2:21" ht="12.75" hidden="1" x14ac:dyDescent="0.2">
      <c r="B695" s="1" t="s">
        <v>2047</v>
      </c>
      <c r="C695" s="1" t="s">
        <v>771</v>
      </c>
      <c r="D695" s="1" t="s">
        <v>596</v>
      </c>
      <c r="E695" s="1" t="s">
        <v>2008</v>
      </c>
      <c r="F695" s="1" t="s">
        <v>137</v>
      </c>
      <c r="G695" s="1">
        <f>IF(ISNA(VLOOKUP(F695,Monster!B:E,4,FALSE)),0,VLOOKUP(F695,Monster!B:E,4,FALSE))</f>
        <v>15</v>
      </c>
      <c r="I695" s="1" t="s">
        <v>2047</v>
      </c>
      <c r="J695" s="1">
        <v>1993</v>
      </c>
      <c r="K695" s="1">
        <v>30</v>
      </c>
      <c r="L695" s="1">
        <v>0</v>
      </c>
      <c r="M695" s="1" t="s">
        <v>107</v>
      </c>
      <c r="O695" s="1">
        <f>((NOT(ISNA(VLOOKUP(M695,Monster!$H$2:$I$6,2,FALSE)))*L695)+J695)*(1+K695/100*0.25)</f>
        <v>2142.4749999999999</v>
      </c>
      <c r="P695" s="1" t="s">
        <v>483</v>
      </c>
      <c r="Q695" s="1">
        <v>2</v>
      </c>
      <c r="S695" s="1" t="s">
        <v>2048</v>
      </c>
      <c r="T695" s="1" t="s">
        <v>2049</v>
      </c>
    </row>
    <row r="696" spans="2:21" ht="12.75" hidden="1" x14ac:dyDescent="0.2">
      <c r="B696" s="1" t="s">
        <v>2050</v>
      </c>
      <c r="C696" s="1" t="s">
        <v>775</v>
      </c>
      <c r="D696" s="1" t="s">
        <v>596</v>
      </c>
      <c r="E696" s="1" t="s">
        <v>2008</v>
      </c>
      <c r="F696" s="1" t="s">
        <v>146</v>
      </c>
      <c r="G696" s="1">
        <f>IF(ISNA(VLOOKUP(F696,Monster!B:E,4,FALSE)),0,VLOOKUP(F696,Monster!B:E,4,FALSE))</f>
        <v>16</v>
      </c>
      <c r="I696" s="1" t="s">
        <v>2051</v>
      </c>
      <c r="J696" s="1">
        <v>1221</v>
      </c>
      <c r="K696" s="1">
        <v>0</v>
      </c>
      <c r="L696" s="1">
        <v>1142</v>
      </c>
      <c r="M696" s="1" t="s">
        <v>66</v>
      </c>
      <c r="O696" s="1">
        <f>((NOT(ISNA(VLOOKUP(M696,Monster!$H$2:$I$6,2,FALSE)))*L696)+J696)*(1+K696/100*0.25)</f>
        <v>2363</v>
      </c>
      <c r="P696" s="1" t="s">
        <v>228</v>
      </c>
      <c r="Q696" s="1">
        <v>2</v>
      </c>
      <c r="S696" s="1" t="s">
        <v>2052</v>
      </c>
      <c r="T696" s="1" t="s">
        <v>2053</v>
      </c>
    </row>
    <row r="697" spans="2:21" ht="12.75" hidden="1" x14ac:dyDescent="0.2">
      <c r="B697" s="1" t="s">
        <v>2054</v>
      </c>
      <c r="C697" s="1" t="s">
        <v>779</v>
      </c>
      <c r="D697" s="1" t="s">
        <v>596</v>
      </c>
      <c r="E697" s="1" t="s">
        <v>2008</v>
      </c>
      <c r="F697" s="1" t="s">
        <v>151</v>
      </c>
      <c r="G697" s="1">
        <f>IF(ISNA(VLOOKUP(F697,Monster!B:E,4,FALSE)),0,VLOOKUP(F697,Monster!B:E,4,FALSE))</f>
        <v>17</v>
      </c>
      <c r="I697" s="1" t="s">
        <v>2054</v>
      </c>
      <c r="J697" s="1">
        <v>1979</v>
      </c>
      <c r="K697" s="1">
        <v>0</v>
      </c>
      <c r="L697" s="1">
        <v>0</v>
      </c>
      <c r="M697" s="1" t="s">
        <v>107</v>
      </c>
      <c r="O697" s="1">
        <f>((NOT(ISNA(VLOOKUP(M697,Monster!$H$2:$I$6,2,FALSE)))*L697)+J697)*(1+K697/100*0.25)</f>
        <v>1979</v>
      </c>
      <c r="P697" s="1" t="s">
        <v>364</v>
      </c>
      <c r="Q697" s="1">
        <v>1</v>
      </c>
      <c r="S697" s="1" t="s">
        <v>2055</v>
      </c>
      <c r="T697" s="1" t="s">
        <v>2049</v>
      </c>
    </row>
    <row r="698" spans="2:21" ht="12.75" hidden="1" x14ac:dyDescent="0.2">
      <c r="B698" s="1" t="s">
        <v>2056</v>
      </c>
      <c r="C698" s="1" t="s">
        <v>782</v>
      </c>
      <c r="D698" s="1" t="s">
        <v>596</v>
      </c>
      <c r="E698" s="1" t="s">
        <v>2008</v>
      </c>
      <c r="F698" s="1" t="s">
        <v>155</v>
      </c>
      <c r="G698" s="1">
        <f>IF(ISNA(VLOOKUP(F698,Monster!B:E,4,FALSE)),0,VLOOKUP(F698,Monster!B:E,4,FALSE))</f>
        <v>18</v>
      </c>
      <c r="I698" s="1" t="s">
        <v>2057</v>
      </c>
      <c r="J698" s="1">
        <v>2218</v>
      </c>
      <c r="K698" s="1">
        <v>-30</v>
      </c>
      <c r="L698" s="1">
        <v>0</v>
      </c>
      <c r="M698" s="1" t="s">
        <v>107</v>
      </c>
      <c r="O698" s="1">
        <f>((NOT(ISNA(VLOOKUP(M698,Monster!$H$2:$I$6,2,FALSE)))*L698)+J698)*(1+K698/100*0.25)</f>
        <v>2051.65</v>
      </c>
      <c r="P698" s="1" t="s">
        <v>463</v>
      </c>
      <c r="Q698" s="1">
        <v>1</v>
      </c>
      <c r="S698" s="1" t="s">
        <v>2058</v>
      </c>
      <c r="T698" s="1" t="s">
        <v>2019</v>
      </c>
    </row>
    <row r="699" spans="2:21" ht="12.75" hidden="1" x14ac:dyDescent="0.2">
      <c r="C699" s="1" t="s">
        <v>786</v>
      </c>
      <c r="D699" s="1" t="s">
        <v>596</v>
      </c>
      <c r="E699" s="1" t="s">
        <v>2008</v>
      </c>
      <c r="F699" s="1" t="s">
        <v>160</v>
      </c>
      <c r="G699" s="1">
        <f>IF(ISNA(VLOOKUP(F699,Monster!B:E,4,FALSE)),0,VLOOKUP(F699,Monster!B:E,4,FALSE))</f>
        <v>19</v>
      </c>
      <c r="J699" s="1">
        <v>1221</v>
      </c>
      <c r="K699" s="1">
        <v>0</v>
      </c>
      <c r="L699" s="1">
        <v>1142</v>
      </c>
      <c r="M699" s="1" t="s">
        <v>41</v>
      </c>
      <c r="O699" s="1">
        <f>((NOT(ISNA(VLOOKUP(M699,Monster!$H$2:$I$6,2,FALSE)))*L699)+J699)*(1+K699/100*0.25)</f>
        <v>2363</v>
      </c>
      <c r="P699" s="1" t="s">
        <v>244</v>
      </c>
      <c r="Q699" s="1">
        <v>1</v>
      </c>
    </row>
    <row r="700" spans="2:21" ht="12.75" hidden="1" x14ac:dyDescent="0.2">
      <c r="C700" s="1" t="s">
        <v>790</v>
      </c>
      <c r="D700" s="1" t="s">
        <v>596</v>
      </c>
      <c r="E700" s="1" t="s">
        <v>2008</v>
      </c>
      <c r="F700" s="1" t="s">
        <v>165</v>
      </c>
      <c r="G700" s="1">
        <f>IF(ISNA(VLOOKUP(F700,Monster!B:E,4,FALSE)),0,VLOOKUP(F700,Monster!B:E,4,FALSE))</f>
        <v>20</v>
      </c>
      <c r="J700" s="1">
        <v>1682</v>
      </c>
      <c r="K700" s="1">
        <v>0</v>
      </c>
      <c r="L700" s="1">
        <v>605</v>
      </c>
      <c r="M700" s="1" t="s">
        <v>41</v>
      </c>
      <c r="O700" s="1">
        <f>((NOT(ISNA(VLOOKUP(M700,Monster!$H$2:$I$6,2,FALSE)))*L700)+J700)*(1+K700/100*0.25)</f>
        <v>2287</v>
      </c>
      <c r="P700" s="1" t="s">
        <v>602</v>
      </c>
      <c r="Q700" s="1">
        <v>1</v>
      </c>
    </row>
    <row r="701" spans="2:21" ht="12.75" hidden="1" x14ac:dyDescent="0.2">
      <c r="C701" s="1" t="s">
        <v>794</v>
      </c>
      <c r="D701" s="1" t="s">
        <v>596</v>
      </c>
      <c r="E701" s="1" t="s">
        <v>2008</v>
      </c>
      <c r="F701" s="1" t="s">
        <v>171</v>
      </c>
      <c r="G701" s="1">
        <f>IF(ISNA(VLOOKUP(F701,Monster!B:E,4,FALSE)),0,VLOOKUP(F701,Monster!B:E,4,FALSE))</f>
        <v>21</v>
      </c>
      <c r="J701" s="1">
        <v>1258</v>
      </c>
      <c r="K701" s="1">
        <v>30</v>
      </c>
      <c r="L701" s="1">
        <v>1082</v>
      </c>
      <c r="M701" s="1" t="s">
        <v>41</v>
      </c>
      <c r="O701" s="1">
        <f>((NOT(ISNA(VLOOKUP(M701,Monster!$H$2:$I$6,2,FALSE)))*L701)+J701)*(1+K701/100*0.25)</f>
        <v>2515.5</v>
      </c>
      <c r="P701" s="1" t="s">
        <v>175</v>
      </c>
      <c r="Q701" s="1">
        <v>2</v>
      </c>
    </row>
    <row r="702" spans="2:21" ht="12.75" hidden="1" x14ac:dyDescent="0.2">
      <c r="B702" s="1" t="s">
        <v>2059</v>
      </c>
      <c r="C702" s="1" t="s">
        <v>797</v>
      </c>
      <c r="D702" s="1" t="s">
        <v>596</v>
      </c>
      <c r="E702" s="1" t="s">
        <v>2008</v>
      </c>
      <c r="F702" s="1" t="s">
        <v>176</v>
      </c>
      <c r="G702" s="1">
        <f>IF(ISNA(VLOOKUP(F702,Monster!B:E,4,FALSE)),0,VLOOKUP(F702,Monster!B:E,4,FALSE))</f>
        <v>22</v>
      </c>
      <c r="I702" s="1" t="s">
        <v>2060</v>
      </c>
      <c r="J702" s="1">
        <v>1756</v>
      </c>
      <c r="K702" s="1">
        <v>0</v>
      </c>
      <c r="L702" s="1">
        <v>0</v>
      </c>
      <c r="M702" s="1" t="s">
        <v>107</v>
      </c>
      <c r="O702" s="1">
        <f>((NOT(ISNA(VLOOKUP(M702,Monster!$H$2:$I$6,2,FALSE)))*L702)+J702)*(1+K702/100*0.25)</f>
        <v>1756</v>
      </c>
      <c r="P702" s="1" t="s">
        <v>213</v>
      </c>
      <c r="Q702" s="1">
        <v>2</v>
      </c>
      <c r="S702" s="1" t="s">
        <v>2019</v>
      </c>
      <c r="T702" s="1" t="s">
        <v>2061</v>
      </c>
      <c r="U702" s="1" t="s">
        <v>2062</v>
      </c>
    </row>
    <row r="703" spans="2:21" ht="12.75" hidden="1" x14ac:dyDescent="0.2">
      <c r="C703" s="1" t="s">
        <v>800</v>
      </c>
      <c r="D703" s="1" t="s">
        <v>596</v>
      </c>
      <c r="E703" s="1" t="s">
        <v>2008</v>
      </c>
      <c r="F703" s="1" t="s">
        <v>184</v>
      </c>
      <c r="G703" s="1">
        <f>IF(ISNA(VLOOKUP(F703,Monster!B:E,4,FALSE)),0,VLOOKUP(F703,Monster!B:E,4,FALSE))</f>
        <v>23</v>
      </c>
      <c r="J703" s="1">
        <v>1764</v>
      </c>
      <c r="K703" s="1">
        <v>0</v>
      </c>
      <c r="L703" s="1">
        <v>0</v>
      </c>
      <c r="M703" s="1" t="s">
        <v>107</v>
      </c>
      <c r="O703" s="1">
        <f>((NOT(ISNA(VLOOKUP(M703,Monster!$H$2:$I$6,2,FALSE)))*L703)+J703)*(1+K703/100*0.25)</f>
        <v>1764</v>
      </c>
      <c r="P703" s="1" t="s">
        <v>306</v>
      </c>
      <c r="Q703" s="1">
        <v>2</v>
      </c>
    </row>
    <row r="704" spans="2:21" ht="12.75" hidden="1" x14ac:dyDescent="0.2">
      <c r="B704" s="1" t="s">
        <v>2063</v>
      </c>
      <c r="C704" s="1" t="s">
        <v>803</v>
      </c>
      <c r="D704" s="1" t="s">
        <v>596</v>
      </c>
      <c r="E704" s="1" t="s">
        <v>2008</v>
      </c>
      <c r="F704" s="1" t="s">
        <v>190</v>
      </c>
      <c r="G704" s="1">
        <f>IF(ISNA(VLOOKUP(F704,Monster!B:E,4,FALSE)),0,VLOOKUP(F704,Monster!B:E,4,FALSE))</f>
        <v>24</v>
      </c>
      <c r="I704" s="1" t="s">
        <v>2063</v>
      </c>
      <c r="J704" s="1">
        <v>1191</v>
      </c>
      <c r="K704" s="1">
        <v>20</v>
      </c>
      <c r="L704" s="1">
        <v>910</v>
      </c>
      <c r="M704" s="1" t="s">
        <v>66</v>
      </c>
      <c r="O704" s="1">
        <f>((NOT(ISNA(VLOOKUP(M704,Monster!$H$2:$I$6,2,FALSE)))*L704)+J704)*(1+K704/100*0.25)</f>
        <v>2206.0500000000002</v>
      </c>
      <c r="P704" s="1" t="s">
        <v>253</v>
      </c>
      <c r="Q704" s="1">
        <v>1</v>
      </c>
      <c r="S704" s="1" t="s">
        <v>2064</v>
      </c>
      <c r="T704" s="1" t="s">
        <v>2065</v>
      </c>
    </row>
    <row r="705" spans="2:21" ht="12.75" hidden="1" x14ac:dyDescent="0.2">
      <c r="B705" s="1" t="s">
        <v>2066</v>
      </c>
      <c r="C705" s="1" t="s">
        <v>807</v>
      </c>
      <c r="D705" s="1" t="s">
        <v>596</v>
      </c>
      <c r="E705" s="1" t="s">
        <v>2008</v>
      </c>
      <c r="F705" s="1" t="s">
        <v>193</v>
      </c>
      <c r="G705" s="1">
        <f>IF(ISNA(VLOOKUP(F705,Monster!B:E,4,FALSE)),0,VLOOKUP(F705,Monster!B:E,4,FALSE))</f>
        <v>25</v>
      </c>
      <c r="I705" s="1" t="s">
        <v>2067</v>
      </c>
      <c r="J705" s="1">
        <v>1221</v>
      </c>
      <c r="K705" s="1">
        <v>0</v>
      </c>
      <c r="L705" s="1">
        <v>1142</v>
      </c>
      <c r="M705" s="1" t="s">
        <v>58</v>
      </c>
      <c r="O705" s="1">
        <f>((NOT(ISNA(VLOOKUP(M705,Monster!$H$2:$I$6,2,FALSE)))*L705)+J705)*(1+K705/100*0.25)</f>
        <v>2363</v>
      </c>
      <c r="P705" s="1" t="s">
        <v>38</v>
      </c>
      <c r="Q705" s="1">
        <v>1</v>
      </c>
      <c r="S705" s="1" t="s">
        <v>2068</v>
      </c>
      <c r="T705" s="1" t="s">
        <v>2027</v>
      </c>
    </row>
    <row r="706" spans="2:21" ht="12.75" hidden="1" x14ac:dyDescent="0.2">
      <c r="B706" s="1" t="s">
        <v>2069</v>
      </c>
      <c r="C706" s="1" t="s">
        <v>810</v>
      </c>
      <c r="D706" s="1" t="s">
        <v>596</v>
      </c>
      <c r="E706" s="1" t="s">
        <v>2008</v>
      </c>
      <c r="F706" s="1" t="s">
        <v>197</v>
      </c>
      <c r="G706" s="1">
        <f>IF(ISNA(VLOOKUP(F706,Monster!B:E,4,FALSE)),0,VLOOKUP(F706,Monster!B:E,4,FALSE))</f>
        <v>26</v>
      </c>
      <c r="I706" s="1" t="s">
        <v>2070</v>
      </c>
      <c r="J706" s="1">
        <v>1588</v>
      </c>
      <c r="K706" s="1">
        <v>0</v>
      </c>
      <c r="L706" s="1">
        <v>632</v>
      </c>
      <c r="M706" s="1" t="s">
        <v>58</v>
      </c>
      <c r="O706" s="1">
        <f>((NOT(ISNA(VLOOKUP(M706,Monster!$H$2:$I$6,2,FALSE)))*L706)+J706)*(1+K706/100*0.25)</f>
        <v>2220</v>
      </c>
      <c r="P706" s="1" t="s">
        <v>412</v>
      </c>
      <c r="Q706" s="1">
        <v>1</v>
      </c>
      <c r="S706" s="1" t="s">
        <v>2071</v>
      </c>
      <c r="T706" s="1" t="s">
        <v>2042</v>
      </c>
    </row>
    <row r="707" spans="2:21" ht="12.75" hidden="1" x14ac:dyDescent="0.2">
      <c r="C707" s="1" t="s">
        <v>813</v>
      </c>
      <c r="D707" s="1" t="s">
        <v>596</v>
      </c>
      <c r="E707" s="1" t="s">
        <v>2008</v>
      </c>
      <c r="F707" s="1" t="s">
        <v>205</v>
      </c>
      <c r="G707" s="1">
        <f>IF(ISNA(VLOOKUP(F707,Monster!B:E,4,FALSE)),0,VLOOKUP(F707,Monster!B:E,4,FALSE))</f>
        <v>27</v>
      </c>
      <c r="J707" s="1">
        <v>1719</v>
      </c>
      <c r="K707" s="1">
        <v>20</v>
      </c>
      <c r="L707" s="1">
        <v>0</v>
      </c>
      <c r="M707" s="1" t="s">
        <v>107</v>
      </c>
      <c r="O707" s="1">
        <f>((NOT(ISNA(VLOOKUP(M707,Monster!$H$2:$I$6,2,FALSE)))*L707)+J707)*(1+K707/100*0.25)</f>
        <v>1804.95</v>
      </c>
      <c r="P707" s="1" t="s">
        <v>269</v>
      </c>
      <c r="Q707" s="1">
        <v>1</v>
      </c>
    </row>
    <row r="708" spans="2:21" ht="12.75" hidden="1" x14ac:dyDescent="0.2">
      <c r="C708" s="1" t="s">
        <v>816</v>
      </c>
      <c r="D708" s="1" t="s">
        <v>596</v>
      </c>
      <c r="E708" s="1" t="s">
        <v>2008</v>
      </c>
      <c r="F708" s="1" t="s">
        <v>210</v>
      </c>
      <c r="G708" s="1">
        <f>IF(ISNA(VLOOKUP(F708,Monster!B:E,4,FALSE)),0,VLOOKUP(F708,Monster!B:E,4,FALSE))</f>
        <v>28</v>
      </c>
      <c r="J708" s="1">
        <v>1138</v>
      </c>
      <c r="K708" s="1">
        <v>20</v>
      </c>
      <c r="L708" s="1">
        <v>1156</v>
      </c>
      <c r="M708" s="1" t="s">
        <v>71</v>
      </c>
      <c r="O708" s="1">
        <f>((NOT(ISNA(VLOOKUP(M708,Monster!$H$2:$I$6,2,FALSE)))*L708)+J708)*(1+K708/100*0.25)</f>
        <v>2408.7000000000003</v>
      </c>
      <c r="P708" s="1" t="s">
        <v>166</v>
      </c>
      <c r="Q708" s="1">
        <v>1</v>
      </c>
    </row>
    <row r="709" spans="2:21" ht="12.75" hidden="1" x14ac:dyDescent="0.2">
      <c r="B709" s="1" t="s">
        <v>2072</v>
      </c>
      <c r="C709" s="1" t="s">
        <v>821</v>
      </c>
      <c r="D709" s="1" t="s">
        <v>596</v>
      </c>
      <c r="E709" s="1" t="s">
        <v>2008</v>
      </c>
      <c r="F709" s="1" t="s">
        <v>216</v>
      </c>
      <c r="G709" s="1">
        <f>IF(ISNA(VLOOKUP(F709,Monster!B:E,4,FALSE)),0,VLOOKUP(F709,Monster!B:E,4,FALSE))</f>
        <v>29</v>
      </c>
      <c r="I709" s="1" t="s">
        <v>2073</v>
      </c>
      <c r="J709" s="1">
        <v>1318</v>
      </c>
      <c r="K709" s="1">
        <v>-30</v>
      </c>
      <c r="L709" s="1">
        <v>1261</v>
      </c>
      <c r="M709" s="1" t="s">
        <v>71</v>
      </c>
      <c r="O709" s="1">
        <f>((NOT(ISNA(VLOOKUP(M709,Monster!$H$2:$I$6,2,FALSE)))*L709)+J709)*(1+K709/100*0.25)</f>
        <v>2385.5750000000003</v>
      </c>
      <c r="P709" s="1" t="s">
        <v>221</v>
      </c>
      <c r="Q709" s="1">
        <v>1</v>
      </c>
      <c r="S709" s="1" t="s">
        <v>2074</v>
      </c>
      <c r="T709" s="1" t="s">
        <v>2075</v>
      </c>
      <c r="U709" s="1" t="s">
        <v>2076</v>
      </c>
    </row>
    <row r="710" spans="2:21" ht="12.75" hidden="1" x14ac:dyDescent="0.2">
      <c r="B710" s="1" t="s">
        <v>2077</v>
      </c>
      <c r="C710" s="1" t="s">
        <v>825</v>
      </c>
      <c r="D710" s="1" t="s">
        <v>596</v>
      </c>
      <c r="E710" s="1" t="s">
        <v>2008</v>
      </c>
      <c r="F710" s="1" t="s">
        <v>223</v>
      </c>
      <c r="G710" s="1">
        <f>IF(ISNA(VLOOKUP(F710,Monster!B:E,4,FALSE)),0,VLOOKUP(F710,Monster!B:E,4,FALSE))</f>
        <v>30</v>
      </c>
      <c r="I710" s="1" t="s">
        <v>2078</v>
      </c>
      <c r="J710" s="1">
        <v>1666</v>
      </c>
      <c r="K710" s="1">
        <v>-15</v>
      </c>
      <c r="L710" s="1">
        <v>527</v>
      </c>
      <c r="M710" s="1" t="s">
        <v>41</v>
      </c>
      <c r="O710" s="1">
        <f>((NOT(ISNA(VLOOKUP(M710,Monster!$H$2:$I$6,2,FALSE)))*L710)+J710)*(1+K710/100*0.25)</f>
        <v>2110.7625000000003</v>
      </c>
      <c r="P710" s="1" t="s">
        <v>364</v>
      </c>
      <c r="Q710" s="1">
        <v>1</v>
      </c>
      <c r="S710" s="1" t="s">
        <v>2079</v>
      </c>
      <c r="T710" s="1" t="s">
        <v>2080</v>
      </c>
      <c r="U710" s="1" t="s">
        <v>2081</v>
      </c>
    </row>
    <row r="711" spans="2:21" ht="12.75" hidden="1" x14ac:dyDescent="0.2">
      <c r="C711" s="1" t="s">
        <v>829</v>
      </c>
      <c r="D711" s="1" t="s">
        <v>596</v>
      </c>
      <c r="E711" s="1" t="s">
        <v>2008</v>
      </c>
      <c r="F711" s="1" t="s">
        <v>229</v>
      </c>
      <c r="G711" s="1">
        <f>IF(ISNA(VLOOKUP(F711,Monster!B:E,4,FALSE)),0,VLOOKUP(F711,Monster!B:E,4,FALSE))</f>
        <v>31</v>
      </c>
      <c r="J711" s="1">
        <v>1194</v>
      </c>
      <c r="K711" s="1">
        <v>20</v>
      </c>
      <c r="L711" s="1">
        <v>913</v>
      </c>
      <c r="M711" s="1" t="s">
        <v>58</v>
      </c>
      <c r="O711" s="1">
        <f>((NOT(ISNA(VLOOKUP(M711,Monster!$H$2:$I$6,2,FALSE)))*L711)+J711)*(1+K711/100*0.25)</f>
        <v>2212.35</v>
      </c>
      <c r="P711" s="1" t="s">
        <v>470</v>
      </c>
      <c r="Q711" s="1">
        <v>1</v>
      </c>
    </row>
    <row r="712" spans="2:21" ht="12.75" hidden="1" x14ac:dyDescent="0.2">
      <c r="B712" s="1" t="s">
        <v>2082</v>
      </c>
      <c r="C712" s="1" t="s">
        <v>834</v>
      </c>
      <c r="D712" s="1" t="s">
        <v>596</v>
      </c>
      <c r="E712" s="1" t="s">
        <v>2008</v>
      </c>
      <c r="F712" s="1" t="s">
        <v>234</v>
      </c>
      <c r="G712" s="1">
        <f>IF(ISNA(VLOOKUP(F712,Monster!B:E,4,FALSE)),0,VLOOKUP(F712,Monster!B:E,4,FALSE))</f>
        <v>32</v>
      </c>
      <c r="I712" s="1" t="s">
        <v>2082</v>
      </c>
      <c r="J712" s="1">
        <v>1553</v>
      </c>
      <c r="K712" s="1">
        <v>0</v>
      </c>
      <c r="L712" s="1">
        <v>974</v>
      </c>
      <c r="M712" s="1" t="s">
        <v>66</v>
      </c>
      <c r="O712" s="1">
        <f>((NOT(ISNA(VLOOKUP(M712,Monster!$H$2:$I$6,2,FALSE)))*L712)+J712)*(1+K712/100*0.25)</f>
        <v>2527</v>
      </c>
      <c r="P712" s="1" t="s">
        <v>528</v>
      </c>
      <c r="Q712" s="1">
        <v>2</v>
      </c>
      <c r="R712" s="1" t="s">
        <v>372</v>
      </c>
      <c r="S712" s="1" t="s">
        <v>2083</v>
      </c>
      <c r="T712" s="1" t="s">
        <v>2084</v>
      </c>
      <c r="U712" s="1" t="s">
        <v>2085</v>
      </c>
    </row>
    <row r="713" spans="2:21" ht="12.75" hidden="1" x14ac:dyDescent="0.2">
      <c r="B713" s="1" t="s">
        <v>2086</v>
      </c>
      <c r="C713" s="1" t="s">
        <v>839</v>
      </c>
      <c r="D713" s="1" t="s">
        <v>596</v>
      </c>
      <c r="E713" s="1" t="s">
        <v>2008</v>
      </c>
      <c r="F713" s="1" t="s">
        <v>239</v>
      </c>
      <c r="G713" s="1">
        <f>IF(ISNA(VLOOKUP(F713,Monster!B:E,4,FALSE)),0,VLOOKUP(F713,Monster!B:E,4,FALSE))</f>
        <v>33</v>
      </c>
      <c r="I713" s="1" t="s">
        <v>2087</v>
      </c>
      <c r="J713" s="1">
        <v>1138</v>
      </c>
      <c r="K713" s="1">
        <v>20</v>
      </c>
      <c r="L713" s="1">
        <v>1156</v>
      </c>
      <c r="M713" s="1" t="s">
        <v>50</v>
      </c>
      <c r="O713" s="1">
        <f>((NOT(ISNA(VLOOKUP(M713,Monster!$H$2:$I$6,2,FALSE)))*L713)+J713)*(1+K713/100*0.25)</f>
        <v>2408.7000000000003</v>
      </c>
      <c r="P713" s="1" t="s">
        <v>38</v>
      </c>
      <c r="Q713" s="1">
        <v>1</v>
      </c>
      <c r="S713" s="1" t="s">
        <v>2022</v>
      </c>
      <c r="T713" s="1" t="s">
        <v>2088</v>
      </c>
    </row>
    <row r="714" spans="2:21" ht="12.75" hidden="1" x14ac:dyDescent="0.2">
      <c r="B714" s="1" t="s">
        <v>2089</v>
      </c>
      <c r="C714" s="1" t="s">
        <v>845</v>
      </c>
      <c r="D714" s="1" t="s">
        <v>596</v>
      </c>
      <c r="E714" s="1" t="s">
        <v>2008</v>
      </c>
      <c r="F714" s="1" t="s">
        <v>245</v>
      </c>
      <c r="G714" s="1">
        <f>IF(ISNA(VLOOKUP(F714,Monster!B:E,4,FALSE)),0,VLOOKUP(F714,Monster!B:E,4,FALSE))</f>
        <v>34</v>
      </c>
      <c r="I714" s="1" t="s">
        <v>2089</v>
      </c>
      <c r="J714" s="1">
        <v>1553</v>
      </c>
      <c r="K714" s="1">
        <v>0</v>
      </c>
      <c r="L714" s="1">
        <v>974</v>
      </c>
      <c r="M714" s="1" t="s">
        <v>41</v>
      </c>
      <c r="O714" s="1">
        <f>((NOT(ISNA(VLOOKUP(M714,Monster!$H$2:$I$6,2,FALSE)))*L714)+J714)*(1+K714/100*0.25)</f>
        <v>2527</v>
      </c>
      <c r="P714" s="1" t="s">
        <v>364</v>
      </c>
      <c r="Q714" s="1">
        <v>2</v>
      </c>
      <c r="R714" s="1" t="s">
        <v>372</v>
      </c>
      <c r="S714" s="1" t="s">
        <v>2090</v>
      </c>
      <c r="T714" s="1" t="s">
        <v>2091</v>
      </c>
      <c r="U714" s="1" t="s">
        <v>2092</v>
      </c>
    </row>
    <row r="715" spans="2:21" ht="12.75" hidden="1" x14ac:dyDescent="0.2">
      <c r="C715" s="1" t="s">
        <v>849</v>
      </c>
      <c r="D715" s="1" t="s">
        <v>596</v>
      </c>
      <c r="E715" s="1" t="s">
        <v>2008</v>
      </c>
      <c r="F715" s="1" t="s">
        <v>251</v>
      </c>
      <c r="G715" s="1">
        <f>IF(ISNA(VLOOKUP(F715,Monster!B:E,4,FALSE)),0,VLOOKUP(F715,Monster!B:E,4,FALSE))</f>
        <v>35</v>
      </c>
      <c r="J715" s="1">
        <v>1588</v>
      </c>
      <c r="K715" s="1">
        <v>0</v>
      </c>
      <c r="L715" s="1">
        <v>632</v>
      </c>
      <c r="M715" s="1" t="s">
        <v>41</v>
      </c>
      <c r="O715" s="1">
        <f>((NOT(ISNA(VLOOKUP(M715,Monster!$H$2:$I$6,2,FALSE)))*L715)+J715)*(1+K715/100*0.25)</f>
        <v>2220</v>
      </c>
      <c r="P715" s="1" t="s">
        <v>412</v>
      </c>
      <c r="Q715" s="1">
        <v>1</v>
      </c>
    </row>
    <row r="716" spans="2:21" ht="12.75" hidden="1" x14ac:dyDescent="0.2">
      <c r="B716" s="1" t="s">
        <v>2093</v>
      </c>
      <c r="C716" s="1" t="s">
        <v>853</v>
      </c>
      <c r="D716" s="1" t="s">
        <v>596</v>
      </c>
      <c r="E716" s="1" t="s">
        <v>2008</v>
      </c>
      <c r="F716" s="1" t="s">
        <v>256</v>
      </c>
      <c r="G716" s="1">
        <f>IF(ISNA(VLOOKUP(F716,Monster!B:E,4,FALSE)),0,VLOOKUP(F716,Monster!B:E,4,FALSE))</f>
        <v>36</v>
      </c>
      <c r="I716" s="1" t="s">
        <v>2093</v>
      </c>
      <c r="J716" s="1">
        <v>1878</v>
      </c>
      <c r="K716" s="1">
        <v>0</v>
      </c>
      <c r="L716" s="1">
        <v>0</v>
      </c>
      <c r="M716" s="1" t="s">
        <v>107</v>
      </c>
      <c r="O716" s="1">
        <f>((NOT(ISNA(VLOOKUP(M716,Monster!$H$2:$I$6,2,FALSE)))*L716)+J716)*(1+K716/100*0.25)</f>
        <v>1878</v>
      </c>
      <c r="P716" s="1" t="s">
        <v>463</v>
      </c>
      <c r="Q716" s="1">
        <v>1</v>
      </c>
      <c r="S716" s="1" t="s">
        <v>2094</v>
      </c>
      <c r="T716" s="1" t="s">
        <v>2095</v>
      </c>
      <c r="U716" s="1" t="s">
        <v>2096</v>
      </c>
    </row>
    <row r="717" spans="2:21" ht="12.75" hidden="1" x14ac:dyDescent="0.2">
      <c r="B717" s="1" t="s">
        <v>2097</v>
      </c>
      <c r="C717" s="1" t="s">
        <v>857</v>
      </c>
      <c r="D717" s="1" t="s">
        <v>596</v>
      </c>
      <c r="E717" s="1" t="s">
        <v>2008</v>
      </c>
      <c r="F717" s="1" t="s">
        <v>263</v>
      </c>
      <c r="G717" s="1">
        <f>IF(ISNA(VLOOKUP(F717,Monster!B:E,4,FALSE)),0,VLOOKUP(F717,Monster!B:E,4,FALSE))</f>
        <v>37</v>
      </c>
      <c r="I717" s="1" t="s">
        <v>2098</v>
      </c>
      <c r="J717" s="1">
        <v>1318</v>
      </c>
      <c r="K717" s="1">
        <v>-30</v>
      </c>
      <c r="L717" s="1">
        <v>1261</v>
      </c>
      <c r="M717" s="1" t="s">
        <v>58</v>
      </c>
      <c r="O717" s="1">
        <f>((NOT(ISNA(VLOOKUP(M717,Monster!$H$2:$I$6,2,FALSE)))*L717)+J717)*(1+K717/100*0.25)</f>
        <v>2385.5750000000003</v>
      </c>
      <c r="P717" s="1" t="s">
        <v>463</v>
      </c>
      <c r="Q717" s="1">
        <v>1</v>
      </c>
      <c r="S717" s="1" t="s">
        <v>2099</v>
      </c>
      <c r="T717" s="1" t="s">
        <v>2100</v>
      </c>
    </row>
    <row r="718" spans="2:21" ht="12.75" hidden="1" x14ac:dyDescent="0.2">
      <c r="B718" s="1" t="s">
        <v>2101</v>
      </c>
      <c r="C718" s="1" t="s">
        <v>863</v>
      </c>
      <c r="D718" s="1" t="s">
        <v>596</v>
      </c>
      <c r="E718" s="1" t="s">
        <v>2008</v>
      </c>
      <c r="F718" s="1" t="s">
        <v>268</v>
      </c>
      <c r="G718" s="1">
        <f>IF(ISNA(VLOOKUP(F718,Monster!B:E,4,FALSE)),0,VLOOKUP(F718,Monster!B:E,4,FALSE))</f>
        <v>38</v>
      </c>
      <c r="I718" s="1" t="s">
        <v>2101</v>
      </c>
      <c r="J718" s="1">
        <v>1553</v>
      </c>
      <c r="K718" s="1">
        <v>0</v>
      </c>
      <c r="L718" s="1">
        <v>974</v>
      </c>
      <c r="M718" s="1" t="s">
        <v>71</v>
      </c>
      <c r="O718" s="1">
        <f>((NOT(ISNA(VLOOKUP(M718,Monster!$H$2:$I$6,2,FALSE)))*L718)+J718)*(1+K718/100*0.25)</f>
        <v>2527</v>
      </c>
      <c r="P718" s="1" t="s">
        <v>463</v>
      </c>
      <c r="Q718" s="1">
        <v>2</v>
      </c>
      <c r="R718" s="1" t="s">
        <v>372</v>
      </c>
      <c r="S718" s="1" t="s">
        <v>2074</v>
      </c>
      <c r="T718" s="1" t="s">
        <v>2076</v>
      </c>
    </row>
    <row r="719" spans="2:21" ht="12.75" hidden="1" x14ac:dyDescent="0.2">
      <c r="B719" s="1" t="s">
        <v>2102</v>
      </c>
      <c r="C719" s="1" t="s">
        <v>866</v>
      </c>
      <c r="D719" s="1" t="s">
        <v>596</v>
      </c>
      <c r="E719" s="1" t="s">
        <v>2008</v>
      </c>
      <c r="F719" s="1" t="s">
        <v>273</v>
      </c>
      <c r="G719" s="1">
        <f>IF(ISNA(VLOOKUP(F719,Monster!B:E,4,FALSE)),0,VLOOKUP(F719,Monster!B:E,4,FALSE))</f>
        <v>39</v>
      </c>
      <c r="I719" s="1" t="s">
        <v>2103</v>
      </c>
      <c r="J719" s="1">
        <v>1588</v>
      </c>
      <c r="K719" s="1">
        <v>0</v>
      </c>
      <c r="L719" s="1">
        <v>632</v>
      </c>
      <c r="M719" s="1" t="s">
        <v>66</v>
      </c>
      <c r="O719" s="1">
        <f>((NOT(ISNA(VLOOKUP(M719,Monster!$H$2:$I$6,2,FALSE)))*L719)+J719)*(1+K719/100*0.25)</f>
        <v>2220</v>
      </c>
      <c r="P719" s="1" t="s">
        <v>329</v>
      </c>
      <c r="Q719" s="1">
        <v>1</v>
      </c>
      <c r="S719" s="1" t="s">
        <v>2104</v>
      </c>
      <c r="T719" s="1" t="s">
        <v>2064</v>
      </c>
    </row>
    <row r="720" spans="2:21" ht="12.75" hidden="1" x14ac:dyDescent="0.2">
      <c r="B720" s="1" t="s">
        <v>2105</v>
      </c>
      <c r="C720" s="1" t="s">
        <v>869</v>
      </c>
      <c r="D720" s="1" t="s">
        <v>596</v>
      </c>
      <c r="E720" s="1" t="s">
        <v>2008</v>
      </c>
      <c r="F720" s="1" t="s">
        <v>278</v>
      </c>
      <c r="G720" s="1">
        <f>IF(ISNA(VLOOKUP(F720,Monster!B:E,4,FALSE)),0,VLOOKUP(F720,Monster!B:E,4,FALSE))</f>
        <v>40</v>
      </c>
      <c r="I720" s="1" t="s">
        <v>2106</v>
      </c>
      <c r="J720" s="1">
        <v>1878</v>
      </c>
      <c r="K720" s="1">
        <v>0</v>
      </c>
      <c r="L720" s="1">
        <v>0</v>
      </c>
      <c r="M720" s="1" t="s">
        <v>107</v>
      </c>
      <c r="O720" s="1">
        <f>((NOT(ISNA(VLOOKUP(M720,Monster!$H$2:$I$6,2,FALSE)))*L720)+J720)*(1+K720/100*0.25)</f>
        <v>1878</v>
      </c>
      <c r="P720" s="1" t="s">
        <v>253</v>
      </c>
      <c r="Q720" s="1">
        <v>1</v>
      </c>
      <c r="S720" s="1" t="s">
        <v>2107</v>
      </c>
      <c r="T720" s="1" t="s">
        <v>2030</v>
      </c>
    </row>
    <row r="721" spans="2:21" ht="12.75" hidden="1" x14ac:dyDescent="0.2">
      <c r="C721" s="1" t="s">
        <v>872</v>
      </c>
      <c r="D721" s="1" t="s">
        <v>596</v>
      </c>
      <c r="E721" s="1" t="s">
        <v>2008</v>
      </c>
      <c r="F721" s="1" t="s">
        <v>288</v>
      </c>
      <c r="G721" s="1">
        <f>IF(ISNA(VLOOKUP(F721,Monster!B:E,4,FALSE)),0,VLOOKUP(F721,Monster!B:E,4,FALSE))</f>
        <v>41</v>
      </c>
      <c r="J721" s="1">
        <v>1567</v>
      </c>
      <c r="K721" s="1">
        <v>-15</v>
      </c>
      <c r="L721" s="1">
        <v>496</v>
      </c>
      <c r="M721" s="1" t="s">
        <v>95</v>
      </c>
      <c r="O721" s="1">
        <f>((NOT(ISNA(VLOOKUP(M721,Monster!$H$2:$I$6,2,FALSE)))*L721)+J721)*(1+K721/100*0.25)</f>
        <v>1508.2375</v>
      </c>
      <c r="P721" s="1" t="s">
        <v>253</v>
      </c>
      <c r="Q721" s="1">
        <v>1</v>
      </c>
    </row>
    <row r="722" spans="2:21" ht="12.75" x14ac:dyDescent="0.2">
      <c r="B722" s="1" t="s">
        <v>2108</v>
      </c>
      <c r="C722" s="1" t="s">
        <v>875</v>
      </c>
      <c r="D722" s="1" t="s">
        <v>596</v>
      </c>
      <c r="E722" s="1" t="s">
        <v>2008</v>
      </c>
      <c r="F722" s="1" t="s">
        <v>293</v>
      </c>
      <c r="G722" s="1">
        <f>IF(ISNA(VLOOKUP(F722,Monster!B:E,4,FALSE)),0,VLOOKUP(F722,Monster!B:E,4,FALSE))</f>
        <v>42</v>
      </c>
      <c r="I722" s="1" t="s">
        <v>2109</v>
      </c>
      <c r="J722" s="1">
        <v>2198</v>
      </c>
      <c r="K722" s="1">
        <v>-40</v>
      </c>
      <c r="L722" s="1">
        <v>0</v>
      </c>
      <c r="M722" s="1" t="s">
        <v>107</v>
      </c>
      <c r="O722" s="1">
        <f>((NOT(ISNA(VLOOKUP(M722,Monster!$H$2:$I$6,2,FALSE)))*L722)+J722)*(1+K722/100*0.25)</f>
        <v>1978.2</v>
      </c>
      <c r="P722" s="1" t="s">
        <v>194</v>
      </c>
      <c r="Q722" s="1">
        <v>1</v>
      </c>
      <c r="S722" s="1" t="s">
        <v>2094</v>
      </c>
      <c r="T722" s="1" t="s">
        <v>2110</v>
      </c>
    </row>
    <row r="723" spans="2:21" ht="12.75" hidden="1" x14ac:dyDescent="0.2">
      <c r="B723" s="1" t="s">
        <v>2111</v>
      </c>
      <c r="C723" s="1" t="s">
        <v>880</v>
      </c>
      <c r="D723" s="1" t="s">
        <v>596</v>
      </c>
      <c r="E723" s="1" t="s">
        <v>2008</v>
      </c>
      <c r="F723" s="1" t="s">
        <v>298</v>
      </c>
      <c r="G723" s="1">
        <f>IF(ISNA(VLOOKUP(F723,Monster!B:E,4,FALSE)),0,VLOOKUP(F723,Monster!B:E,4,FALSE))</f>
        <v>43</v>
      </c>
      <c r="I723" s="1" t="s">
        <v>2111</v>
      </c>
      <c r="J723" s="1">
        <v>2198</v>
      </c>
      <c r="K723" s="1">
        <v>-10</v>
      </c>
      <c r="L723" s="1">
        <v>0</v>
      </c>
      <c r="M723" s="1" t="s">
        <v>107</v>
      </c>
      <c r="O723" s="1">
        <f>((NOT(ISNA(VLOOKUP(M723,Monster!$H$2:$I$6,2,FALSE)))*L723)+J723)*(1+K723/100*0.25)</f>
        <v>2143.0499999999997</v>
      </c>
      <c r="P723" s="1" t="s">
        <v>221</v>
      </c>
      <c r="Q723" s="1">
        <v>3</v>
      </c>
      <c r="S723" s="1" t="s">
        <v>2112</v>
      </c>
      <c r="T723" s="1" t="s">
        <v>2113</v>
      </c>
    </row>
    <row r="724" spans="2:21" ht="12.75" hidden="1" x14ac:dyDescent="0.2">
      <c r="B724" s="1" t="s">
        <v>2114</v>
      </c>
      <c r="C724" s="1" t="s">
        <v>885</v>
      </c>
      <c r="D724" s="1" t="s">
        <v>596</v>
      </c>
      <c r="E724" s="1" t="s">
        <v>2008</v>
      </c>
      <c r="F724" s="1" t="s">
        <v>302</v>
      </c>
      <c r="G724" s="1">
        <f>IF(ISNA(VLOOKUP(F724,Monster!B:E,4,FALSE)),0,VLOOKUP(F724,Monster!B:E,4,FALSE))</f>
        <v>44</v>
      </c>
      <c r="I724" s="1" t="s">
        <v>2114</v>
      </c>
      <c r="J724" s="1">
        <v>1205</v>
      </c>
      <c r="K724" s="1">
        <v>0</v>
      </c>
      <c r="L724" s="1">
        <v>1305</v>
      </c>
      <c r="M724" s="1" t="s">
        <v>58</v>
      </c>
      <c r="O724" s="1">
        <f>((NOT(ISNA(VLOOKUP(M724,Monster!$H$2:$I$6,2,FALSE)))*L724)+J724)*(1+K724/100*0.25)</f>
        <v>2510</v>
      </c>
      <c r="P724" s="1" t="s">
        <v>400</v>
      </c>
      <c r="Q724" s="1">
        <v>1</v>
      </c>
      <c r="R724" s="1" t="s">
        <v>372</v>
      </c>
      <c r="S724" s="1" t="s">
        <v>2115</v>
      </c>
      <c r="T724" s="1" t="s">
        <v>2099</v>
      </c>
      <c r="U724" s="1" t="s">
        <v>2107</v>
      </c>
    </row>
    <row r="725" spans="2:21" ht="12.75" hidden="1" x14ac:dyDescent="0.2">
      <c r="C725" s="1" t="s">
        <v>888</v>
      </c>
      <c r="D725" s="1" t="s">
        <v>596</v>
      </c>
      <c r="E725" s="1" t="s">
        <v>2008</v>
      </c>
      <c r="F725" s="1" t="s">
        <v>305</v>
      </c>
      <c r="G725" s="1">
        <f>IF(ISNA(VLOOKUP(F725,Monster!B:E,4,FALSE)),0,VLOOKUP(F725,Monster!B:E,4,FALSE))</f>
        <v>45</v>
      </c>
      <c r="J725" s="1">
        <v>1942</v>
      </c>
      <c r="K725" s="1">
        <v>-30</v>
      </c>
      <c r="L725" s="1">
        <v>297</v>
      </c>
      <c r="M725" s="1" t="s">
        <v>100</v>
      </c>
      <c r="O725" s="1">
        <f>((NOT(ISNA(VLOOKUP(M725,Monster!$H$2:$I$6,2,FALSE)))*L725)+J725)*(1+K725/100*0.25)</f>
        <v>1796.3500000000001</v>
      </c>
      <c r="P725" s="1" t="s">
        <v>262</v>
      </c>
      <c r="Q725" s="1">
        <v>2</v>
      </c>
    </row>
    <row r="726" spans="2:21" ht="12.75" hidden="1" x14ac:dyDescent="0.2">
      <c r="B726" s="1" t="s">
        <v>2116</v>
      </c>
      <c r="C726" s="1" t="s">
        <v>892</v>
      </c>
      <c r="D726" s="1" t="s">
        <v>596</v>
      </c>
      <c r="E726" s="1" t="s">
        <v>2008</v>
      </c>
      <c r="F726" s="1" t="s">
        <v>310</v>
      </c>
      <c r="G726" s="1">
        <f>IF(ISNA(VLOOKUP(F726,Monster!B:E,4,FALSE)),0,VLOOKUP(F726,Monster!B:E,4,FALSE))</f>
        <v>46</v>
      </c>
      <c r="I726" s="1" t="s">
        <v>2117</v>
      </c>
      <c r="J726" s="1">
        <v>1834</v>
      </c>
      <c r="K726" s="1">
        <v>10</v>
      </c>
      <c r="L726" s="1">
        <v>0</v>
      </c>
      <c r="M726" s="1" t="s">
        <v>107</v>
      </c>
      <c r="O726" s="1">
        <f>((NOT(ISNA(VLOOKUP(M726,Monster!$H$2:$I$6,2,FALSE)))*L726)+J726)*(1+K726/100*0.25)</f>
        <v>1879.85</v>
      </c>
      <c r="P726" s="1" t="s">
        <v>407</v>
      </c>
      <c r="Q726" s="1">
        <v>1</v>
      </c>
      <c r="S726" s="1" t="s">
        <v>2118</v>
      </c>
      <c r="T726" s="1" t="s">
        <v>2113</v>
      </c>
    </row>
    <row r="727" spans="2:21" ht="12.75" hidden="1" x14ac:dyDescent="0.2">
      <c r="B727" s="1" t="s">
        <v>2119</v>
      </c>
      <c r="C727" s="1" t="s">
        <v>896</v>
      </c>
      <c r="D727" s="1" t="s">
        <v>596</v>
      </c>
      <c r="E727" s="1" t="s">
        <v>2008</v>
      </c>
      <c r="F727" s="1" t="s">
        <v>316</v>
      </c>
      <c r="G727" s="1">
        <f>IF(ISNA(VLOOKUP(F727,Monster!B:E,4,FALSE)),0,VLOOKUP(F727,Monster!B:E,4,FALSE))</f>
        <v>47</v>
      </c>
      <c r="I727" s="1" t="s">
        <v>2120</v>
      </c>
      <c r="J727" s="1">
        <v>1971</v>
      </c>
      <c r="K727" s="1">
        <v>-20</v>
      </c>
      <c r="L727" s="1">
        <v>0</v>
      </c>
      <c r="M727" s="1" t="s">
        <v>107</v>
      </c>
      <c r="O727" s="1">
        <f>((NOT(ISNA(VLOOKUP(M727,Monster!$H$2:$I$6,2,FALSE)))*L727)+J727)*(1+K727/100*0.25)</f>
        <v>1872.4499999999998</v>
      </c>
      <c r="P727" s="1" t="s">
        <v>602</v>
      </c>
      <c r="Q727" s="1">
        <v>2</v>
      </c>
      <c r="S727" s="1" t="s">
        <v>2121</v>
      </c>
      <c r="T727" s="1" t="s">
        <v>2122</v>
      </c>
    </row>
    <row r="728" spans="2:21" ht="12.75" x14ac:dyDescent="0.2">
      <c r="B728" s="1" t="s">
        <v>2123</v>
      </c>
      <c r="C728" s="1" t="s">
        <v>900</v>
      </c>
      <c r="D728" s="1" t="s">
        <v>596</v>
      </c>
      <c r="E728" s="1" t="s">
        <v>2008</v>
      </c>
      <c r="F728" s="1" t="s">
        <v>320</v>
      </c>
      <c r="G728" s="1">
        <f>IF(ISNA(VLOOKUP(F728,Monster!B:E,4,FALSE)),0,VLOOKUP(F728,Monster!B:E,4,FALSE))</f>
        <v>48</v>
      </c>
      <c r="I728" s="1" t="s">
        <v>2123</v>
      </c>
      <c r="J728" s="1">
        <v>1318</v>
      </c>
      <c r="K728" s="1">
        <v>-30</v>
      </c>
      <c r="L728" s="1">
        <v>1261</v>
      </c>
      <c r="M728" s="1" t="s">
        <v>41</v>
      </c>
      <c r="O728" s="1">
        <f>((NOT(ISNA(VLOOKUP(M728,Monster!$H$2:$I$6,2,FALSE)))*L728)+J728)*(1+K728/100*0.25)</f>
        <v>2385.5750000000003</v>
      </c>
      <c r="P728" s="1" t="s">
        <v>194</v>
      </c>
      <c r="Q728" s="1">
        <v>1</v>
      </c>
      <c r="S728" s="1" t="s">
        <v>2124</v>
      </c>
      <c r="T728" s="1" t="s">
        <v>2125</v>
      </c>
    </row>
    <row r="729" spans="2:21" ht="12.75" hidden="1" x14ac:dyDescent="0.2">
      <c r="B729" s="1" t="s">
        <v>2126</v>
      </c>
      <c r="C729" s="1" t="s">
        <v>904</v>
      </c>
      <c r="D729" s="1" t="s">
        <v>596</v>
      </c>
      <c r="E729" s="1" t="s">
        <v>2008</v>
      </c>
      <c r="F729" s="1" t="s">
        <v>328</v>
      </c>
      <c r="G729" s="1">
        <f>IF(ISNA(VLOOKUP(F729,Monster!B:E,4,FALSE)),0,VLOOKUP(F729,Monster!B:E,4,FALSE))</f>
        <v>49</v>
      </c>
      <c r="I729" s="1" t="s">
        <v>2126</v>
      </c>
      <c r="J729" s="1">
        <v>2041</v>
      </c>
      <c r="K729" s="1">
        <v>0</v>
      </c>
      <c r="L729" s="1">
        <v>0</v>
      </c>
      <c r="M729" s="1" t="s">
        <v>107</v>
      </c>
      <c r="O729" s="1">
        <f>((NOT(ISNA(VLOOKUP(M729,Monster!$H$2:$I$6,2,FALSE)))*L729)+J729)*(1+K729/100*0.25)</f>
        <v>2041</v>
      </c>
      <c r="P729" s="1" t="s">
        <v>590</v>
      </c>
      <c r="Q729" s="1">
        <v>2</v>
      </c>
      <c r="R729" s="1" t="s">
        <v>372</v>
      </c>
      <c r="S729" s="1" t="s">
        <v>2048</v>
      </c>
      <c r="T729" s="1" t="s">
        <v>2110</v>
      </c>
      <c r="U729" s="1" t="s">
        <v>2096</v>
      </c>
    </row>
    <row r="730" spans="2:21" ht="12.75" hidden="1" x14ac:dyDescent="0.2">
      <c r="C730" s="1" t="s">
        <v>908</v>
      </c>
      <c r="D730" s="1" t="s">
        <v>596</v>
      </c>
      <c r="E730" s="1" t="s">
        <v>2008</v>
      </c>
      <c r="F730" s="1" t="s">
        <v>334</v>
      </c>
      <c r="G730" s="1">
        <f>IF(ISNA(VLOOKUP(F730,Monster!B:E,4,FALSE)),0,VLOOKUP(F730,Monster!B:E,4,FALSE))</f>
        <v>50</v>
      </c>
      <c r="J730" s="1">
        <v>1647</v>
      </c>
      <c r="K730" s="1">
        <v>10</v>
      </c>
      <c r="L730" s="1">
        <v>307</v>
      </c>
      <c r="M730" s="1" t="s">
        <v>79</v>
      </c>
      <c r="O730" s="1">
        <f>((NOT(ISNA(VLOOKUP(M730,Monster!$H$2:$I$6,2,FALSE)))*L730)+J730)*(1+K730/100*0.25)</f>
        <v>1688.175</v>
      </c>
      <c r="P730" s="1" t="s">
        <v>412</v>
      </c>
      <c r="Q730" s="1">
        <v>1</v>
      </c>
    </row>
    <row r="731" spans="2:21" ht="12.75" hidden="1" x14ac:dyDescent="0.2">
      <c r="B731" s="1" t="s">
        <v>2127</v>
      </c>
      <c r="C731" s="1" t="s">
        <v>913</v>
      </c>
      <c r="D731" s="1" t="s">
        <v>596</v>
      </c>
      <c r="E731" s="1" t="s">
        <v>2008</v>
      </c>
      <c r="F731" s="1" t="s">
        <v>339</v>
      </c>
      <c r="G731" s="1">
        <f>IF(ISNA(VLOOKUP(F731,Monster!B:E,4,FALSE)),0,VLOOKUP(F731,Monster!B:E,4,FALSE))</f>
        <v>51</v>
      </c>
      <c r="I731" s="1" t="s">
        <v>2127</v>
      </c>
      <c r="J731" s="1">
        <v>1764</v>
      </c>
      <c r="K731" s="1">
        <v>0</v>
      </c>
      <c r="L731" s="1">
        <v>0</v>
      </c>
      <c r="M731" s="1" t="s">
        <v>107</v>
      </c>
      <c r="O731" s="1">
        <f>((NOT(ISNA(VLOOKUP(M731,Monster!$H$2:$I$6,2,FALSE)))*L731)+J731)*(1+K731/100*0.25)</f>
        <v>1764</v>
      </c>
      <c r="P731" s="1" t="s">
        <v>560</v>
      </c>
      <c r="Q731" s="1">
        <v>2</v>
      </c>
      <c r="S731" s="1" t="s">
        <v>2128</v>
      </c>
      <c r="T731" s="1" t="s">
        <v>2080</v>
      </c>
      <c r="U731" s="1" t="s">
        <v>2010</v>
      </c>
    </row>
    <row r="732" spans="2:21" ht="12.75" hidden="1" x14ac:dyDescent="0.2">
      <c r="C732" s="1" t="s">
        <v>917</v>
      </c>
      <c r="D732" s="1" t="s">
        <v>596</v>
      </c>
      <c r="E732" s="1" t="s">
        <v>2008</v>
      </c>
      <c r="F732" s="1" t="s">
        <v>343</v>
      </c>
      <c r="G732" s="1">
        <f>IF(ISNA(VLOOKUP(F732,Monster!B:E,4,FALSE)),0,VLOOKUP(F732,Monster!B:E,4,FALSE))</f>
        <v>52</v>
      </c>
      <c r="J732" s="1">
        <v>1293</v>
      </c>
      <c r="K732" s="1">
        <v>0</v>
      </c>
      <c r="L732" s="1">
        <v>910</v>
      </c>
      <c r="M732" s="1" t="s">
        <v>66</v>
      </c>
      <c r="O732" s="1">
        <f>((NOT(ISNA(VLOOKUP(M732,Monster!$H$2:$I$6,2,FALSE)))*L732)+J732)*(1+K732/100*0.25)</f>
        <v>2203</v>
      </c>
      <c r="P732" s="1" t="s">
        <v>648</v>
      </c>
      <c r="Q732" s="1">
        <v>1</v>
      </c>
    </row>
    <row r="733" spans="2:21" ht="12.75" hidden="1" x14ac:dyDescent="0.2">
      <c r="B733" s="1" t="s">
        <v>2129</v>
      </c>
      <c r="C733" s="1" t="s">
        <v>922</v>
      </c>
      <c r="D733" s="1" t="s">
        <v>596</v>
      </c>
      <c r="E733" s="1" t="s">
        <v>2008</v>
      </c>
      <c r="F733" s="1" t="s">
        <v>349</v>
      </c>
      <c r="G733" s="1">
        <f>IF(ISNA(VLOOKUP(F733,Monster!B:E,4,FALSE)),0,VLOOKUP(F733,Monster!B:E,4,FALSE))</f>
        <v>53</v>
      </c>
      <c r="I733" s="1" t="s">
        <v>2130</v>
      </c>
      <c r="J733" s="1">
        <v>1738</v>
      </c>
      <c r="K733" s="1">
        <v>40</v>
      </c>
      <c r="L733" s="1">
        <v>0</v>
      </c>
      <c r="M733" s="1" t="s">
        <v>107</v>
      </c>
      <c r="O733" s="1">
        <f>((NOT(ISNA(VLOOKUP(M733,Monster!$H$2:$I$6,2,FALSE)))*L733)+J733)*(1+K733/100*0.25)</f>
        <v>1911.8000000000002</v>
      </c>
      <c r="P733" s="1" t="s">
        <v>535</v>
      </c>
      <c r="Q733" s="1">
        <v>2</v>
      </c>
      <c r="S733" s="1" t="s">
        <v>2019</v>
      </c>
      <c r="T733" s="1" t="s">
        <v>2112</v>
      </c>
    </row>
    <row r="734" spans="2:21" ht="12.75" hidden="1" x14ac:dyDescent="0.2">
      <c r="B734" s="1" t="s">
        <v>2131</v>
      </c>
      <c r="C734" s="1" t="s">
        <v>926</v>
      </c>
      <c r="D734" s="1" t="s">
        <v>596</v>
      </c>
      <c r="E734" s="1" t="s">
        <v>2008</v>
      </c>
      <c r="F734" s="1" t="s">
        <v>354</v>
      </c>
      <c r="G734" s="1">
        <f>IF(ISNA(VLOOKUP(F734,Monster!B:E,4,FALSE)),0,VLOOKUP(F734,Monster!B:E,4,FALSE))</f>
        <v>54</v>
      </c>
      <c r="I734" s="1" t="s">
        <v>2131</v>
      </c>
      <c r="J734" s="1">
        <v>1328</v>
      </c>
      <c r="K734" s="1">
        <v>20</v>
      </c>
      <c r="L734" s="1">
        <v>1074</v>
      </c>
      <c r="M734" s="1" t="s">
        <v>50</v>
      </c>
      <c r="O734" s="1">
        <f>((NOT(ISNA(VLOOKUP(M734,Monster!$H$2:$I$6,2,FALSE)))*L734)+J734)*(1+K734/100*0.25)</f>
        <v>2522.1</v>
      </c>
      <c r="P734" s="1" t="s">
        <v>677</v>
      </c>
      <c r="Q734" s="1">
        <v>1</v>
      </c>
      <c r="R734" s="1" t="s">
        <v>372</v>
      </c>
      <c r="S734" s="1" t="s">
        <v>2132</v>
      </c>
      <c r="T734" s="1" t="s">
        <v>2133</v>
      </c>
    </row>
    <row r="735" spans="2:21" ht="12.75" hidden="1" x14ac:dyDescent="0.2">
      <c r="B735" s="1" t="s">
        <v>2134</v>
      </c>
      <c r="C735" s="1" t="s">
        <v>930</v>
      </c>
      <c r="D735" s="1" t="s">
        <v>596</v>
      </c>
      <c r="E735" s="1" t="s">
        <v>2008</v>
      </c>
      <c r="F735" s="1" t="s">
        <v>360</v>
      </c>
      <c r="G735" s="1">
        <f>IF(ISNA(VLOOKUP(F735,Monster!B:E,4,FALSE)),0,VLOOKUP(F735,Monster!B:E,4,FALSE))</f>
        <v>55</v>
      </c>
      <c r="I735" s="1" t="s">
        <v>2135</v>
      </c>
      <c r="J735" s="1">
        <v>1979</v>
      </c>
      <c r="K735" s="1">
        <v>0</v>
      </c>
      <c r="L735" s="1">
        <v>0</v>
      </c>
      <c r="M735" s="1" t="s">
        <v>107</v>
      </c>
      <c r="O735" s="1">
        <f>((NOT(ISNA(VLOOKUP(M735,Monster!$H$2:$I$6,2,FALSE)))*L735)+J735)*(1+K735/100*0.25)</f>
        <v>1979</v>
      </c>
      <c r="P735" s="1" t="s">
        <v>515</v>
      </c>
      <c r="Q735" s="1">
        <v>1</v>
      </c>
      <c r="S735" s="1" t="s">
        <v>2030</v>
      </c>
      <c r="T735" s="1" t="s">
        <v>2011</v>
      </c>
    </row>
    <row r="736" spans="2:21" ht="12.75" hidden="1" x14ac:dyDescent="0.2">
      <c r="B736" s="1" t="s">
        <v>2136</v>
      </c>
      <c r="C736" s="1" t="s">
        <v>934</v>
      </c>
      <c r="D736" s="1" t="s">
        <v>596</v>
      </c>
      <c r="E736" s="1" t="s">
        <v>2008</v>
      </c>
      <c r="F736" s="1" t="s">
        <v>365</v>
      </c>
      <c r="G736" s="1">
        <f>IF(ISNA(VLOOKUP(F736,Monster!B:E,4,FALSE)),0,VLOOKUP(F736,Monster!B:E,4,FALSE))</f>
        <v>56</v>
      </c>
      <c r="I736" s="1" t="s">
        <v>2137</v>
      </c>
      <c r="J736" s="1">
        <v>1020</v>
      </c>
      <c r="K736" s="1">
        <v>0</v>
      </c>
      <c r="L736" s="1">
        <v>1173</v>
      </c>
      <c r="M736" s="1" t="s">
        <v>66</v>
      </c>
      <c r="O736" s="1">
        <f>((NOT(ISNA(VLOOKUP(M736,Monster!$H$2:$I$6,2,FALSE)))*L736)+J736)*(1+K736/100*0.25)</f>
        <v>2193</v>
      </c>
      <c r="P736" s="1" t="s">
        <v>659</v>
      </c>
      <c r="Q736" s="1">
        <v>1</v>
      </c>
      <c r="S736" s="1" t="s">
        <v>2138</v>
      </c>
      <c r="T736" s="1" t="s">
        <v>2061</v>
      </c>
      <c r="U736" s="1" t="s">
        <v>2064</v>
      </c>
    </row>
    <row r="737" spans="2:21" ht="12.75" hidden="1" x14ac:dyDescent="0.2">
      <c r="B737" s="1" t="s">
        <v>2139</v>
      </c>
      <c r="C737" s="1" t="s">
        <v>939</v>
      </c>
      <c r="D737" s="1" t="s">
        <v>596</v>
      </c>
      <c r="E737" s="1" t="s">
        <v>2008</v>
      </c>
      <c r="F737" s="1" t="s">
        <v>370</v>
      </c>
      <c r="G737" s="1">
        <f>IF(ISNA(VLOOKUP(F737,Monster!B:E,4,FALSE)),0,VLOOKUP(F737,Monster!B:E,4,FALSE))</f>
        <v>57</v>
      </c>
      <c r="I737" s="1" t="s">
        <v>2140</v>
      </c>
      <c r="J737" s="1">
        <v>1197</v>
      </c>
      <c r="K737" s="1">
        <v>20</v>
      </c>
      <c r="L737" s="1">
        <v>1154</v>
      </c>
      <c r="M737" s="1" t="s">
        <v>41</v>
      </c>
      <c r="O737" s="1">
        <f>((NOT(ISNA(VLOOKUP(M737,Monster!$H$2:$I$6,2,FALSE)))*L737)+J737)*(1+K737/100*0.25)</f>
        <v>2468.5500000000002</v>
      </c>
      <c r="P737" s="1" t="s">
        <v>615</v>
      </c>
      <c r="Q737" s="1">
        <v>2</v>
      </c>
      <c r="S737" s="1" t="s">
        <v>2141</v>
      </c>
      <c r="T737" s="1" t="s">
        <v>2142</v>
      </c>
      <c r="U737" s="1" t="s">
        <v>2125</v>
      </c>
    </row>
    <row r="738" spans="2:21" ht="12.75" hidden="1" x14ac:dyDescent="0.2">
      <c r="B738" s="1" t="s">
        <v>2143</v>
      </c>
      <c r="C738" s="1" t="s">
        <v>943</v>
      </c>
      <c r="D738" s="1" t="s">
        <v>596</v>
      </c>
      <c r="E738" s="1" t="s">
        <v>2008</v>
      </c>
      <c r="F738" s="1" t="s">
        <v>374</v>
      </c>
      <c r="G738" s="1">
        <f>IF(ISNA(VLOOKUP(F738,Monster!B:E,4,FALSE)),0,VLOOKUP(F738,Monster!B:E,4,FALSE))</f>
        <v>58</v>
      </c>
      <c r="I738" s="1" t="s">
        <v>2143</v>
      </c>
      <c r="J738" s="1">
        <v>1205</v>
      </c>
      <c r="K738" s="1">
        <v>0</v>
      </c>
      <c r="L738" s="1">
        <v>1305</v>
      </c>
      <c r="M738" s="1" t="s">
        <v>71</v>
      </c>
      <c r="O738" s="1">
        <f>((NOT(ISNA(VLOOKUP(M738,Monster!$H$2:$I$6,2,FALSE)))*L738)+J738)*(1+K738/100*0.25)</f>
        <v>2510</v>
      </c>
      <c r="P738" s="1" t="s">
        <v>689</v>
      </c>
      <c r="Q738" s="1">
        <v>1</v>
      </c>
      <c r="R738" s="1" t="s">
        <v>372</v>
      </c>
      <c r="S738" s="1" t="s">
        <v>2144</v>
      </c>
      <c r="T738" s="1" t="s">
        <v>2076</v>
      </c>
      <c r="U738" s="1" t="s">
        <v>2145</v>
      </c>
    </row>
    <row r="739" spans="2:21" ht="12.75" hidden="1" x14ac:dyDescent="0.2">
      <c r="B739" s="1" t="s">
        <v>2146</v>
      </c>
      <c r="C739" s="1" t="s">
        <v>949</v>
      </c>
      <c r="D739" s="1" t="s">
        <v>596</v>
      </c>
      <c r="E739" s="1" t="s">
        <v>2008</v>
      </c>
      <c r="F739" s="1"/>
      <c r="G739" s="1">
        <f>IF(ISNA(VLOOKUP(F739,Monster!B:E,4,FALSE)),0,VLOOKUP(F739,Monster!B:E,4,FALSE))</f>
        <v>0</v>
      </c>
      <c r="I739" s="1" t="s">
        <v>2147</v>
      </c>
      <c r="J739" s="1">
        <v>1596</v>
      </c>
      <c r="K739" s="1">
        <v>0</v>
      </c>
      <c r="L739" s="1">
        <v>0</v>
      </c>
      <c r="M739" s="1" t="s">
        <v>107</v>
      </c>
      <c r="O739" s="1">
        <f>((NOT(ISNA(VLOOKUP(M739,Monster!$H$2:$I$6,2,FALSE)))*L739)+J739)*(1+K739/100*0.25)</f>
        <v>1596</v>
      </c>
      <c r="P739" s="1" t="s">
        <v>158</v>
      </c>
      <c r="Q739" s="1">
        <v>1</v>
      </c>
      <c r="S739" s="1" t="s">
        <v>2148</v>
      </c>
      <c r="T739" s="1" t="s">
        <v>2122</v>
      </c>
    </row>
    <row r="740" spans="2:21" ht="12.75" hidden="1" x14ac:dyDescent="0.2">
      <c r="B740" s="1" t="s">
        <v>2149</v>
      </c>
      <c r="C740" s="1" t="s">
        <v>958</v>
      </c>
      <c r="D740" s="1" t="s">
        <v>596</v>
      </c>
      <c r="E740" s="1" t="s">
        <v>2008</v>
      </c>
      <c r="F740" s="1"/>
      <c r="G740" s="1">
        <f>IF(ISNA(VLOOKUP(F740,Monster!B:E,4,FALSE)),0,VLOOKUP(F740,Monster!B:E,4,FALSE))</f>
        <v>0</v>
      </c>
      <c r="I740" s="1" t="s">
        <v>2150</v>
      </c>
      <c r="J740" s="1">
        <v>1878</v>
      </c>
      <c r="K740" s="1">
        <v>0</v>
      </c>
      <c r="L740" s="1">
        <v>0</v>
      </c>
      <c r="M740" s="1" t="s">
        <v>107</v>
      </c>
      <c r="O740" s="1">
        <f>((NOT(ISNA(VLOOKUP(M740,Monster!$H$2:$I$6,2,FALSE)))*L740)+J740)*(1+K740/100*0.25)</f>
        <v>1878</v>
      </c>
      <c r="P740" s="1" t="s">
        <v>38</v>
      </c>
      <c r="Q740" s="1">
        <v>1</v>
      </c>
      <c r="S740" s="1" t="s">
        <v>2019</v>
      </c>
      <c r="T740" s="1" t="s">
        <v>2110</v>
      </c>
      <c r="U740" s="1" t="s">
        <v>2080</v>
      </c>
    </row>
    <row r="741" spans="2:21" ht="12.75" hidden="1" x14ac:dyDescent="0.2">
      <c r="B741" s="1" t="s">
        <v>2151</v>
      </c>
      <c r="C741" s="1" t="s">
        <v>1290</v>
      </c>
      <c r="D741" s="1" t="s">
        <v>596</v>
      </c>
      <c r="E741" s="1" t="s">
        <v>2008</v>
      </c>
      <c r="F741" s="1"/>
      <c r="G741" s="1">
        <f>IF(ISNA(VLOOKUP(F741,Monster!B:E,4,FALSE)),0,VLOOKUP(F741,Monster!B:E,4,FALSE))</f>
        <v>0</v>
      </c>
      <c r="I741" s="1" t="s">
        <v>2151</v>
      </c>
      <c r="J741" s="1">
        <v>1878</v>
      </c>
      <c r="K741" s="1">
        <v>0</v>
      </c>
      <c r="L741" s="1">
        <v>0</v>
      </c>
      <c r="M741" s="1" t="s">
        <v>107</v>
      </c>
      <c r="O741" s="1">
        <f>((NOT(ISNA(VLOOKUP(M741,Monster!$H$2:$I$6,2,FALSE)))*L741)+J741)*(1+K741/100*0.25)</f>
        <v>1878</v>
      </c>
      <c r="P741" s="1" t="s">
        <v>710</v>
      </c>
      <c r="Q741" s="1">
        <v>1</v>
      </c>
      <c r="S741" s="1" t="s">
        <v>2152</v>
      </c>
      <c r="T741" s="1" t="s">
        <v>2153</v>
      </c>
      <c r="U741" s="1" t="s">
        <v>2154</v>
      </c>
    </row>
    <row r="742" spans="2:21" ht="12.75" hidden="1" x14ac:dyDescent="0.2">
      <c r="B742" s="1" t="s">
        <v>2155</v>
      </c>
      <c r="C742" s="1" t="s">
        <v>34</v>
      </c>
      <c r="D742" s="1" t="s">
        <v>596</v>
      </c>
      <c r="E742" s="1" t="s">
        <v>2156</v>
      </c>
      <c r="F742" s="1"/>
      <c r="G742" s="1">
        <f>IF(ISNA(VLOOKUP(F742,Monster!B:E,4,FALSE)),0,VLOOKUP(F742,Monster!B:E,4,FALSE))</f>
        <v>0</v>
      </c>
      <c r="I742" s="1" t="s">
        <v>2157</v>
      </c>
      <c r="J742" s="1">
        <v>1596</v>
      </c>
      <c r="K742" s="1">
        <v>0</v>
      </c>
      <c r="L742" s="1">
        <v>0</v>
      </c>
      <c r="M742" s="1" t="s">
        <v>107</v>
      </c>
      <c r="O742" s="1">
        <f>((NOT(ISNA(VLOOKUP(M742,Monster!$H$2:$I$6,2,FALSE)))*L742)+J742)*(1+K742/100*0.25)</f>
        <v>1596</v>
      </c>
      <c r="P742" s="1" t="s">
        <v>410</v>
      </c>
      <c r="Q742" s="1">
        <v>2</v>
      </c>
      <c r="S742" s="1" t="s">
        <v>2158</v>
      </c>
      <c r="T742" s="1" t="s">
        <v>2159</v>
      </c>
    </row>
    <row r="743" spans="2:21" ht="12.75" hidden="1" x14ac:dyDescent="0.2">
      <c r="C743" s="1" t="s">
        <v>324</v>
      </c>
      <c r="D743" s="1" t="s">
        <v>596</v>
      </c>
      <c r="E743" s="1" t="s">
        <v>2156</v>
      </c>
      <c r="F743" s="1" t="s">
        <v>11</v>
      </c>
      <c r="G743" s="1">
        <f>IF(ISNA(VLOOKUP(F743,Monster!B:E,4,FALSE)),0,VLOOKUP(F743,Monster!B:E,4,FALSE))</f>
        <v>1</v>
      </c>
      <c r="J743" s="1">
        <v>1373</v>
      </c>
      <c r="K743" s="1">
        <v>0</v>
      </c>
      <c r="L743" s="1">
        <v>607</v>
      </c>
      <c r="M743" s="1" t="s">
        <v>50</v>
      </c>
      <c r="O743" s="1">
        <f>((NOT(ISNA(VLOOKUP(M743,Monster!$H$2:$I$6,2,FALSE)))*L743)+J743)*(1+K743/100*0.25)</f>
        <v>1980</v>
      </c>
      <c r="P743" s="1" t="s">
        <v>348</v>
      </c>
      <c r="Q743" s="1">
        <v>2</v>
      </c>
    </row>
    <row r="744" spans="2:21" ht="12.75" hidden="1" x14ac:dyDescent="0.2">
      <c r="B744" s="1" t="s">
        <v>2160</v>
      </c>
      <c r="C744" s="1" t="s">
        <v>439</v>
      </c>
      <c r="D744" s="1" t="s">
        <v>596</v>
      </c>
      <c r="E744" s="1" t="s">
        <v>2156</v>
      </c>
      <c r="F744" s="1" t="s">
        <v>47</v>
      </c>
      <c r="G744" s="1">
        <f>IF(ISNA(VLOOKUP(F744,Monster!B:E,4,FALSE)),0,VLOOKUP(F744,Monster!B:E,4,FALSE))</f>
        <v>2</v>
      </c>
      <c r="I744" s="1" t="s">
        <v>2161</v>
      </c>
      <c r="J744" s="1">
        <v>1596</v>
      </c>
      <c r="K744" s="1">
        <v>30</v>
      </c>
      <c r="L744" s="1">
        <v>0</v>
      </c>
      <c r="M744" s="1" t="s">
        <v>107</v>
      </c>
      <c r="O744" s="1">
        <f>((NOT(ISNA(VLOOKUP(M744,Monster!$H$2:$I$6,2,FALSE)))*L744)+J744)*(1+K744/100*0.25)</f>
        <v>1715.6999999999998</v>
      </c>
      <c r="P744" s="1" t="s">
        <v>319</v>
      </c>
      <c r="Q744" s="1">
        <v>2</v>
      </c>
      <c r="S744" s="1" t="s">
        <v>2162</v>
      </c>
      <c r="T744" s="1" t="s">
        <v>2159</v>
      </c>
    </row>
    <row r="745" spans="2:21" ht="12.75" hidden="1" x14ac:dyDescent="0.2">
      <c r="B745" s="1" t="s">
        <v>2163</v>
      </c>
      <c r="C745" s="1" t="s">
        <v>541</v>
      </c>
      <c r="D745" s="1" t="s">
        <v>596</v>
      </c>
      <c r="E745" s="1" t="s">
        <v>2156</v>
      </c>
      <c r="F745" s="1" t="s">
        <v>52</v>
      </c>
      <c r="G745" s="1">
        <f>IF(ISNA(VLOOKUP(F745,Monster!B:E,4,FALSE)),0,VLOOKUP(F745,Monster!B:E,4,FALSE))</f>
        <v>3</v>
      </c>
      <c r="I745" s="1" t="s">
        <v>2164</v>
      </c>
      <c r="J745" s="1">
        <v>1596</v>
      </c>
      <c r="K745" s="1">
        <v>0</v>
      </c>
      <c r="L745" s="1">
        <v>400</v>
      </c>
      <c r="M745" s="1" t="s">
        <v>79</v>
      </c>
      <c r="O745" s="1">
        <f>((NOT(ISNA(VLOOKUP(M745,Monster!$H$2:$I$6,2,FALSE)))*L745)+J745)*(1+K745/100*0.25)</f>
        <v>1596</v>
      </c>
      <c r="P745" s="1" t="s">
        <v>590</v>
      </c>
      <c r="Q745" s="1">
        <v>1</v>
      </c>
      <c r="S745" s="1" t="s">
        <v>2165</v>
      </c>
      <c r="T745" s="1" t="s">
        <v>2159</v>
      </c>
    </row>
    <row r="746" spans="2:21" ht="12.75" hidden="1" x14ac:dyDescent="0.2">
      <c r="B746" s="1" t="s">
        <v>2166</v>
      </c>
      <c r="C746" s="1" t="s">
        <v>617</v>
      </c>
      <c r="D746" s="1" t="s">
        <v>596</v>
      </c>
      <c r="E746" s="1" t="s">
        <v>2156</v>
      </c>
      <c r="F746" s="1" t="s">
        <v>60</v>
      </c>
      <c r="G746" s="1">
        <f>IF(ISNA(VLOOKUP(F746,Monster!B:E,4,FALSE)),0,VLOOKUP(F746,Monster!B:E,4,FALSE))</f>
        <v>4</v>
      </c>
      <c r="I746" s="1" t="s">
        <v>2166</v>
      </c>
      <c r="J746" s="1">
        <v>1221</v>
      </c>
      <c r="K746" s="1">
        <v>0</v>
      </c>
      <c r="L746" s="1">
        <v>1142</v>
      </c>
      <c r="M746" s="1" t="s">
        <v>50</v>
      </c>
      <c r="O746" s="1">
        <f>((NOT(ISNA(VLOOKUP(M746,Monster!$H$2:$I$6,2,FALSE)))*L746)+J746)*(1+K746/100*0.25)</f>
        <v>2363</v>
      </c>
      <c r="P746" s="1" t="s">
        <v>244</v>
      </c>
      <c r="Q746" s="1">
        <v>1</v>
      </c>
      <c r="S746" s="1" t="s">
        <v>2167</v>
      </c>
      <c r="T746" s="1" t="s">
        <v>2168</v>
      </c>
    </row>
    <row r="747" spans="2:21" ht="12.75" hidden="1" x14ac:dyDescent="0.2">
      <c r="C747" s="1" t="s">
        <v>696</v>
      </c>
      <c r="D747" s="1" t="s">
        <v>596</v>
      </c>
      <c r="E747" s="1" t="s">
        <v>2156</v>
      </c>
      <c r="F747" s="1" t="s">
        <v>69</v>
      </c>
      <c r="G747" s="1">
        <f>IF(ISNA(VLOOKUP(F747,Monster!B:E,4,FALSE)),0,VLOOKUP(F747,Monster!B:E,4,FALSE))</f>
        <v>5</v>
      </c>
      <c r="J747" s="1">
        <v>1756</v>
      </c>
      <c r="K747" s="1">
        <v>0</v>
      </c>
      <c r="L747" s="1">
        <v>0</v>
      </c>
      <c r="M747" s="1" t="s">
        <v>107</v>
      </c>
      <c r="O747" s="1">
        <f>((NOT(ISNA(VLOOKUP(M747,Monster!$H$2:$I$6,2,FALSE)))*L747)+J747)*(1+K747/100*0.25)</f>
        <v>1756</v>
      </c>
      <c r="P747" s="1" t="s">
        <v>213</v>
      </c>
      <c r="Q747" s="1">
        <v>2</v>
      </c>
    </row>
    <row r="748" spans="2:21" ht="12.75" hidden="1" x14ac:dyDescent="0.2">
      <c r="C748" s="1" t="s">
        <v>719</v>
      </c>
      <c r="D748" s="1" t="s">
        <v>596</v>
      </c>
      <c r="E748" s="1" t="s">
        <v>2156</v>
      </c>
      <c r="F748" s="1" t="s">
        <v>75</v>
      </c>
      <c r="G748" s="1">
        <f>IF(ISNA(VLOOKUP(F748,Monster!B:E,4,FALSE)),0,VLOOKUP(F748,Monster!B:E,4,FALSE))</f>
        <v>6</v>
      </c>
      <c r="J748" s="1">
        <v>1596</v>
      </c>
      <c r="K748" s="1">
        <v>0</v>
      </c>
      <c r="L748" s="1">
        <v>400</v>
      </c>
      <c r="M748" s="1" t="s">
        <v>87</v>
      </c>
      <c r="O748" s="1">
        <f>((NOT(ISNA(VLOOKUP(M748,Monster!$H$2:$I$6,2,FALSE)))*L748)+J748)*(1+K748/100*0.25)</f>
        <v>1596</v>
      </c>
      <c r="P748" s="1" t="s">
        <v>590</v>
      </c>
      <c r="Q748" s="1">
        <v>1</v>
      </c>
    </row>
    <row r="749" spans="2:21" ht="12.75" hidden="1" x14ac:dyDescent="0.2">
      <c r="B749" s="1" t="s">
        <v>2169</v>
      </c>
      <c r="C749" s="1" t="s">
        <v>729</v>
      </c>
      <c r="D749" s="1" t="s">
        <v>596</v>
      </c>
      <c r="E749" s="1" t="s">
        <v>2156</v>
      </c>
      <c r="F749" s="1" t="s">
        <v>81</v>
      </c>
      <c r="G749" s="1">
        <f>IF(ISNA(VLOOKUP(F749,Monster!B:E,4,FALSE)),0,VLOOKUP(F749,Monster!B:E,4,FALSE))</f>
        <v>7</v>
      </c>
      <c r="I749" s="1" t="s">
        <v>2170</v>
      </c>
      <c r="J749" s="1">
        <v>1293</v>
      </c>
      <c r="K749" s="1">
        <v>0</v>
      </c>
      <c r="L749" s="1">
        <v>910</v>
      </c>
      <c r="M749" s="1" t="s">
        <v>58</v>
      </c>
      <c r="O749" s="1">
        <f>((NOT(ISNA(VLOOKUP(M749,Monster!$H$2:$I$6,2,FALSE)))*L749)+J749)*(1+K749/100*0.25)</f>
        <v>2203</v>
      </c>
      <c r="P749" s="1" t="s">
        <v>253</v>
      </c>
      <c r="Q749" s="1">
        <v>1</v>
      </c>
      <c r="S749" s="1" t="s">
        <v>2171</v>
      </c>
      <c r="T749" s="1" t="s">
        <v>2159</v>
      </c>
    </row>
    <row r="750" spans="2:21" ht="12.75" hidden="1" x14ac:dyDescent="0.2">
      <c r="C750" s="1" t="s">
        <v>735</v>
      </c>
      <c r="D750" s="1" t="s">
        <v>596</v>
      </c>
      <c r="E750" s="1" t="s">
        <v>2156</v>
      </c>
      <c r="F750" s="1" t="s">
        <v>91</v>
      </c>
      <c r="G750" s="1">
        <f>IF(ISNA(VLOOKUP(F750,Monster!B:E,4,FALSE)),0,VLOOKUP(F750,Monster!B:E,4,FALSE))</f>
        <v>8</v>
      </c>
      <c r="H750" s="1"/>
      <c r="J750" s="1">
        <v>1764</v>
      </c>
      <c r="K750" s="1">
        <v>0</v>
      </c>
      <c r="L750" s="1">
        <v>0</v>
      </c>
      <c r="M750" s="1" t="s">
        <v>107</v>
      </c>
      <c r="O750" s="1">
        <f>((NOT(ISNA(VLOOKUP(M750,Monster!$H$2:$I$6,2,FALSE)))*L750)+J750)*(1+K750/100*0.25)</f>
        <v>1764</v>
      </c>
      <c r="P750" s="1" t="s">
        <v>228</v>
      </c>
      <c r="Q750" s="1">
        <v>2</v>
      </c>
    </row>
    <row r="751" spans="2:21" ht="12.75" hidden="1" x14ac:dyDescent="0.2">
      <c r="B751" s="1" t="s">
        <v>2172</v>
      </c>
      <c r="C751" s="1" t="s">
        <v>740</v>
      </c>
      <c r="D751" s="1" t="s">
        <v>596</v>
      </c>
      <c r="E751" s="1" t="s">
        <v>2156</v>
      </c>
      <c r="F751" s="1" t="s">
        <v>97</v>
      </c>
      <c r="G751" s="1">
        <f>IF(ISNA(VLOOKUP(F751,Monster!B:E,4,FALSE)),0,VLOOKUP(F751,Monster!B:E,4,FALSE))</f>
        <v>9</v>
      </c>
      <c r="I751" s="1" t="s">
        <v>2172</v>
      </c>
      <c r="J751" s="1">
        <v>1756</v>
      </c>
      <c r="K751" s="1">
        <v>0</v>
      </c>
      <c r="L751" s="1">
        <v>300</v>
      </c>
      <c r="M751" s="1" t="s">
        <v>95</v>
      </c>
      <c r="O751" s="1">
        <f>((NOT(ISNA(VLOOKUP(M751,Monster!$H$2:$I$6,2,FALSE)))*L751)+J751)*(1+K751/100*0.25)</f>
        <v>1756</v>
      </c>
      <c r="P751" s="1" t="s">
        <v>590</v>
      </c>
      <c r="Q751" s="1">
        <v>1</v>
      </c>
      <c r="S751" s="1" t="s">
        <v>2173</v>
      </c>
      <c r="T751" s="1" t="s">
        <v>2168</v>
      </c>
    </row>
    <row r="752" spans="2:21" ht="12.75" hidden="1" x14ac:dyDescent="0.2">
      <c r="B752" s="1" t="s">
        <v>2174</v>
      </c>
      <c r="C752" s="1" t="s">
        <v>745</v>
      </c>
      <c r="D752" s="1" t="s">
        <v>596</v>
      </c>
      <c r="E752" s="1" t="s">
        <v>2156</v>
      </c>
      <c r="F752" s="1" t="s">
        <v>102</v>
      </c>
      <c r="G752" s="1">
        <f>IF(ISNA(VLOOKUP(F752,Monster!B:E,4,FALSE)),0,VLOOKUP(F752,Monster!B:E,4,FALSE))</f>
        <v>10</v>
      </c>
      <c r="I752" s="1" t="s">
        <v>2175</v>
      </c>
      <c r="J752" s="1">
        <v>1293</v>
      </c>
      <c r="K752" s="1">
        <v>0</v>
      </c>
      <c r="L752" s="1">
        <v>910</v>
      </c>
      <c r="M752" s="1" t="s">
        <v>50</v>
      </c>
      <c r="O752" s="1">
        <f>((NOT(ISNA(VLOOKUP(M752,Monster!$H$2:$I$6,2,FALSE)))*L752)+J752)*(1+K752/100*0.25)</f>
        <v>2203</v>
      </c>
      <c r="P752" s="1" t="s">
        <v>394</v>
      </c>
      <c r="Q752" s="1">
        <v>1</v>
      </c>
      <c r="S752" s="1" t="s">
        <v>2176</v>
      </c>
      <c r="T752" s="1" t="s">
        <v>2159</v>
      </c>
    </row>
    <row r="753" spans="2:20" ht="12.75" hidden="1" x14ac:dyDescent="0.2">
      <c r="B753" s="1" t="s">
        <v>2177</v>
      </c>
      <c r="C753" s="1" t="s">
        <v>750</v>
      </c>
      <c r="D753" s="1" t="s">
        <v>596</v>
      </c>
      <c r="E753" s="1" t="s">
        <v>2156</v>
      </c>
      <c r="F753" s="1" t="s">
        <v>109</v>
      </c>
      <c r="G753" s="1">
        <f>IF(ISNA(VLOOKUP(F753,Monster!B:E,4,FALSE)),0,VLOOKUP(F753,Monster!B:E,4,FALSE))</f>
        <v>11</v>
      </c>
      <c r="I753" s="1" t="s">
        <v>2178</v>
      </c>
      <c r="J753" s="1">
        <v>1293</v>
      </c>
      <c r="K753" s="1">
        <v>0</v>
      </c>
      <c r="L753" s="1">
        <v>910</v>
      </c>
      <c r="M753" s="1" t="s">
        <v>41</v>
      </c>
      <c r="O753" s="1">
        <f>((NOT(ISNA(VLOOKUP(M753,Monster!$H$2:$I$6,2,FALSE)))*L753)+J753)*(1+K753/100*0.25)</f>
        <v>2203</v>
      </c>
      <c r="P753" s="1" t="s">
        <v>543</v>
      </c>
      <c r="Q753" s="1">
        <v>1</v>
      </c>
      <c r="S753" s="1" t="s">
        <v>2179</v>
      </c>
      <c r="T753" s="1" t="s">
        <v>2159</v>
      </c>
    </row>
    <row r="754" spans="2:20" ht="12.75" hidden="1" x14ac:dyDescent="0.2">
      <c r="B754" s="1" t="s">
        <v>2180</v>
      </c>
      <c r="C754" s="1" t="s">
        <v>756</v>
      </c>
      <c r="D754" s="1" t="s">
        <v>596</v>
      </c>
      <c r="E754" s="1" t="s">
        <v>2156</v>
      </c>
      <c r="F754" s="1" t="s">
        <v>119</v>
      </c>
      <c r="G754" s="1">
        <f>IF(ISNA(VLOOKUP(F754,Monster!B:E,4,FALSE)),0,VLOOKUP(F754,Monster!B:E,4,FALSE))</f>
        <v>12</v>
      </c>
      <c r="I754" s="1" t="s">
        <v>2180</v>
      </c>
      <c r="J754" s="1">
        <v>1197</v>
      </c>
      <c r="K754" s="1">
        <v>20</v>
      </c>
      <c r="L754" s="1">
        <v>1154</v>
      </c>
      <c r="M754" s="1" t="s">
        <v>58</v>
      </c>
      <c r="O754" s="1">
        <f>((NOT(ISNA(VLOOKUP(M754,Monster!$H$2:$I$6,2,FALSE)))*L754)+J754)*(1+K754/100*0.25)</f>
        <v>2468.5500000000002</v>
      </c>
      <c r="P754" s="1" t="s">
        <v>175</v>
      </c>
      <c r="Q754" s="1">
        <v>1</v>
      </c>
      <c r="S754" s="1" t="s">
        <v>2173</v>
      </c>
      <c r="T754" s="1" t="s">
        <v>2168</v>
      </c>
    </row>
    <row r="755" spans="2:20" ht="12.75" hidden="1" x14ac:dyDescent="0.2">
      <c r="B755" s="1" t="s">
        <v>2181</v>
      </c>
      <c r="C755" s="1" t="s">
        <v>761</v>
      </c>
      <c r="D755" s="1" t="s">
        <v>596</v>
      </c>
      <c r="E755" s="1" t="s">
        <v>2156</v>
      </c>
      <c r="F755" s="1" t="s">
        <v>125</v>
      </c>
      <c r="G755" s="1">
        <f>IF(ISNA(VLOOKUP(F755,Monster!B:E,4,FALSE)),0,VLOOKUP(F755,Monster!B:E,4,FALSE))</f>
        <v>13</v>
      </c>
      <c r="I755" s="1" t="s">
        <v>2181</v>
      </c>
      <c r="J755" s="1">
        <v>1516</v>
      </c>
      <c r="K755" s="1">
        <v>0</v>
      </c>
      <c r="L755" s="1">
        <v>496</v>
      </c>
      <c r="M755" s="1" t="s">
        <v>79</v>
      </c>
      <c r="O755" s="1">
        <f>((NOT(ISNA(VLOOKUP(M755,Monster!$H$2:$I$6,2,FALSE)))*L755)+J755)*(1+K755/100*0.25)</f>
        <v>1516</v>
      </c>
      <c r="P755" s="1" t="s">
        <v>348</v>
      </c>
      <c r="Q755" s="1">
        <v>2</v>
      </c>
      <c r="S755" s="1" t="s">
        <v>2173</v>
      </c>
      <c r="T755" s="1" t="s">
        <v>2159</v>
      </c>
    </row>
    <row r="756" spans="2:20" ht="12.75" hidden="1" x14ac:dyDescent="0.2">
      <c r="B756" s="1" t="s">
        <v>2182</v>
      </c>
      <c r="C756" s="1" t="s">
        <v>766</v>
      </c>
      <c r="D756" s="1" t="s">
        <v>596</v>
      </c>
      <c r="E756" s="1" t="s">
        <v>2156</v>
      </c>
      <c r="F756" s="1" t="s">
        <v>131</v>
      </c>
      <c r="G756" s="1">
        <f>IF(ISNA(VLOOKUP(F756,Monster!B:E,4,FALSE)),0,VLOOKUP(F756,Monster!B:E,4,FALSE))</f>
        <v>14</v>
      </c>
      <c r="I756" s="1" t="s">
        <v>2182</v>
      </c>
      <c r="J756" s="1">
        <v>1293</v>
      </c>
      <c r="K756" s="1">
        <v>0</v>
      </c>
      <c r="L756" s="1">
        <v>910</v>
      </c>
      <c r="M756" s="1" t="s">
        <v>71</v>
      </c>
      <c r="O756" s="1">
        <f>((NOT(ISNA(VLOOKUP(M756,Monster!$H$2:$I$6,2,FALSE)))*L756)+J756)*(1+K756/100*0.25)</f>
        <v>2203</v>
      </c>
      <c r="P756" s="1" t="s">
        <v>253</v>
      </c>
      <c r="Q756" s="1">
        <v>1</v>
      </c>
      <c r="S756" s="1" t="s">
        <v>2183</v>
      </c>
      <c r="T756" s="1" t="s">
        <v>2168</v>
      </c>
    </row>
    <row r="757" spans="2:20" ht="12.75" hidden="1" x14ac:dyDescent="0.2">
      <c r="B757" s="1" t="s">
        <v>2184</v>
      </c>
      <c r="C757" s="1" t="s">
        <v>771</v>
      </c>
      <c r="D757" s="1" t="s">
        <v>596</v>
      </c>
      <c r="E757" s="1" t="s">
        <v>2156</v>
      </c>
      <c r="F757" s="1" t="s">
        <v>137</v>
      </c>
      <c r="G757" s="1">
        <f>IF(ISNA(VLOOKUP(F757,Monster!B:E,4,FALSE)),0,VLOOKUP(F757,Monster!B:E,4,FALSE))</f>
        <v>15</v>
      </c>
      <c r="I757" s="1" t="s">
        <v>2184</v>
      </c>
      <c r="J757" s="1">
        <v>1258</v>
      </c>
      <c r="K757" s="1">
        <v>30</v>
      </c>
      <c r="L757" s="1">
        <v>1082</v>
      </c>
      <c r="M757" s="1" t="s">
        <v>71</v>
      </c>
      <c r="O757" s="1">
        <f>((NOT(ISNA(VLOOKUP(M757,Monster!$H$2:$I$6,2,FALSE)))*L757)+J757)*(1+K757/100*0.25)</f>
        <v>2515.5</v>
      </c>
      <c r="P757" s="1" t="s">
        <v>483</v>
      </c>
      <c r="Q757" s="1">
        <v>2</v>
      </c>
      <c r="S757" s="1" t="s">
        <v>2185</v>
      </c>
      <c r="T757" s="1" t="s">
        <v>2186</v>
      </c>
    </row>
    <row r="758" spans="2:20" ht="12.75" hidden="1" x14ac:dyDescent="0.2">
      <c r="B758" s="1" t="s">
        <v>2187</v>
      </c>
      <c r="C758" s="1" t="s">
        <v>775</v>
      </c>
      <c r="D758" s="1" t="s">
        <v>596</v>
      </c>
      <c r="E758" s="1" t="s">
        <v>2156</v>
      </c>
      <c r="F758" s="1" t="s">
        <v>146</v>
      </c>
      <c r="G758" s="1">
        <f>IF(ISNA(VLOOKUP(F758,Monster!B:E,4,FALSE)),0,VLOOKUP(F758,Monster!B:E,4,FALSE))</f>
        <v>16</v>
      </c>
      <c r="I758" s="1" t="s">
        <v>2188</v>
      </c>
      <c r="J758" s="1">
        <v>1221</v>
      </c>
      <c r="K758" s="1">
        <v>0</v>
      </c>
      <c r="L758" s="1">
        <v>1142</v>
      </c>
      <c r="M758" s="1" t="s">
        <v>66</v>
      </c>
      <c r="O758" s="1">
        <f>((NOT(ISNA(VLOOKUP(M758,Monster!$H$2:$I$6,2,FALSE)))*L758)+J758)*(1+K758/100*0.25)</f>
        <v>2363</v>
      </c>
      <c r="P758" s="1" t="s">
        <v>228</v>
      </c>
      <c r="Q758" s="1">
        <v>2</v>
      </c>
      <c r="S758" s="1" t="s">
        <v>2189</v>
      </c>
      <c r="T758" s="1" t="s">
        <v>2159</v>
      </c>
    </row>
    <row r="759" spans="2:20" ht="12.75" hidden="1" x14ac:dyDescent="0.2">
      <c r="B759" s="1" t="s">
        <v>2190</v>
      </c>
      <c r="C759" s="1" t="s">
        <v>779</v>
      </c>
      <c r="D759" s="1" t="s">
        <v>596</v>
      </c>
      <c r="E759" s="1" t="s">
        <v>2156</v>
      </c>
      <c r="F759" s="1" t="s">
        <v>151</v>
      </c>
      <c r="G759" s="1">
        <f>IF(ISNA(VLOOKUP(F759,Monster!B:E,4,FALSE)),0,VLOOKUP(F759,Monster!B:E,4,FALSE))</f>
        <v>17</v>
      </c>
      <c r="I759" s="1" t="s">
        <v>2191</v>
      </c>
      <c r="J759" s="1">
        <v>1979</v>
      </c>
      <c r="K759" s="1">
        <v>0</v>
      </c>
      <c r="L759" s="1">
        <v>0</v>
      </c>
      <c r="M759" s="1" t="s">
        <v>107</v>
      </c>
      <c r="O759" s="1">
        <f>((NOT(ISNA(VLOOKUP(M759,Monster!$H$2:$I$6,2,FALSE)))*L759)+J759)*(1+K759/100*0.25)</f>
        <v>1979</v>
      </c>
      <c r="P759" s="1" t="s">
        <v>364</v>
      </c>
      <c r="Q759" s="1">
        <v>1</v>
      </c>
      <c r="S759" s="1" t="s">
        <v>2192</v>
      </c>
      <c r="T759" s="1" t="s">
        <v>2159</v>
      </c>
    </row>
    <row r="760" spans="2:20" ht="12.75" hidden="1" x14ac:dyDescent="0.2">
      <c r="B760" s="1" t="s">
        <v>2193</v>
      </c>
      <c r="C760" s="1" t="s">
        <v>782</v>
      </c>
      <c r="D760" s="1" t="s">
        <v>596</v>
      </c>
      <c r="E760" s="1" t="s">
        <v>2156</v>
      </c>
      <c r="F760" s="1" t="s">
        <v>155</v>
      </c>
      <c r="G760" s="1">
        <f>IF(ISNA(VLOOKUP(F760,Monster!B:E,4,FALSE)),0,VLOOKUP(F760,Monster!B:E,4,FALSE))</f>
        <v>18</v>
      </c>
      <c r="I760" s="1" t="s">
        <v>2194</v>
      </c>
      <c r="J760" s="1">
        <v>2218</v>
      </c>
      <c r="K760" s="1">
        <v>-30</v>
      </c>
      <c r="L760" s="1">
        <v>0</v>
      </c>
      <c r="M760" s="1" t="s">
        <v>107</v>
      </c>
      <c r="O760" s="1">
        <f>((NOT(ISNA(VLOOKUP(M760,Monster!$H$2:$I$6,2,FALSE)))*L760)+J760)*(1+K760/100*0.25)</f>
        <v>2051.65</v>
      </c>
      <c r="P760" s="1" t="s">
        <v>463</v>
      </c>
      <c r="Q760" s="1">
        <v>1</v>
      </c>
      <c r="S760" s="1" t="s">
        <v>2171</v>
      </c>
      <c r="T760" s="1" t="s">
        <v>2195</v>
      </c>
    </row>
    <row r="761" spans="2:20" ht="12.75" hidden="1" x14ac:dyDescent="0.2">
      <c r="B761" s="1" t="s">
        <v>2196</v>
      </c>
      <c r="C761" s="1" t="s">
        <v>786</v>
      </c>
      <c r="D761" s="1" t="s">
        <v>596</v>
      </c>
      <c r="E761" s="1" t="s">
        <v>2156</v>
      </c>
      <c r="F761" s="1" t="s">
        <v>160</v>
      </c>
      <c r="G761" s="1">
        <f>IF(ISNA(VLOOKUP(F761,Monster!B:E,4,FALSE)),0,VLOOKUP(F761,Monster!B:E,4,FALSE))</f>
        <v>19</v>
      </c>
      <c r="I761" s="1" t="s">
        <v>2196</v>
      </c>
      <c r="J761" s="1">
        <v>1221</v>
      </c>
      <c r="K761" s="1">
        <v>0</v>
      </c>
      <c r="L761" s="1">
        <v>1142</v>
      </c>
      <c r="M761" s="1" t="s">
        <v>41</v>
      </c>
      <c r="O761" s="1">
        <f>((NOT(ISNA(VLOOKUP(M761,Monster!$H$2:$I$6,2,FALSE)))*L761)+J761)*(1+K761/100*0.25)</f>
        <v>2363</v>
      </c>
      <c r="P761" s="1" t="s">
        <v>244</v>
      </c>
      <c r="Q761" s="1">
        <v>1</v>
      </c>
      <c r="S761" s="1" t="s">
        <v>2167</v>
      </c>
      <c r="T761" s="1" t="s">
        <v>2159</v>
      </c>
    </row>
    <row r="762" spans="2:20" ht="12.75" hidden="1" x14ac:dyDescent="0.2">
      <c r="B762" s="1" t="s">
        <v>2197</v>
      </c>
      <c r="C762" s="1" t="s">
        <v>790</v>
      </c>
      <c r="D762" s="1" t="s">
        <v>596</v>
      </c>
      <c r="E762" s="1" t="s">
        <v>2156</v>
      </c>
      <c r="F762" s="1" t="s">
        <v>165</v>
      </c>
      <c r="G762" s="1">
        <f>IF(ISNA(VLOOKUP(F762,Monster!B:E,4,FALSE)),0,VLOOKUP(F762,Monster!B:E,4,FALSE))</f>
        <v>20</v>
      </c>
      <c r="I762" s="1" t="s">
        <v>2197</v>
      </c>
      <c r="J762" s="1">
        <v>1682</v>
      </c>
      <c r="K762" s="1">
        <v>0</v>
      </c>
      <c r="L762" s="1">
        <v>605</v>
      </c>
      <c r="M762" s="1" t="s">
        <v>41</v>
      </c>
      <c r="O762" s="1">
        <f>((NOT(ISNA(VLOOKUP(M762,Monster!$H$2:$I$6,2,FALSE)))*L762)+J762)*(1+K762/100*0.25)</f>
        <v>2287</v>
      </c>
      <c r="P762" s="1" t="s">
        <v>602</v>
      </c>
      <c r="Q762" s="1">
        <v>1</v>
      </c>
      <c r="S762" s="1" t="s">
        <v>2176</v>
      </c>
      <c r="T762" s="1" t="s">
        <v>2168</v>
      </c>
    </row>
    <row r="763" spans="2:20" ht="12.75" hidden="1" x14ac:dyDescent="0.2">
      <c r="B763" s="1" t="s">
        <v>2198</v>
      </c>
      <c r="C763" s="1" t="s">
        <v>794</v>
      </c>
      <c r="D763" s="1" t="s">
        <v>596</v>
      </c>
      <c r="E763" s="1" t="s">
        <v>2156</v>
      </c>
      <c r="F763" s="1" t="s">
        <v>171</v>
      </c>
      <c r="G763" s="1">
        <f>IF(ISNA(VLOOKUP(F763,Monster!B:E,4,FALSE)),0,VLOOKUP(F763,Monster!B:E,4,FALSE))</f>
        <v>21</v>
      </c>
      <c r="I763" s="1" t="s">
        <v>2198</v>
      </c>
      <c r="J763" s="1">
        <v>1258</v>
      </c>
      <c r="K763" s="1">
        <v>30</v>
      </c>
      <c r="L763" s="1">
        <v>1082</v>
      </c>
      <c r="M763" s="1" t="s">
        <v>41</v>
      </c>
      <c r="O763" s="1">
        <f>((NOT(ISNA(VLOOKUP(M763,Monster!$H$2:$I$6,2,FALSE)))*L763)+J763)*(1+K763/100*0.25)</f>
        <v>2515.5</v>
      </c>
      <c r="P763" s="1" t="s">
        <v>175</v>
      </c>
      <c r="Q763" s="1">
        <v>2</v>
      </c>
      <c r="S763" s="1" t="s">
        <v>2185</v>
      </c>
      <c r="T763" s="1" t="s">
        <v>2186</v>
      </c>
    </row>
    <row r="764" spans="2:20" ht="12.75" hidden="1" x14ac:dyDescent="0.2">
      <c r="C764" s="1" t="s">
        <v>797</v>
      </c>
      <c r="D764" s="1" t="s">
        <v>596</v>
      </c>
      <c r="E764" s="1" t="s">
        <v>2156</v>
      </c>
      <c r="F764" s="1" t="s">
        <v>176</v>
      </c>
      <c r="G764" s="1">
        <f>IF(ISNA(VLOOKUP(F764,Monster!B:E,4,FALSE)),0,VLOOKUP(F764,Monster!B:E,4,FALSE))</f>
        <v>22</v>
      </c>
      <c r="J764" s="1">
        <v>1596</v>
      </c>
      <c r="K764" s="1">
        <v>0</v>
      </c>
      <c r="L764" s="1">
        <v>400</v>
      </c>
      <c r="M764" s="1" t="s">
        <v>95</v>
      </c>
      <c r="O764" s="1">
        <f>((NOT(ISNA(VLOOKUP(M764,Monster!$H$2:$I$6,2,FALSE)))*L764)+J764)*(1+K764/100*0.25)</f>
        <v>1596</v>
      </c>
      <c r="P764" s="1" t="s">
        <v>213</v>
      </c>
      <c r="Q764" s="1">
        <v>2</v>
      </c>
    </row>
    <row r="765" spans="2:20" ht="12.75" hidden="1" x14ac:dyDescent="0.2">
      <c r="B765" s="1" t="s">
        <v>2199</v>
      </c>
      <c r="C765" s="1" t="s">
        <v>800</v>
      </c>
      <c r="D765" s="1" t="s">
        <v>596</v>
      </c>
      <c r="E765" s="1" t="s">
        <v>2156</v>
      </c>
      <c r="F765" s="1" t="s">
        <v>184</v>
      </c>
      <c r="G765" s="1">
        <f>IF(ISNA(VLOOKUP(F765,Monster!B:E,4,FALSE)),0,VLOOKUP(F765,Monster!B:E,4,FALSE))</f>
        <v>23</v>
      </c>
      <c r="I765" s="1" t="s">
        <v>2199</v>
      </c>
      <c r="J765" s="1">
        <v>1764</v>
      </c>
      <c r="K765" s="1">
        <v>0</v>
      </c>
      <c r="L765" s="1">
        <v>0</v>
      </c>
      <c r="M765" s="1" t="s">
        <v>107</v>
      </c>
      <c r="O765" s="1">
        <f>((NOT(ISNA(VLOOKUP(M765,Monster!$H$2:$I$6,2,FALSE)))*L765)+J765)*(1+K765/100*0.25)</f>
        <v>1764</v>
      </c>
      <c r="P765" s="1" t="s">
        <v>306</v>
      </c>
      <c r="Q765" s="1">
        <v>2</v>
      </c>
      <c r="S765" s="1" t="s">
        <v>2200</v>
      </c>
      <c r="T765" s="1" t="s">
        <v>2159</v>
      </c>
    </row>
    <row r="766" spans="2:20" ht="12.75" hidden="1" x14ac:dyDescent="0.2">
      <c r="B766" s="1" t="s">
        <v>2201</v>
      </c>
      <c r="C766" s="1" t="s">
        <v>803</v>
      </c>
      <c r="D766" s="1" t="s">
        <v>596</v>
      </c>
      <c r="E766" s="1" t="s">
        <v>2156</v>
      </c>
      <c r="F766" s="1" t="s">
        <v>190</v>
      </c>
      <c r="G766" s="1">
        <f>IF(ISNA(VLOOKUP(F766,Monster!B:E,4,FALSE)),0,VLOOKUP(F766,Monster!B:E,4,FALSE))</f>
        <v>24</v>
      </c>
      <c r="I766" s="1" t="s">
        <v>2201</v>
      </c>
      <c r="J766" s="1">
        <v>1191</v>
      </c>
      <c r="K766" s="1">
        <v>20</v>
      </c>
      <c r="L766" s="1">
        <v>910</v>
      </c>
      <c r="M766" s="1" t="s">
        <v>66</v>
      </c>
      <c r="O766" s="1">
        <f>((NOT(ISNA(VLOOKUP(M766,Monster!$H$2:$I$6,2,FALSE)))*L766)+J766)*(1+K766/100*0.25)</f>
        <v>2206.0500000000002</v>
      </c>
      <c r="P766" s="1" t="s">
        <v>253</v>
      </c>
      <c r="Q766" s="1">
        <v>1</v>
      </c>
      <c r="S766" s="1" t="s">
        <v>2173</v>
      </c>
      <c r="T766" s="1" t="s">
        <v>2159</v>
      </c>
    </row>
    <row r="767" spans="2:20" ht="12.75" hidden="1" x14ac:dyDescent="0.2">
      <c r="B767" s="1" t="s">
        <v>2202</v>
      </c>
      <c r="C767" s="1" t="s">
        <v>807</v>
      </c>
      <c r="D767" s="1" t="s">
        <v>596</v>
      </c>
      <c r="E767" s="1" t="s">
        <v>2156</v>
      </c>
      <c r="F767" s="1" t="s">
        <v>193</v>
      </c>
      <c r="G767" s="1">
        <f>IF(ISNA(VLOOKUP(F767,Monster!B:E,4,FALSE)),0,VLOOKUP(F767,Monster!B:E,4,FALSE))</f>
        <v>25</v>
      </c>
      <c r="I767" s="1" t="s">
        <v>2203</v>
      </c>
      <c r="J767" s="1">
        <v>1221</v>
      </c>
      <c r="K767" s="1">
        <v>0</v>
      </c>
      <c r="L767" s="1">
        <v>1142</v>
      </c>
      <c r="M767" s="1" t="s">
        <v>58</v>
      </c>
      <c r="O767" s="1">
        <f>((NOT(ISNA(VLOOKUP(M767,Monster!$H$2:$I$6,2,FALSE)))*L767)+J767)*(1+K767/100*0.25)</f>
        <v>2363</v>
      </c>
      <c r="P767" s="1" t="s">
        <v>38</v>
      </c>
      <c r="Q767" s="1">
        <v>1</v>
      </c>
      <c r="S767" s="1" t="s">
        <v>2189</v>
      </c>
      <c r="T767" s="1" t="s">
        <v>2159</v>
      </c>
    </row>
    <row r="768" spans="2:20" ht="12.75" hidden="1" x14ac:dyDescent="0.2">
      <c r="B768" s="1"/>
      <c r="C768" s="1" t="s">
        <v>810</v>
      </c>
      <c r="D768" s="1" t="s">
        <v>596</v>
      </c>
      <c r="E768" s="1" t="s">
        <v>2156</v>
      </c>
      <c r="F768" s="1" t="s">
        <v>197</v>
      </c>
      <c r="G768" s="1">
        <f>IF(ISNA(VLOOKUP(F768,Monster!B:E,4,FALSE)),0,VLOOKUP(F768,Monster!B:E,4,FALSE))</f>
        <v>26</v>
      </c>
      <c r="I768" s="1"/>
      <c r="J768" s="1">
        <v>1588</v>
      </c>
      <c r="K768" s="1">
        <v>0</v>
      </c>
      <c r="L768" s="1">
        <v>632</v>
      </c>
      <c r="M768" s="1" t="s">
        <v>58</v>
      </c>
      <c r="O768" s="1">
        <f>((NOT(ISNA(VLOOKUP(M768,Monster!$H$2:$I$6,2,FALSE)))*L768)+J768)*(1+K768/100*0.25)</f>
        <v>2220</v>
      </c>
      <c r="P768" s="1" t="s">
        <v>412</v>
      </c>
      <c r="Q768" s="1">
        <v>1</v>
      </c>
    </row>
    <row r="769" spans="2:20" ht="12.75" hidden="1" x14ac:dyDescent="0.2">
      <c r="C769" s="1" t="s">
        <v>813</v>
      </c>
      <c r="D769" s="1" t="s">
        <v>596</v>
      </c>
      <c r="E769" s="1" t="s">
        <v>2156</v>
      </c>
      <c r="F769" s="1" t="s">
        <v>205</v>
      </c>
      <c r="G769" s="1">
        <f>IF(ISNA(VLOOKUP(F769,Monster!B:E,4,FALSE)),0,VLOOKUP(F769,Monster!B:E,4,FALSE))</f>
        <v>27</v>
      </c>
      <c r="J769" s="1">
        <v>1719</v>
      </c>
      <c r="K769" s="1">
        <v>20</v>
      </c>
      <c r="L769" s="1">
        <v>0</v>
      </c>
      <c r="M769" s="1" t="s">
        <v>107</v>
      </c>
      <c r="O769" s="1">
        <f>((NOT(ISNA(VLOOKUP(M769,Monster!$H$2:$I$6,2,FALSE)))*L769)+J769)*(1+K769/100*0.25)</f>
        <v>1804.95</v>
      </c>
      <c r="P769" s="1" t="s">
        <v>269</v>
      </c>
      <c r="Q769" s="1">
        <v>1</v>
      </c>
    </row>
    <row r="770" spans="2:20" ht="12.75" hidden="1" x14ac:dyDescent="0.2">
      <c r="C770" s="1" t="s">
        <v>816</v>
      </c>
      <c r="D770" s="1" t="s">
        <v>596</v>
      </c>
      <c r="E770" s="1" t="s">
        <v>2156</v>
      </c>
      <c r="F770" s="1" t="s">
        <v>210</v>
      </c>
      <c r="G770" s="1">
        <f>IF(ISNA(VLOOKUP(F770,Monster!B:E,4,FALSE)),0,VLOOKUP(F770,Monster!B:E,4,FALSE))</f>
        <v>28</v>
      </c>
      <c r="J770" s="1">
        <v>1138</v>
      </c>
      <c r="K770" s="1">
        <v>20</v>
      </c>
      <c r="L770" s="1">
        <v>1156</v>
      </c>
      <c r="M770" s="1" t="s">
        <v>71</v>
      </c>
      <c r="O770" s="1">
        <f>((NOT(ISNA(VLOOKUP(M770,Monster!$H$2:$I$6,2,FALSE)))*L770)+J770)*(1+K770/100*0.25)</f>
        <v>2408.7000000000003</v>
      </c>
      <c r="P770" s="1" t="s">
        <v>166</v>
      </c>
      <c r="Q770" s="1">
        <v>1</v>
      </c>
    </row>
    <row r="771" spans="2:20" ht="12.75" hidden="1" x14ac:dyDescent="0.2">
      <c r="B771" s="1" t="s">
        <v>2204</v>
      </c>
      <c r="C771" s="1" t="s">
        <v>821</v>
      </c>
      <c r="D771" s="1" t="s">
        <v>596</v>
      </c>
      <c r="E771" s="1" t="s">
        <v>2156</v>
      </c>
      <c r="F771" s="1" t="s">
        <v>216</v>
      </c>
      <c r="G771" s="1">
        <f>IF(ISNA(VLOOKUP(F771,Monster!B:E,4,FALSE)),0,VLOOKUP(F771,Monster!B:E,4,FALSE))</f>
        <v>29</v>
      </c>
      <c r="I771" s="1" t="s">
        <v>2205</v>
      </c>
      <c r="J771" s="1">
        <v>1318</v>
      </c>
      <c r="K771" s="1">
        <v>-30</v>
      </c>
      <c r="L771" s="1">
        <v>1261</v>
      </c>
      <c r="M771" s="1" t="s">
        <v>71</v>
      </c>
      <c r="O771" s="1">
        <f>((NOT(ISNA(VLOOKUP(M771,Monster!$H$2:$I$6,2,FALSE)))*L771)+J771)*(1+K771/100*0.25)</f>
        <v>2385.5750000000003</v>
      </c>
      <c r="P771" s="1" t="s">
        <v>470</v>
      </c>
      <c r="Q771" s="1">
        <v>2</v>
      </c>
      <c r="S771" s="1" t="s">
        <v>2206</v>
      </c>
      <c r="T771" s="1" t="s">
        <v>2168</v>
      </c>
    </row>
    <row r="772" spans="2:20" ht="12.75" hidden="1" x14ac:dyDescent="0.2">
      <c r="C772" s="1" t="s">
        <v>825</v>
      </c>
      <c r="D772" s="1" t="s">
        <v>596</v>
      </c>
      <c r="E772" s="1" t="s">
        <v>2156</v>
      </c>
      <c r="F772" s="1" t="s">
        <v>223</v>
      </c>
      <c r="G772" s="1">
        <f>IF(ISNA(VLOOKUP(F772,Monster!B:E,4,FALSE)),0,VLOOKUP(F772,Monster!B:E,4,FALSE))</f>
        <v>30</v>
      </c>
      <c r="J772" s="1">
        <v>1671</v>
      </c>
      <c r="K772" s="1">
        <v>-15</v>
      </c>
      <c r="L772" s="1">
        <v>342</v>
      </c>
      <c r="M772" s="1" t="s">
        <v>79</v>
      </c>
      <c r="O772" s="1">
        <f>((NOT(ISNA(VLOOKUP(M772,Monster!$H$2:$I$6,2,FALSE)))*L772)+J772)*(1+K772/100*0.25)</f>
        <v>1608.3375000000001</v>
      </c>
      <c r="P772" s="1" t="s">
        <v>364</v>
      </c>
      <c r="Q772" s="1">
        <v>1</v>
      </c>
    </row>
    <row r="773" spans="2:20" ht="12.75" hidden="1" x14ac:dyDescent="0.2">
      <c r="B773" s="1" t="s">
        <v>2207</v>
      </c>
      <c r="C773" s="1" t="s">
        <v>829</v>
      </c>
      <c r="D773" s="1" t="s">
        <v>596</v>
      </c>
      <c r="E773" s="1" t="s">
        <v>2156</v>
      </c>
      <c r="F773" s="1" t="s">
        <v>229</v>
      </c>
      <c r="G773" s="1">
        <f>IF(ISNA(VLOOKUP(F773,Monster!B:E,4,FALSE)),0,VLOOKUP(F773,Monster!B:E,4,FALSE))</f>
        <v>31</v>
      </c>
      <c r="I773" s="1" t="s">
        <v>2207</v>
      </c>
      <c r="J773" s="1">
        <v>1194</v>
      </c>
      <c r="K773" s="1">
        <v>20</v>
      </c>
      <c r="L773" s="1">
        <v>913</v>
      </c>
      <c r="M773" s="1" t="s">
        <v>58</v>
      </c>
      <c r="O773" s="1">
        <f>((NOT(ISNA(VLOOKUP(M773,Monster!$H$2:$I$6,2,FALSE)))*L773)+J773)*(1+K773/100*0.25)</f>
        <v>2212.35</v>
      </c>
      <c r="P773" s="1" t="s">
        <v>470</v>
      </c>
      <c r="Q773" s="1">
        <v>1</v>
      </c>
      <c r="S773" s="1" t="s">
        <v>2179</v>
      </c>
      <c r="T773" s="1" t="s">
        <v>2159</v>
      </c>
    </row>
    <row r="774" spans="2:20" ht="12.75" hidden="1" x14ac:dyDescent="0.2">
      <c r="B774" s="1" t="s">
        <v>2208</v>
      </c>
      <c r="C774" s="1" t="s">
        <v>834</v>
      </c>
      <c r="D774" s="1" t="s">
        <v>596</v>
      </c>
      <c r="E774" s="1" t="s">
        <v>2156</v>
      </c>
      <c r="F774" s="1" t="s">
        <v>234</v>
      </c>
      <c r="G774" s="1">
        <f>IF(ISNA(VLOOKUP(F774,Monster!B:E,4,FALSE)),0,VLOOKUP(F774,Monster!B:E,4,FALSE))</f>
        <v>32</v>
      </c>
      <c r="I774" s="1" t="s">
        <v>2208</v>
      </c>
      <c r="J774" s="1">
        <v>1553</v>
      </c>
      <c r="K774" s="1">
        <v>0</v>
      </c>
      <c r="L774" s="1">
        <v>974</v>
      </c>
      <c r="M774" s="1" t="s">
        <v>66</v>
      </c>
      <c r="O774" s="1">
        <f>((NOT(ISNA(VLOOKUP(M774,Monster!$H$2:$I$6,2,FALSE)))*L774)+J774)*(1+K774/100*0.25)</f>
        <v>2527</v>
      </c>
      <c r="P774" s="1" t="s">
        <v>528</v>
      </c>
      <c r="Q774" s="1">
        <v>2</v>
      </c>
      <c r="R774" s="1" t="s">
        <v>372</v>
      </c>
      <c r="S774" s="1" t="s">
        <v>2209</v>
      </c>
      <c r="T774" s="1" t="s">
        <v>2210</v>
      </c>
    </row>
    <row r="775" spans="2:20" ht="12.75" hidden="1" x14ac:dyDescent="0.2">
      <c r="B775" s="1" t="s">
        <v>2211</v>
      </c>
      <c r="C775" s="1" t="s">
        <v>839</v>
      </c>
      <c r="D775" s="1" t="s">
        <v>596</v>
      </c>
      <c r="E775" s="1" t="s">
        <v>2156</v>
      </c>
      <c r="F775" s="1" t="s">
        <v>239</v>
      </c>
      <c r="G775" s="1">
        <f>IF(ISNA(VLOOKUP(F775,Monster!B:E,4,FALSE)),0,VLOOKUP(F775,Monster!B:E,4,FALSE))</f>
        <v>33</v>
      </c>
      <c r="I775" s="1" t="s">
        <v>2212</v>
      </c>
      <c r="J775" s="1">
        <v>1138</v>
      </c>
      <c r="K775" s="1">
        <v>20</v>
      </c>
      <c r="L775" s="1">
        <v>1156</v>
      </c>
      <c r="M775" s="1" t="s">
        <v>50</v>
      </c>
      <c r="O775" s="1">
        <f>((NOT(ISNA(VLOOKUP(M775,Monster!$H$2:$I$6,2,FALSE)))*L775)+J775)*(1+K775/100*0.25)</f>
        <v>2408.7000000000003</v>
      </c>
      <c r="P775" s="1" t="s">
        <v>38</v>
      </c>
      <c r="Q775" s="1">
        <v>1</v>
      </c>
      <c r="S775" s="1" t="s">
        <v>2173</v>
      </c>
      <c r="T775" s="1" t="s">
        <v>2159</v>
      </c>
    </row>
    <row r="776" spans="2:20" ht="12.75" hidden="1" x14ac:dyDescent="0.2">
      <c r="B776" s="1" t="s">
        <v>2213</v>
      </c>
      <c r="C776" s="1" t="s">
        <v>845</v>
      </c>
      <c r="D776" s="1" t="s">
        <v>596</v>
      </c>
      <c r="E776" s="1" t="s">
        <v>2156</v>
      </c>
      <c r="F776" s="1" t="s">
        <v>245</v>
      </c>
      <c r="G776" s="1">
        <f>IF(ISNA(VLOOKUP(F776,Monster!B:E,4,FALSE)),0,VLOOKUP(F776,Monster!B:E,4,FALSE))</f>
        <v>34</v>
      </c>
      <c r="I776" s="1" t="s">
        <v>2213</v>
      </c>
      <c r="J776" s="1">
        <v>1684</v>
      </c>
      <c r="K776" s="1">
        <v>0</v>
      </c>
      <c r="L776" s="1">
        <v>502</v>
      </c>
      <c r="M776" s="1" t="s">
        <v>100</v>
      </c>
      <c r="O776" s="1">
        <f>((NOT(ISNA(VLOOKUP(M776,Monster!$H$2:$I$6,2,FALSE)))*L776)+J776)*(1+K776/100*0.25)</f>
        <v>1684</v>
      </c>
      <c r="P776" s="1" t="s">
        <v>364</v>
      </c>
      <c r="Q776" s="1">
        <v>2</v>
      </c>
      <c r="R776" s="1" t="s">
        <v>372</v>
      </c>
      <c r="S776" s="1" t="s">
        <v>2214</v>
      </c>
      <c r="T776" s="1" t="s">
        <v>2210</v>
      </c>
    </row>
    <row r="777" spans="2:20" ht="12.75" hidden="1" x14ac:dyDescent="0.2">
      <c r="C777" s="1" t="s">
        <v>849</v>
      </c>
      <c r="D777" s="1" t="s">
        <v>596</v>
      </c>
      <c r="E777" s="1" t="s">
        <v>2156</v>
      </c>
      <c r="F777" s="1" t="s">
        <v>251</v>
      </c>
      <c r="G777" s="1">
        <f>IF(ISNA(VLOOKUP(F777,Monster!B:E,4,FALSE)),0,VLOOKUP(F777,Monster!B:E,4,FALSE))</f>
        <v>35</v>
      </c>
      <c r="J777" s="1">
        <v>1588</v>
      </c>
      <c r="K777" s="1">
        <v>0</v>
      </c>
      <c r="L777" s="1">
        <v>632</v>
      </c>
      <c r="M777" s="1" t="s">
        <v>41</v>
      </c>
      <c r="O777" s="1">
        <f>((NOT(ISNA(VLOOKUP(M777,Monster!$H$2:$I$6,2,FALSE)))*L777)+J777)*(1+K777/100*0.25)</f>
        <v>2220</v>
      </c>
      <c r="P777" s="1" t="s">
        <v>412</v>
      </c>
      <c r="Q777" s="1">
        <v>1</v>
      </c>
    </row>
    <row r="778" spans="2:20" ht="12.75" hidden="1" x14ac:dyDescent="0.2">
      <c r="B778" s="1" t="s">
        <v>2215</v>
      </c>
      <c r="C778" s="1" t="s">
        <v>853</v>
      </c>
      <c r="D778" s="1" t="s">
        <v>596</v>
      </c>
      <c r="E778" s="1" t="s">
        <v>2156</v>
      </c>
      <c r="F778" s="1" t="s">
        <v>256</v>
      </c>
      <c r="G778" s="1">
        <f>IF(ISNA(VLOOKUP(F778,Monster!B:E,4,FALSE)),0,VLOOKUP(F778,Monster!B:E,4,FALSE))</f>
        <v>36</v>
      </c>
      <c r="I778" s="1" t="s">
        <v>2216</v>
      </c>
      <c r="J778" s="1">
        <v>1516</v>
      </c>
      <c r="K778" s="1">
        <v>0</v>
      </c>
      <c r="L778" s="1">
        <v>496</v>
      </c>
      <c r="M778" s="1" t="s">
        <v>100</v>
      </c>
      <c r="O778" s="1">
        <f>((NOT(ISNA(VLOOKUP(M778,Monster!$H$2:$I$6,2,FALSE)))*L778)+J778)*(1+K778/100*0.25)</f>
        <v>1516</v>
      </c>
      <c r="P778" s="1" t="s">
        <v>463</v>
      </c>
      <c r="Q778" s="1">
        <v>1</v>
      </c>
      <c r="S778" s="1" t="s">
        <v>2167</v>
      </c>
      <c r="T778" s="1" t="s">
        <v>2159</v>
      </c>
    </row>
    <row r="779" spans="2:20" ht="12.75" hidden="1" x14ac:dyDescent="0.2">
      <c r="B779" s="1" t="s">
        <v>2217</v>
      </c>
      <c r="C779" s="1" t="s">
        <v>857</v>
      </c>
      <c r="D779" s="1" t="s">
        <v>596</v>
      </c>
      <c r="E779" s="1" t="s">
        <v>2156</v>
      </c>
      <c r="F779" s="1" t="s">
        <v>263</v>
      </c>
      <c r="G779" s="1">
        <f>IF(ISNA(VLOOKUP(F779,Monster!B:E,4,FALSE)),0,VLOOKUP(F779,Monster!B:E,4,FALSE))</f>
        <v>37</v>
      </c>
      <c r="I779" s="1" t="s">
        <v>2218</v>
      </c>
      <c r="J779" s="1">
        <v>1318</v>
      </c>
      <c r="K779" s="1">
        <v>-30</v>
      </c>
      <c r="L779" s="1">
        <v>1261</v>
      </c>
      <c r="M779" s="1" t="s">
        <v>58</v>
      </c>
      <c r="O779" s="1">
        <f>((NOT(ISNA(VLOOKUP(M779,Monster!$H$2:$I$6,2,FALSE)))*L779)+J779)*(1+K779/100*0.25)</f>
        <v>2385.5750000000003</v>
      </c>
      <c r="P779" s="1" t="s">
        <v>543</v>
      </c>
      <c r="Q779" s="1">
        <v>2</v>
      </c>
      <c r="S779" s="1" t="s">
        <v>2167</v>
      </c>
      <c r="T779" s="1" t="s">
        <v>2159</v>
      </c>
    </row>
    <row r="780" spans="2:20" ht="12.75" hidden="1" x14ac:dyDescent="0.2">
      <c r="B780" s="1" t="s">
        <v>2219</v>
      </c>
      <c r="C780" s="1" t="s">
        <v>863</v>
      </c>
      <c r="D780" s="1" t="s">
        <v>596</v>
      </c>
      <c r="E780" s="1" t="s">
        <v>2156</v>
      </c>
      <c r="F780" s="1" t="s">
        <v>268</v>
      </c>
      <c r="G780" s="1">
        <f>IF(ISNA(VLOOKUP(F780,Monster!B:E,4,FALSE)),0,VLOOKUP(F780,Monster!B:E,4,FALSE))</f>
        <v>38</v>
      </c>
      <c r="I780" s="1" t="s">
        <v>2219</v>
      </c>
      <c r="J780" s="1">
        <v>1553</v>
      </c>
      <c r="K780" s="1">
        <v>0</v>
      </c>
      <c r="L780" s="1">
        <v>974</v>
      </c>
      <c r="M780" s="1" t="s">
        <v>71</v>
      </c>
      <c r="O780" s="1">
        <f>((NOT(ISNA(VLOOKUP(M780,Monster!$H$2:$I$6,2,FALSE)))*L780)+J780)*(1+K780/100*0.25)</f>
        <v>2527</v>
      </c>
      <c r="P780" s="1" t="s">
        <v>463</v>
      </c>
      <c r="Q780" s="1">
        <v>2</v>
      </c>
      <c r="R780" s="1" t="s">
        <v>372</v>
      </c>
      <c r="S780" s="1" t="s">
        <v>2220</v>
      </c>
      <c r="T780" s="1" t="s">
        <v>2210</v>
      </c>
    </row>
    <row r="781" spans="2:20" ht="12.75" hidden="1" x14ac:dyDescent="0.2">
      <c r="C781" s="1" t="s">
        <v>866</v>
      </c>
      <c r="D781" s="1" t="s">
        <v>596</v>
      </c>
      <c r="E781" s="1" t="s">
        <v>2156</v>
      </c>
      <c r="F781" s="1" t="s">
        <v>273</v>
      </c>
      <c r="G781" s="1">
        <f>IF(ISNA(VLOOKUP(F781,Monster!B:E,4,FALSE)),0,VLOOKUP(F781,Monster!B:E,4,FALSE))</f>
        <v>39</v>
      </c>
      <c r="J781" s="1">
        <v>1588</v>
      </c>
      <c r="K781" s="1">
        <v>0</v>
      </c>
      <c r="L781" s="1">
        <v>632</v>
      </c>
      <c r="M781" s="1" t="s">
        <v>66</v>
      </c>
      <c r="O781" s="1">
        <f>((NOT(ISNA(VLOOKUP(M781,Monster!$H$2:$I$6,2,FALSE)))*L781)+J781)*(1+K781/100*0.25)</f>
        <v>2220</v>
      </c>
      <c r="P781" s="1" t="s">
        <v>412</v>
      </c>
      <c r="Q781" s="1">
        <v>1</v>
      </c>
    </row>
    <row r="782" spans="2:20" ht="12.75" hidden="1" x14ac:dyDescent="0.2">
      <c r="C782" s="1" t="s">
        <v>869</v>
      </c>
      <c r="D782" s="1" t="s">
        <v>596</v>
      </c>
      <c r="E782" s="1" t="s">
        <v>2156</v>
      </c>
      <c r="F782" s="1" t="s">
        <v>278</v>
      </c>
      <c r="G782" s="1">
        <f>IF(ISNA(VLOOKUP(F782,Monster!B:E,4,FALSE)),0,VLOOKUP(F782,Monster!B:E,4,FALSE))</f>
        <v>40</v>
      </c>
      <c r="J782" s="1">
        <v>1516</v>
      </c>
      <c r="K782" s="1">
        <v>0</v>
      </c>
      <c r="L782" s="1">
        <v>496</v>
      </c>
      <c r="M782" s="1" t="s">
        <v>87</v>
      </c>
      <c r="O782" s="1">
        <f>((NOT(ISNA(VLOOKUP(M782,Monster!$H$2:$I$6,2,FALSE)))*L782)+J782)*(1+K782/100*0.25)</f>
        <v>1516</v>
      </c>
      <c r="P782" s="1" t="s">
        <v>253</v>
      </c>
      <c r="Q782" s="1">
        <v>1</v>
      </c>
    </row>
    <row r="783" spans="2:20" ht="12.75" hidden="1" x14ac:dyDescent="0.2">
      <c r="C783" s="1" t="s">
        <v>872</v>
      </c>
      <c r="D783" s="1" t="s">
        <v>596</v>
      </c>
      <c r="E783" s="1" t="s">
        <v>2156</v>
      </c>
      <c r="F783" s="1" t="s">
        <v>288</v>
      </c>
      <c r="G783" s="1">
        <f>IF(ISNA(VLOOKUP(F783,Monster!B:E,4,FALSE)),0,VLOOKUP(F783,Monster!B:E,4,FALSE))</f>
        <v>41</v>
      </c>
      <c r="J783" s="1">
        <v>1567</v>
      </c>
      <c r="K783" s="1">
        <v>-15</v>
      </c>
      <c r="L783" s="1">
        <v>496</v>
      </c>
      <c r="M783" s="1" t="s">
        <v>95</v>
      </c>
      <c r="O783" s="1">
        <f>((NOT(ISNA(VLOOKUP(M783,Monster!$H$2:$I$6,2,FALSE)))*L783)+J783)*(1+K783/100*0.25)</f>
        <v>1508.2375</v>
      </c>
      <c r="P783" s="1" t="s">
        <v>253</v>
      </c>
      <c r="Q783" s="1">
        <v>1</v>
      </c>
    </row>
    <row r="784" spans="2:20" ht="12.75" x14ac:dyDescent="0.2">
      <c r="B784" s="1" t="s">
        <v>2221</v>
      </c>
      <c r="C784" s="1" t="s">
        <v>875</v>
      </c>
      <c r="D784" s="1" t="s">
        <v>596</v>
      </c>
      <c r="E784" s="1" t="s">
        <v>2156</v>
      </c>
      <c r="F784" s="1" t="s">
        <v>293</v>
      </c>
      <c r="G784" s="1">
        <f>IF(ISNA(VLOOKUP(F784,Monster!B:E,4,FALSE)),0,VLOOKUP(F784,Monster!B:E,4,FALSE))</f>
        <v>42</v>
      </c>
      <c r="I784" s="1" t="s">
        <v>2221</v>
      </c>
      <c r="J784" s="1">
        <v>2198</v>
      </c>
      <c r="K784" s="1">
        <v>-40</v>
      </c>
      <c r="L784" s="1">
        <v>0</v>
      </c>
      <c r="M784" s="1" t="s">
        <v>107</v>
      </c>
      <c r="O784" s="1">
        <f>((NOT(ISNA(VLOOKUP(M784,Monster!$H$2:$I$6,2,FALSE)))*L784)+J784)*(1+K784/100*0.25)</f>
        <v>1978.2</v>
      </c>
      <c r="P784" s="1" t="s">
        <v>194</v>
      </c>
      <c r="Q784" s="1">
        <v>1</v>
      </c>
      <c r="S784" s="1" t="s">
        <v>2179</v>
      </c>
      <c r="T784" s="1" t="s">
        <v>2159</v>
      </c>
    </row>
    <row r="785" spans="2:20" ht="12.75" hidden="1" x14ac:dyDescent="0.2">
      <c r="B785" s="1" t="s">
        <v>2222</v>
      </c>
      <c r="C785" s="1" t="s">
        <v>880</v>
      </c>
      <c r="D785" s="1" t="s">
        <v>596</v>
      </c>
      <c r="E785" s="1" t="s">
        <v>2156</v>
      </c>
      <c r="F785" s="1" t="s">
        <v>298</v>
      </c>
      <c r="G785" s="1">
        <f>IF(ISNA(VLOOKUP(F785,Monster!B:E,4,FALSE)),0,VLOOKUP(F785,Monster!B:E,4,FALSE))</f>
        <v>43</v>
      </c>
      <c r="I785" s="1" t="s">
        <v>2222</v>
      </c>
      <c r="J785" s="1">
        <v>1734</v>
      </c>
      <c r="K785" s="1">
        <v>-10</v>
      </c>
      <c r="L785" s="1">
        <v>400</v>
      </c>
      <c r="M785" s="1" t="s">
        <v>100</v>
      </c>
      <c r="O785" s="1">
        <f>((NOT(ISNA(VLOOKUP(M785,Monster!$H$2:$I$6,2,FALSE)))*L785)+J785)*(1+K785/100*0.25)</f>
        <v>1690.6499999999999</v>
      </c>
      <c r="P785" s="1" t="s">
        <v>70</v>
      </c>
      <c r="Q785" s="1">
        <v>3</v>
      </c>
      <c r="S785" s="1" t="s">
        <v>2179</v>
      </c>
      <c r="T785" s="1" t="s">
        <v>2195</v>
      </c>
    </row>
    <row r="786" spans="2:20" ht="12.75" hidden="1" x14ac:dyDescent="0.2">
      <c r="C786" s="1" t="s">
        <v>885</v>
      </c>
      <c r="D786" s="1" t="s">
        <v>596</v>
      </c>
      <c r="E786" s="1" t="s">
        <v>2156</v>
      </c>
      <c r="F786" s="1" t="s">
        <v>302</v>
      </c>
      <c r="G786" s="1">
        <f>IF(ISNA(VLOOKUP(F786,Monster!B:E,4,FALSE)),0,VLOOKUP(F786,Monster!B:E,4,FALSE))</f>
        <v>44</v>
      </c>
      <c r="J786" s="1">
        <v>1205</v>
      </c>
      <c r="K786" s="1">
        <v>0</v>
      </c>
      <c r="L786" s="1">
        <v>1305</v>
      </c>
      <c r="M786" s="1" t="s">
        <v>58</v>
      </c>
      <c r="O786" s="1">
        <f>((NOT(ISNA(VLOOKUP(M786,Monster!$H$2:$I$6,2,FALSE)))*L786)+J786)*(1+K786/100*0.25)</f>
        <v>2510</v>
      </c>
      <c r="P786" s="1" t="s">
        <v>400</v>
      </c>
      <c r="Q786" s="1">
        <v>1</v>
      </c>
      <c r="R786" s="1" t="s">
        <v>372</v>
      </c>
    </row>
    <row r="787" spans="2:20" ht="12.75" x14ac:dyDescent="0.2">
      <c r="C787" s="1" t="s">
        <v>888</v>
      </c>
      <c r="D787" s="1" t="s">
        <v>596</v>
      </c>
      <c r="E787" s="1" t="s">
        <v>2156</v>
      </c>
      <c r="F787" s="1" t="s">
        <v>305</v>
      </c>
      <c r="G787" s="1">
        <f>IF(ISNA(VLOOKUP(F787,Monster!B:E,4,FALSE)),0,VLOOKUP(F787,Monster!B:E,4,FALSE))</f>
        <v>45</v>
      </c>
      <c r="J787" s="1">
        <v>1942</v>
      </c>
      <c r="K787" s="1">
        <v>-30</v>
      </c>
      <c r="L787" s="1">
        <v>297</v>
      </c>
      <c r="M787" s="1" t="s">
        <v>100</v>
      </c>
      <c r="O787" s="1">
        <f>((NOT(ISNA(VLOOKUP(M787,Monster!$H$2:$I$6,2,FALSE)))*L787)+J787)*(1+K787/100*0.25)</f>
        <v>1796.3500000000001</v>
      </c>
      <c r="P787" s="1" t="s">
        <v>194</v>
      </c>
      <c r="Q787" s="1">
        <v>1</v>
      </c>
    </row>
    <row r="788" spans="2:20" ht="12.75" hidden="1" x14ac:dyDescent="0.2">
      <c r="C788" s="1" t="s">
        <v>892</v>
      </c>
      <c r="D788" s="1" t="s">
        <v>596</v>
      </c>
      <c r="E788" s="1" t="s">
        <v>2156</v>
      </c>
      <c r="F788" s="1" t="s">
        <v>310</v>
      </c>
      <c r="G788" s="1">
        <f>IF(ISNA(VLOOKUP(F788,Monster!B:E,4,FALSE)),0,VLOOKUP(F788,Monster!B:E,4,FALSE))</f>
        <v>46</v>
      </c>
      <c r="J788" s="1">
        <v>1834</v>
      </c>
      <c r="K788" s="1">
        <v>10</v>
      </c>
      <c r="L788" s="1">
        <v>0</v>
      </c>
      <c r="M788" s="1" t="s">
        <v>107</v>
      </c>
      <c r="O788" s="1">
        <f>((NOT(ISNA(VLOOKUP(M788,Monster!$H$2:$I$6,2,FALSE)))*L788)+J788)*(1+K788/100*0.25)</f>
        <v>1879.85</v>
      </c>
      <c r="P788" s="1" t="s">
        <v>407</v>
      </c>
      <c r="Q788" s="1">
        <v>1</v>
      </c>
    </row>
    <row r="789" spans="2:20" ht="12.75" hidden="1" x14ac:dyDescent="0.2">
      <c r="B789" s="1" t="s">
        <v>2223</v>
      </c>
      <c r="C789" s="1" t="s">
        <v>896</v>
      </c>
      <c r="D789" s="1" t="s">
        <v>596</v>
      </c>
      <c r="E789" s="1" t="s">
        <v>2156</v>
      </c>
      <c r="F789" s="1" t="s">
        <v>316</v>
      </c>
      <c r="G789" s="1">
        <f>IF(ISNA(VLOOKUP(F789,Monster!B:E,4,FALSE)),0,VLOOKUP(F789,Monster!B:E,4,FALSE))</f>
        <v>47</v>
      </c>
      <c r="I789" s="1" t="s">
        <v>2224</v>
      </c>
      <c r="J789" s="1">
        <v>1971</v>
      </c>
      <c r="K789" s="1">
        <v>-20</v>
      </c>
      <c r="L789" s="1">
        <v>0</v>
      </c>
      <c r="M789" s="1" t="s">
        <v>107</v>
      </c>
      <c r="O789" s="1">
        <f>((NOT(ISNA(VLOOKUP(M789,Monster!$H$2:$I$6,2,FALSE)))*L789)+J789)*(1+K789/100*0.25)</f>
        <v>1872.4499999999998</v>
      </c>
      <c r="P789" s="1" t="s">
        <v>602</v>
      </c>
      <c r="Q789" s="1">
        <v>2</v>
      </c>
      <c r="S789" s="1" t="s">
        <v>2225</v>
      </c>
      <c r="T789" s="1" t="s">
        <v>2159</v>
      </c>
    </row>
    <row r="790" spans="2:20" ht="12.75" x14ac:dyDescent="0.2">
      <c r="B790" s="1" t="s">
        <v>2226</v>
      </c>
      <c r="C790" s="1" t="s">
        <v>900</v>
      </c>
      <c r="D790" s="1" t="s">
        <v>596</v>
      </c>
      <c r="E790" s="1" t="s">
        <v>2156</v>
      </c>
      <c r="F790" s="1" t="s">
        <v>320</v>
      </c>
      <c r="G790" s="1">
        <f>IF(ISNA(VLOOKUP(F790,Monster!B:E,4,FALSE)),0,VLOOKUP(F790,Monster!B:E,4,FALSE))</f>
        <v>48</v>
      </c>
      <c r="I790" s="1" t="s">
        <v>2226</v>
      </c>
      <c r="J790" s="1">
        <v>1318</v>
      </c>
      <c r="K790" s="1">
        <v>-30</v>
      </c>
      <c r="L790" s="1">
        <v>1261</v>
      </c>
      <c r="M790" s="1" t="s">
        <v>41</v>
      </c>
      <c r="O790" s="1">
        <f>((NOT(ISNA(VLOOKUP(M790,Monster!$H$2:$I$6,2,FALSE)))*L790)+J790)*(1+K790/100*0.25)</f>
        <v>2385.5750000000003</v>
      </c>
      <c r="P790" s="1" t="s">
        <v>194</v>
      </c>
      <c r="Q790" s="1">
        <v>1</v>
      </c>
      <c r="S790" s="1" t="s">
        <v>2189</v>
      </c>
      <c r="T790" s="1" t="s">
        <v>2159</v>
      </c>
    </row>
    <row r="791" spans="2:20" ht="12.75" hidden="1" x14ac:dyDescent="0.2">
      <c r="B791" s="1" t="s">
        <v>2227</v>
      </c>
      <c r="C791" s="1" t="s">
        <v>904</v>
      </c>
      <c r="D791" s="1" t="s">
        <v>596</v>
      </c>
      <c r="E791" s="1" t="s">
        <v>2156</v>
      </c>
      <c r="F791" s="1" t="s">
        <v>328</v>
      </c>
      <c r="G791" s="1">
        <f>IF(ISNA(VLOOKUP(F791,Monster!B:E,4,FALSE)),0,VLOOKUP(F791,Monster!B:E,4,FALSE))</f>
        <v>49</v>
      </c>
      <c r="I791" s="1" t="s">
        <v>2227</v>
      </c>
      <c r="J791" s="1">
        <v>1741</v>
      </c>
      <c r="K791" s="1">
        <v>0</v>
      </c>
      <c r="L791" s="1">
        <v>505</v>
      </c>
      <c r="M791" s="1" t="s">
        <v>79</v>
      </c>
      <c r="O791" s="1">
        <f>((NOT(ISNA(VLOOKUP(M791,Monster!$H$2:$I$6,2,FALSE)))*L791)+J791)*(1+K791/100*0.25)</f>
        <v>1741</v>
      </c>
      <c r="P791" s="1" t="s">
        <v>624</v>
      </c>
      <c r="Q791" s="1">
        <v>2</v>
      </c>
      <c r="R791" s="1" t="s">
        <v>372</v>
      </c>
      <c r="S791" s="1" t="s">
        <v>2228</v>
      </c>
      <c r="T791" s="1" t="s">
        <v>2210</v>
      </c>
    </row>
    <row r="792" spans="2:20" ht="12.75" hidden="1" x14ac:dyDescent="0.2">
      <c r="B792" s="1" t="s">
        <v>2229</v>
      </c>
      <c r="C792" s="1" t="s">
        <v>908</v>
      </c>
      <c r="D792" s="1" t="s">
        <v>596</v>
      </c>
      <c r="E792" s="1" t="s">
        <v>2156</v>
      </c>
      <c r="F792" s="1" t="s">
        <v>334</v>
      </c>
      <c r="G792" s="1">
        <f>IF(ISNA(VLOOKUP(F792,Monster!B:E,4,FALSE)),0,VLOOKUP(F792,Monster!B:E,4,FALSE))</f>
        <v>50</v>
      </c>
      <c r="I792" s="1" t="s">
        <v>2230</v>
      </c>
      <c r="J792" s="1">
        <v>1647</v>
      </c>
      <c r="K792" s="1">
        <v>10</v>
      </c>
      <c r="L792" s="1">
        <v>307</v>
      </c>
      <c r="M792" s="1" t="s">
        <v>79</v>
      </c>
      <c r="O792" s="1">
        <f>((NOT(ISNA(VLOOKUP(M792,Monster!$H$2:$I$6,2,FALSE)))*L792)+J792)*(1+K792/100*0.25)</f>
        <v>1688.175</v>
      </c>
      <c r="P792" s="1" t="s">
        <v>311</v>
      </c>
      <c r="Q792" s="1">
        <v>1</v>
      </c>
      <c r="S792" s="1" t="s">
        <v>2231</v>
      </c>
      <c r="T792" s="1" t="s">
        <v>2159</v>
      </c>
    </row>
    <row r="793" spans="2:20" ht="12.75" hidden="1" x14ac:dyDescent="0.2">
      <c r="B793" s="1" t="s">
        <v>2232</v>
      </c>
      <c r="C793" s="1" t="s">
        <v>913</v>
      </c>
      <c r="D793" s="1" t="s">
        <v>596</v>
      </c>
      <c r="E793" s="1" t="s">
        <v>2156</v>
      </c>
      <c r="F793" s="1" t="s">
        <v>339</v>
      </c>
      <c r="G793" s="1">
        <f>IF(ISNA(VLOOKUP(F793,Monster!B:E,4,FALSE)),0,VLOOKUP(F793,Monster!B:E,4,FALSE))</f>
        <v>51</v>
      </c>
      <c r="I793" s="1" t="s">
        <v>2233</v>
      </c>
      <c r="J793" s="1">
        <v>1516</v>
      </c>
      <c r="K793" s="1">
        <v>0</v>
      </c>
      <c r="L793" s="1">
        <v>496</v>
      </c>
      <c r="M793" s="1" t="s">
        <v>87</v>
      </c>
      <c r="O793" s="1">
        <f>((NOT(ISNA(VLOOKUP(M793,Monster!$H$2:$I$6,2,FALSE)))*L793)+J793)*(1+K793/100*0.25)</f>
        <v>1516</v>
      </c>
      <c r="P793" s="1" t="s">
        <v>560</v>
      </c>
      <c r="Q793" s="1">
        <v>2</v>
      </c>
      <c r="S793" s="1" t="s">
        <v>2234</v>
      </c>
      <c r="T793" s="1" t="s">
        <v>2159</v>
      </c>
    </row>
    <row r="794" spans="2:20" ht="12.75" hidden="1" x14ac:dyDescent="0.2">
      <c r="C794" s="1" t="s">
        <v>917</v>
      </c>
      <c r="D794" s="1" t="s">
        <v>596</v>
      </c>
      <c r="E794" s="1" t="s">
        <v>2156</v>
      </c>
      <c r="F794" s="1" t="s">
        <v>343</v>
      </c>
      <c r="G794" s="1">
        <f>IF(ISNA(VLOOKUP(F794,Monster!B:E,4,FALSE)),0,VLOOKUP(F794,Monster!B:E,4,FALSE))</f>
        <v>52</v>
      </c>
      <c r="J794" s="1">
        <v>1293</v>
      </c>
      <c r="K794" s="1">
        <v>0</v>
      </c>
      <c r="L794" s="1">
        <v>910</v>
      </c>
      <c r="M794" s="1" t="s">
        <v>66</v>
      </c>
      <c r="O794" s="1">
        <f>((NOT(ISNA(VLOOKUP(M794,Monster!$H$2:$I$6,2,FALSE)))*L794)+J794)*(1+K794/100*0.25)</f>
        <v>2203</v>
      </c>
      <c r="P794" s="1" t="s">
        <v>648</v>
      </c>
      <c r="Q794" s="1">
        <v>1</v>
      </c>
    </row>
    <row r="795" spans="2:20" ht="12.75" hidden="1" x14ac:dyDescent="0.2">
      <c r="B795" s="1" t="s">
        <v>2235</v>
      </c>
      <c r="C795" s="1" t="s">
        <v>922</v>
      </c>
      <c r="D795" s="1" t="s">
        <v>596</v>
      </c>
      <c r="E795" s="1" t="s">
        <v>2156</v>
      </c>
      <c r="F795" s="1" t="s">
        <v>349</v>
      </c>
      <c r="G795" s="1">
        <f>IF(ISNA(VLOOKUP(F795,Monster!B:E,4,FALSE)),0,VLOOKUP(F795,Monster!B:E,4,FALSE))</f>
        <v>53</v>
      </c>
      <c r="I795" s="1" t="s">
        <v>2236</v>
      </c>
      <c r="J795" s="1">
        <v>1738</v>
      </c>
      <c r="K795" s="1">
        <v>40</v>
      </c>
      <c r="L795" s="1">
        <v>0</v>
      </c>
      <c r="M795" s="1" t="s">
        <v>107</v>
      </c>
      <c r="O795" s="1">
        <f>((NOT(ISNA(VLOOKUP(M795,Monster!$H$2:$I$6,2,FALSE)))*L795)+J795)*(1+K795/100*0.25)</f>
        <v>1911.8000000000002</v>
      </c>
      <c r="P795" s="1" t="s">
        <v>535</v>
      </c>
      <c r="Q795" s="1">
        <v>2</v>
      </c>
      <c r="S795" s="1" t="s">
        <v>2167</v>
      </c>
      <c r="T795" s="1" t="s">
        <v>2159</v>
      </c>
    </row>
    <row r="796" spans="2:20" ht="12.75" hidden="1" x14ac:dyDescent="0.2">
      <c r="B796" s="1" t="s">
        <v>2237</v>
      </c>
      <c r="C796" s="1" t="s">
        <v>926</v>
      </c>
      <c r="D796" s="1" t="s">
        <v>596</v>
      </c>
      <c r="E796" s="1" t="s">
        <v>2156</v>
      </c>
      <c r="F796" s="1" t="s">
        <v>354</v>
      </c>
      <c r="G796" s="1">
        <f>IF(ISNA(VLOOKUP(F796,Monster!B:E,4,FALSE)),0,VLOOKUP(F796,Monster!B:E,4,FALSE))</f>
        <v>54</v>
      </c>
      <c r="I796" s="1" t="s">
        <v>2237</v>
      </c>
      <c r="J796" s="1">
        <v>1328</v>
      </c>
      <c r="K796" s="1">
        <v>20</v>
      </c>
      <c r="L796" s="1">
        <v>1074</v>
      </c>
      <c r="M796" s="1" t="s">
        <v>50</v>
      </c>
      <c r="O796" s="1">
        <f>((NOT(ISNA(VLOOKUP(M796,Monster!$H$2:$I$6,2,FALSE)))*L796)+J796)*(1+K796/100*0.25)</f>
        <v>2522.1</v>
      </c>
      <c r="P796" s="1" t="s">
        <v>677</v>
      </c>
      <c r="Q796" s="1">
        <v>1</v>
      </c>
      <c r="R796" s="1" t="s">
        <v>372</v>
      </c>
      <c r="S796" s="1" t="s">
        <v>2228</v>
      </c>
      <c r="T796" s="1" t="s">
        <v>2210</v>
      </c>
    </row>
    <row r="797" spans="2:20" ht="12.75" hidden="1" x14ac:dyDescent="0.2">
      <c r="B797" s="1" t="s">
        <v>2238</v>
      </c>
      <c r="C797" s="1" t="s">
        <v>930</v>
      </c>
      <c r="D797" s="1" t="s">
        <v>596</v>
      </c>
      <c r="E797" s="1" t="s">
        <v>2156</v>
      </c>
      <c r="F797" s="1" t="s">
        <v>360</v>
      </c>
      <c r="G797" s="1">
        <f>IF(ISNA(VLOOKUP(F797,Monster!B:E,4,FALSE)),0,VLOOKUP(F797,Monster!B:E,4,FALSE))</f>
        <v>55</v>
      </c>
      <c r="I797" s="1" t="s">
        <v>2239</v>
      </c>
      <c r="J797" s="1">
        <v>1979</v>
      </c>
      <c r="K797" s="1">
        <v>0</v>
      </c>
      <c r="L797" s="1">
        <v>0</v>
      </c>
      <c r="M797" s="1" t="s">
        <v>107</v>
      </c>
      <c r="O797" s="1">
        <f>((NOT(ISNA(VLOOKUP(M797,Monster!$H$2:$I$6,2,FALSE)))*L797)+J797)*(1+K797/100*0.25)</f>
        <v>1979</v>
      </c>
      <c r="P797" s="1" t="s">
        <v>515</v>
      </c>
      <c r="Q797" s="1">
        <v>1</v>
      </c>
      <c r="S797" s="1" t="s">
        <v>2240</v>
      </c>
      <c r="T797" s="1" t="s">
        <v>2159</v>
      </c>
    </row>
    <row r="798" spans="2:20" ht="12.75" hidden="1" x14ac:dyDescent="0.2">
      <c r="B798" s="1" t="s">
        <v>2241</v>
      </c>
      <c r="C798" s="1" t="s">
        <v>934</v>
      </c>
      <c r="D798" s="1" t="s">
        <v>596</v>
      </c>
      <c r="E798" s="1" t="s">
        <v>2156</v>
      </c>
      <c r="F798" s="1" t="s">
        <v>365</v>
      </c>
      <c r="G798" s="1">
        <f>IF(ISNA(VLOOKUP(F798,Monster!B:E,4,FALSE)),0,VLOOKUP(F798,Monster!B:E,4,FALSE))</f>
        <v>56</v>
      </c>
      <c r="I798" s="1" t="s">
        <v>2242</v>
      </c>
      <c r="J798" s="1">
        <v>1020</v>
      </c>
      <c r="K798" s="1">
        <v>0</v>
      </c>
      <c r="L798" s="1">
        <v>1173</v>
      </c>
      <c r="M798" s="1" t="s">
        <v>66</v>
      </c>
      <c r="O798" s="1">
        <f>((NOT(ISNA(VLOOKUP(M798,Monster!$H$2:$I$6,2,FALSE)))*L798)+J798)*(1+K798/100*0.25)</f>
        <v>2193</v>
      </c>
      <c r="P798" s="1" t="s">
        <v>659</v>
      </c>
      <c r="Q798" s="1">
        <v>1</v>
      </c>
      <c r="S798" s="1" t="s">
        <v>2234</v>
      </c>
      <c r="T798" s="1" t="s">
        <v>2159</v>
      </c>
    </row>
    <row r="799" spans="2:20" ht="12.75" hidden="1" x14ac:dyDescent="0.2">
      <c r="B799" s="1" t="s">
        <v>2243</v>
      </c>
      <c r="C799" s="1" t="s">
        <v>939</v>
      </c>
      <c r="D799" s="1" t="s">
        <v>596</v>
      </c>
      <c r="E799" s="1" t="s">
        <v>2156</v>
      </c>
      <c r="F799" s="1" t="s">
        <v>370</v>
      </c>
      <c r="G799" s="1">
        <f>IF(ISNA(VLOOKUP(F799,Monster!B:E,4,FALSE)),0,VLOOKUP(F799,Monster!B:E,4,FALSE))</f>
        <v>57</v>
      </c>
      <c r="I799" s="1" t="s">
        <v>2244</v>
      </c>
      <c r="J799" s="1">
        <v>1197</v>
      </c>
      <c r="K799" s="1">
        <v>20</v>
      </c>
      <c r="L799" s="1">
        <v>1154</v>
      </c>
      <c r="M799" s="1" t="s">
        <v>41</v>
      </c>
      <c r="O799" s="1">
        <f>((NOT(ISNA(VLOOKUP(M799,Monster!$H$2:$I$6,2,FALSE)))*L799)+J799)*(1+K799/100*0.25)</f>
        <v>2468.5500000000002</v>
      </c>
      <c r="P799" s="1" t="s">
        <v>615</v>
      </c>
      <c r="Q799" s="1">
        <v>2</v>
      </c>
      <c r="S799" s="1" t="s">
        <v>2171</v>
      </c>
      <c r="T799" s="1" t="s">
        <v>2159</v>
      </c>
    </row>
    <row r="800" spans="2:20" ht="12.75" hidden="1" x14ac:dyDescent="0.2">
      <c r="B800" s="1" t="s">
        <v>2245</v>
      </c>
      <c r="C800" s="1" t="s">
        <v>943</v>
      </c>
      <c r="D800" s="1" t="s">
        <v>596</v>
      </c>
      <c r="E800" s="1" t="s">
        <v>2156</v>
      </c>
      <c r="F800" s="1" t="s">
        <v>374</v>
      </c>
      <c r="G800" s="1">
        <f>IF(ISNA(VLOOKUP(F800,Monster!B:E,4,FALSE)),0,VLOOKUP(F800,Monster!B:E,4,FALSE))</f>
        <v>58</v>
      </c>
      <c r="I800" s="1" t="s">
        <v>2245</v>
      </c>
      <c r="J800" s="1">
        <v>1205</v>
      </c>
      <c r="K800" s="1">
        <v>0</v>
      </c>
      <c r="L800" s="1">
        <v>1305</v>
      </c>
      <c r="M800" s="1" t="s">
        <v>71</v>
      </c>
      <c r="O800" s="1">
        <f>((NOT(ISNA(VLOOKUP(M800,Monster!$H$2:$I$6,2,FALSE)))*L800)+J800)*(1+K800/100*0.25)</f>
        <v>2510</v>
      </c>
      <c r="P800" s="1" t="s">
        <v>689</v>
      </c>
      <c r="Q800" s="1">
        <v>1</v>
      </c>
      <c r="R800" s="1" t="s">
        <v>372</v>
      </c>
      <c r="S800" s="1" t="s">
        <v>2171</v>
      </c>
      <c r="T800" s="1" t="s">
        <v>2210</v>
      </c>
    </row>
    <row r="801" spans="2:20" ht="12.75" hidden="1" x14ac:dyDescent="0.2">
      <c r="B801" s="1" t="s">
        <v>2246</v>
      </c>
      <c r="C801" s="1" t="s">
        <v>949</v>
      </c>
      <c r="D801" s="1" t="s">
        <v>596</v>
      </c>
      <c r="E801" s="1" t="s">
        <v>2156</v>
      </c>
      <c r="F801" s="1"/>
      <c r="G801" s="1">
        <f>IF(ISNA(VLOOKUP(F801,Monster!B:E,4,FALSE)),0,VLOOKUP(F801,Monster!B:E,4,FALSE))</f>
        <v>0</v>
      </c>
      <c r="I801" s="1" t="s">
        <v>2247</v>
      </c>
      <c r="J801" s="1">
        <v>1596</v>
      </c>
      <c r="K801" s="1">
        <v>0</v>
      </c>
      <c r="L801" s="1">
        <v>0</v>
      </c>
      <c r="M801" s="1" t="s">
        <v>107</v>
      </c>
      <c r="O801" s="1">
        <f>((NOT(ISNA(VLOOKUP(M801,Monster!$H$2:$I$6,2,FALSE)))*L801)+J801)*(1+K801/100*0.25)</f>
        <v>1596</v>
      </c>
      <c r="P801" s="1" t="s">
        <v>158</v>
      </c>
      <c r="Q801" s="1">
        <v>1</v>
      </c>
      <c r="S801" s="1" t="s">
        <v>2176</v>
      </c>
      <c r="T801" s="1" t="s">
        <v>2159</v>
      </c>
    </row>
    <row r="802" spans="2:20" ht="12.75" hidden="1" x14ac:dyDescent="0.2">
      <c r="B802" s="1" t="s">
        <v>2248</v>
      </c>
      <c r="C802" s="1" t="s">
        <v>958</v>
      </c>
      <c r="D802" s="1" t="s">
        <v>596</v>
      </c>
      <c r="E802" s="1" t="s">
        <v>2156</v>
      </c>
      <c r="F802" s="1"/>
      <c r="G802" s="1">
        <f>IF(ISNA(VLOOKUP(F802,Monster!B:E,4,FALSE)),0,VLOOKUP(F802,Monster!B:E,4,FALSE))</f>
        <v>0</v>
      </c>
      <c r="I802" s="1" t="s">
        <v>2249</v>
      </c>
      <c r="J802" s="1">
        <v>1878</v>
      </c>
      <c r="K802" s="1">
        <v>0</v>
      </c>
      <c r="L802" s="1">
        <v>0</v>
      </c>
      <c r="M802" s="1" t="s">
        <v>107</v>
      </c>
      <c r="O802" s="1">
        <f>((NOT(ISNA(VLOOKUP(M802,Monster!$H$2:$I$6,2,FALSE)))*L802)+J802)*(1+K802/100*0.25)</f>
        <v>1878</v>
      </c>
      <c r="P802" s="1" t="s">
        <v>412</v>
      </c>
      <c r="Q802" s="1">
        <v>1</v>
      </c>
      <c r="S802" s="1" t="s">
        <v>2250</v>
      </c>
      <c r="T802" s="1" t="s">
        <v>2159</v>
      </c>
    </row>
    <row r="803" spans="2:20" ht="12.75" hidden="1" x14ac:dyDescent="0.2"/>
    <row r="804" spans="2:20" ht="12.75" hidden="1" x14ac:dyDescent="0.2"/>
    <row r="805" spans="2:20" ht="12.75" hidden="1" x14ac:dyDescent="0.2"/>
    <row r="806" spans="2:20" ht="12.75" hidden="1" x14ac:dyDescent="0.2"/>
    <row r="807" spans="2:20" ht="12.75" hidden="1" x14ac:dyDescent="0.2"/>
    <row r="808" spans="2:20" ht="12.75" hidden="1" x14ac:dyDescent="0.2"/>
    <row r="809" spans="2:20" ht="12.75" hidden="1" x14ac:dyDescent="0.2"/>
    <row r="810" spans="2:20" ht="12.75" hidden="1" x14ac:dyDescent="0.2"/>
    <row r="811" spans="2:20" ht="12.75" hidden="1" x14ac:dyDescent="0.2"/>
    <row r="812" spans="2:20" ht="12.75" hidden="1" x14ac:dyDescent="0.2"/>
    <row r="813" spans="2:20" ht="12.75" hidden="1" x14ac:dyDescent="0.2"/>
    <row r="814" spans="2:20" ht="12.75" hidden="1" x14ac:dyDescent="0.2"/>
    <row r="815" spans="2:20" ht="12.75" hidden="1" x14ac:dyDescent="0.2"/>
    <row r="816" spans="2:20" ht="12.75" hidden="1" x14ac:dyDescent="0.2"/>
    <row r="817" ht="12.75" hidden="1" x14ac:dyDescent="0.2"/>
    <row r="818" ht="12.75" hidden="1" x14ac:dyDescent="0.2"/>
    <row r="819" ht="12.75" hidden="1" x14ac:dyDescent="0.2"/>
    <row r="820" ht="12.75" hidden="1" x14ac:dyDescent="0.2"/>
    <row r="821" ht="12.75" hidden="1" x14ac:dyDescent="0.2"/>
    <row r="822" ht="12.75" hidden="1" x14ac:dyDescent="0.2"/>
    <row r="823" ht="12.75" hidden="1" x14ac:dyDescent="0.2"/>
    <row r="824" ht="12.75" hidden="1" x14ac:dyDescent="0.2"/>
    <row r="825" ht="12.75" hidden="1" x14ac:dyDescent="0.2"/>
    <row r="826" ht="12.75" hidden="1" x14ac:dyDescent="0.2"/>
    <row r="827" ht="12.75" hidden="1" x14ac:dyDescent="0.2"/>
    <row r="828" ht="12.75" hidden="1" x14ac:dyDescent="0.2"/>
    <row r="829" ht="12.75" hidden="1" x14ac:dyDescent="0.2"/>
    <row r="830" ht="12.75" hidden="1" x14ac:dyDescent="0.2"/>
    <row r="831" ht="12.75" hidden="1" x14ac:dyDescent="0.2"/>
    <row r="832" ht="12.75" hidden="1" x14ac:dyDescent="0.2"/>
    <row r="833" ht="12.75" hidden="1" x14ac:dyDescent="0.2"/>
    <row r="834" ht="12.75" hidden="1" x14ac:dyDescent="0.2"/>
    <row r="835" ht="12.75" hidden="1" x14ac:dyDescent="0.2"/>
    <row r="836" ht="12.75" hidden="1" x14ac:dyDescent="0.2"/>
    <row r="837" ht="12.75" hidden="1" x14ac:dyDescent="0.2"/>
    <row r="838" ht="12.75" hidden="1" x14ac:dyDescent="0.2"/>
    <row r="839" ht="12.75" hidden="1" x14ac:dyDescent="0.2"/>
    <row r="840" ht="12.75" hidden="1" x14ac:dyDescent="0.2"/>
    <row r="841" ht="12.75" hidden="1" x14ac:dyDescent="0.2"/>
    <row r="842" ht="12.75" hidden="1" x14ac:dyDescent="0.2"/>
    <row r="843" ht="12.75" hidden="1" x14ac:dyDescent="0.2"/>
    <row r="844" ht="12.75" hidden="1" x14ac:dyDescent="0.2"/>
    <row r="845" ht="12.75" hidden="1" x14ac:dyDescent="0.2"/>
    <row r="846" ht="12.75" hidden="1" x14ac:dyDescent="0.2"/>
    <row r="847" ht="12.75" hidden="1" x14ac:dyDescent="0.2"/>
    <row r="848" ht="12.75" hidden="1" x14ac:dyDescent="0.2"/>
    <row r="849" ht="12.75" hidden="1" x14ac:dyDescent="0.2"/>
    <row r="850" ht="12.75" hidden="1" x14ac:dyDescent="0.2"/>
    <row r="851" ht="12.75" hidden="1" x14ac:dyDescent="0.2"/>
    <row r="852" ht="12.75" hidden="1" x14ac:dyDescent="0.2"/>
    <row r="853" ht="12.75" hidden="1" x14ac:dyDescent="0.2"/>
    <row r="854" ht="12.75" hidden="1" x14ac:dyDescent="0.2"/>
    <row r="855" ht="12.75" hidden="1" x14ac:dyDescent="0.2"/>
    <row r="856" ht="12.75" hidden="1" x14ac:dyDescent="0.2"/>
    <row r="857" ht="12.75" hidden="1" x14ac:dyDescent="0.2"/>
    <row r="858" ht="12.75" hidden="1" x14ac:dyDescent="0.2"/>
    <row r="859" ht="12.75" hidden="1" x14ac:dyDescent="0.2"/>
    <row r="860" ht="12.75" hidden="1" x14ac:dyDescent="0.2"/>
    <row r="861" ht="12.75" hidden="1" x14ac:dyDescent="0.2"/>
    <row r="862" ht="12.75" hidden="1" x14ac:dyDescent="0.2"/>
    <row r="863" ht="12.75" hidden="1" x14ac:dyDescent="0.2"/>
    <row r="864" ht="12.75" hidden="1" x14ac:dyDescent="0.2"/>
    <row r="865" ht="12.75" hidden="1" x14ac:dyDescent="0.2"/>
    <row r="866" ht="12.75" hidden="1" x14ac:dyDescent="0.2"/>
    <row r="867" ht="12.75" hidden="1" x14ac:dyDescent="0.2"/>
    <row r="868" ht="12.75" hidden="1" x14ac:dyDescent="0.2"/>
    <row r="869" ht="12.75" hidden="1" x14ac:dyDescent="0.2"/>
    <row r="870" ht="12.75" hidden="1" x14ac:dyDescent="0.2"/>
    <row r="871" ht="12.75" hidden="1" x14ac:dyDescent="0.2"/>
    <row r="872" ht="12.75" hidden="1" x14ac:dyDescent="0.2"/>
    <row r="873" ht="12.75" hidden="1" x14ac:dyDescent="0.2"/>
    <row r="874" ht="12.75" hidden="1" x14ac:dyDescent="0.2"/>
    <row r="875" ht="12.75" hidden="1" x14ac:dyDescent="0.2"/>
    <row r="876" ht="12.75" hidden="1" x14ac:dyDescent="0.2"/>
    <row r="877" ht="12.75" hidden="1" x14ac:dyDescent="0.2"/>
    <row r="878" ht="12.75" hidden="1" x14ac:dyDescent="0.2"/>
    <row r="879" ht="12.75" hidden="1" x14ac:dyDescent="0.2"/>
    <row r="880" ht="12.75" hidden="1" x14ac:dyDescent="0.2"/>
    <row r="881" ht="12.75" hidden="1" x14ac:dyDescent="0.2"/>
    <row r="882" ht="12.75" hidden="1" x14ac:dyDescent="0.2"/>
    <row r="883" ht="12.75" hidden="1" x14ac:dyDescent="0.2"/>
    <row r="884" ht="12.75" hidden="1" x14ac:dyDescent="0.2"/>
    <row r="885" ht="12.75" hidden="1" x14ac:dyDescent="0.2"/>
    <row r="886" ht="12.75" hidden="1" x14ac:dyDescent="0.2"/>
    <row r="887" ht="12.75" hidden="1" x14ac:dyDescent="0.2"/>
    <row r="888" ht="12.75" hidden="1" x14ac:dyDescent="0.2"/>
    <row r="889" ht="12.75" hidden="1" x14ac:dyDescent="0.2"/>
    <row r="890" ht="12.75" hidden="1" x14ac:dyDescent="0.2"/>
    <row r="891" ht="12.75" hidden="1" x14ac:dyDescent="0.2"/>
    <row r="892" ht="12.75" hidden="1" x14ac:dyDescent="0.2"/>
    <row r="893" ht="12.75" hidden="1" x14ac:dyDescent="0.2"/>
    <row r="894" ht="12.75" hidden="1" x14ac:dyDescent="0.2"/>
    <row r="895" ht="12.75" hidden="1" x14ac:dyDescent="0.2"/>
    <row r="896" ht="12.75" hidden="1" x14ac:dyDescent="0.2"/>
    <row r="897" ht="12.75" hidden="1" x14ac:dyDescent="0.2"/>
    <row r="898" ht="12.75" hidden="1" x14ac:dyDescent="0.2"/>
    <row r="899" ht="12.75" hidden="1" x14ac:dyDescent="0.2"/>
    <row r="900" ht="12.75" hidden="1" x14ac:dyDescent="0.2"/>
    <row r="901" ht="12.75" hidden="1" x14ac:dyDescent="0.2"/>
    <row r="902" ht="12.75" hidden="1" x14ac:dyDescent="0.2"/>
    <row r="903" ht="12.75" hidden="1" x14ac:dyDescent="0.2"/>
    <row r="904" ht="12.75" hidden="1" x14ac:dyDescent="0.2"/>
    <row r="905" ht="12.75" hidden="1" x14ac:dyDescent="0.2"/>
    <row r="906" ht="12.75" hidden="1" x14ac:dyDescent="0.2"/>
    <row r="907" ht="12.75" hidden="1" x14ac:dyDescent="0.2"/>
    <row r="908" ht="12.75" hidden="1" x14ac:dyDescent="0.2"/>
    <row r="909" ht="12.75" hidden="1" x14ac:dyDescent="0.2"/>
    <row r="910" ht="12.75" hidden="1" x14ac:dyDescent="0.2"/>
    <row r="911" ht="12.75" hidden="1" x14ac:dyDescent="0.2"/>
    <row r="912" ht="12.75" hidden="1" x14ac:dyDescent="0.2"/>
    <row r="913" ht="12.75" hidden="1" x14ac:dyDescent="0.2"/>
    <row r="914" ht="12.75" hidden="1" x14ac:dyDescent="0.2"/>
    <row r="915" ht="12.75" hidden="1" x14ac:dyDescent="0.2"/>
    <row r="916" ht="12.75" hidden="1" x14ac:dyDescent="0.2"/>
    <row r="917" ht="12.75" hidden="1" x14ac:dyDescent="0.2"/>
    <row r="918" ht="12.75" hidden="1" x14ac:dyDescent="0.2"/>
    <row r="919" ht="12.75" hidden="1" x14ac:dyDescent="0.2"/>
    <row r="920" ht="12.75" hidden="1" x14ac:dyDescent="0.2"/>
    <row r="921" ht="12.75" hidden="1" x14ac:dyDescent="0.2"/>
    <row r="922" ht="12.75" hidden="1" x14ac:dyDescent="0.2"/>
    <row r="923" ht="12.75" hidden="1" x14ac:dyDescent="0.2"/>
    <row r="924" ht="12.75" hidden="1" x14ac:dyDescent="0.2"/>
    <row r="925" ht="12.75" hidden="1" x14ac:dyDescent="0.2"/>
    <row r="926" ht="12.75" hidden="1" x14ac:dyDescent="0.2"/>
    <row r="927" ht="12.75" hidden="1" x14ac:dyDescent="0.2"/>
    <row r="928" ht="12.75" hidden="1" x14ac:dyDescent="0.2"/>
    <row r="929" ht="12.75" hidden="1" x14ac:dyDescent="0.2"/>
    <row r="930" ht="12.75" hidden="1" x14ac:dyDescent="0.2"/>
    <row r="931" ht="12.75" hidden="1" x14ac:dyDescent="0.2"/>
    <row r="932" ht="12.75" hidden="1" x14ac:dyDescent="0.2"/>
    <row r="933" ht="12.75" hidden="1" x14ac:dyDescent="0.2"/>
    <row r="934" ht="12.75" hidden="1" x14ac:dyDescent="0.2"/>
    <row r="935" ht="12.75" hidden="1" x14ac:dyDescent="0.2"/>
    <row r="936" ht="12.75" hidden="1" x14ac:dyDescent="0.2"/>
    <row r="937" ht="12.75" hidden="1" x14ac:dyDescent="0.2"/>
    <row r="938" ht="12.75" hidden="1" x14ac:dyDescent="0.2"/>
    <row r="939" ht="12.75" hidden="1" x14ac:dyDescent="0.2"/>
    <row r="940" ht="12.75" hidden="1" x14ac:dyDescent="0.2"/>
    <row r="941" ht="12.75" hidden="1" x14ac:dyDescent="0.2"/>
    <row r="942" ht="12.75" hidden="1" x14ac:dyDescent="0.2"/>
    <row r="943" ht="12.75" hidden="1" x14ac:dyDescent="0.2"/>
    <row r="944" ht="12.75" hidden="1" x14ac:dyDescent="0.2"/>
    <row r="945" ht="12.75" hidden="1" x14ac:dyDescent="0.2"/>
    <row r="946" ht="12.75" hidden="1" x14ac:dyDescent="0.2"/>
    <row r="947" ht="12.75" hidden="1" x14ac:dyDescent="0.2"/>
    <row r="948" ht="12.75" hidden="1" x14ac:dyDescent="0.2"/>
    <row r="949" ht="12.75" hidden="1" x14ac:dyDescent="0.2"/>
    <row r="950" ht="12.75" hidden="1" x14ac:dyDescent="0.2"/>
    <row r="951" ht="12.75" hidden="1" x14ac:dyDescent="0.2"/>
    <row r="952" ht="12.75" hidden="1" x14ac:dyDescent="0.2"/>
    <row r="953" ht="12.75" hidden="1" x14ac:dyDescent="0.2"/>
    <row r="954" ht="12.75" hidden="1" x14ac:dyDescent="0.2"/>
    <row r="955" ht="12.75" hidden="1" x14ac:dyDescent="0.2"/>
    <row r="956" ht="12.75" hidden="1" x14ac:dyDescent="0.2"/>
    <row r="957" ht="12.75" hidden="1" x14ac:dyDescent="0.2"/>
    <row r="958" ht="12.75" hidden="1" x14ac:dyDescent="0.2"/>
    <row r="959" ht="12.75" hidden="1" x14ac:dyDescent="0.2"/>
    <row r="960" ht="12.75" hidden="1" x14ac:dyDescent="0.2"/>
    <row r="961" ht="12.75" hidden="1" x14ac:dyDescent="0.2"/>
    <row r="962" ht="12.75" hidden="1" x14ac:dyDescent="0.2"/>
    <row r="963" ht="12.75" hidden="1" x14ac:dyDescent="0.2"/>
    <row r="964" ht="12.75" hidden="1" x14ac:dyDescent="0.2"/>
    <row r="965" ht="12.75" hidden="1" x14ac:dyDescent="0.2"/>
    <row r="966" ht="12.75" hidden="1" x14ac:dyDescent="0.2"/>
    <row r="967" ht="12.75" hidden="1" x14ac:dyDescent="0.2"/>
    <row r="968" ht="12.75" hidden="1" x14ac:dyDescent="0.2"/>
    <row r="969" ht="12.75" hidden="1" x14ac:dyDescent="0.2"/>
    <row r="970" ht="12.75" hidden="1" x14ac:dyDescent="0.2"/>
    <row r="971" ht="12.75" hidden="1" x14ac:dyDescent="0.2"/>
    <row r="972" ht="12.75" hidden="1" x14ac:dyDescent="0.2"/>
    <row r="973" ht="12.75" hidden="1" x14ac:dyDescent="0.2"/>
    <row r="974" ht="12.75" hidden="1" x14ac:dyDescent="0.2"/>
    <row r="975" ht="12.75" hidden="1" x14ac:dyDescent="0.2"/>
    <row r="976" ht="12.75" hidden="1" x14ac:dyDescent="0.2"/>
    <row r="977" ht="12.75" hidden="1" x14ac:dyDescent="0.2"/>
    <row r="978" ht="12.75" hidden="1" x14ac:dyDescent="0.2"/>
    <row r="979" ht="12.75" hidden="1" x14ac:dyDescent="0.2"/>
    <row r="980" ht="12.75" hidden="1" x14ac:dyDescent="0.2"/>
    <row r="981" ht="12.75" hidden="1" x14ac:dyDescent="0.2"/>
    <row r="982" ht="12.75" hidden="1" x14ac:dyDescent="0.2"/>
    <row r="983" ht="12.75" hidden="1" x14ac:dyDescent="0.2"/>
    <row r="984" ht="12.75" hidden="1" x14ac:dyDescent="0.2"/>
    <row r="985" ht="12.75" hidden="1" x14ac:dyDescent="0.2"/>
    <row r="986" ht="12.75" hidden="1" x14ac:dyDescent="0.2"/>
    <row r="987" ht="12.75" hidden="1" x14ac:dyDescent="0.2"/>
    <row r="988" ht="12.75" hidden="1" x14ac:dyDescent="0.2"/>
    <row r="989" ht="12.75" hidden="1" x14ac:dyDescent="0.2"/>
    <row r="990" ht="12.75" hidden="1" x14ac:dyDescent="0.2"/>
    <row r="991" ht="12.75" hidden="1" x14ac:dyDescent="0.2"/>
    <row r="992" ht="12.75" hidden="1" x14ac:dyDescent="0.2"/>
    <row r="993" ht="12.75" hidden="1" x14ac:dyDescent="0.2"/>
    <row r="994" ht="12.75" hidden="1" x14ac:dyDescent="0.2"/>
    <row r="995" ht="12.75" hidden="1" x14ac:dyDescent="0.2"/>
    <row r="996" ht="12.75" hidden="1" x14ac:dyDescent="0.2"/>
    <row r="997" ht="12.75" hidden="1" x14ac:dyDescent="0.2"/>
    <row r="998" ht="12.75" hidden="1" x14ac:dyDescent="0.2"/>
    <row r="999" ht="12.75" hidden="1" x14ac:dyDescent="0.2"/>
    <row r="1000" ht="12.75" hidden="1" x14ac:dyDescent="0.2"/>
    <row r="1001" ht="12.75" hidden="1" x14ac:dyDescent="0.2"/>
    <row r="1002" ht="12.75" hidden="1" x14ac:dyDescent="0.2"/>
    <row r="1003" ht="12.75" hidden="1" x14ac:dyDescent="0.2"/>
    <row r="1004" ht="12.75" hidden="1" x14ac:dyDescent="0.2"/>
    <row r="1005" ht="12.75" hidden="1" x14ac:dyDescent="0.2"/>
    <row r="1006" ht="12.75" hidden="1" x14ac:dyDescent="0.2"/>
    <row r="1007" ht="12.75" hidden="1" x14ac:dyDescent="0.2"/>
    <row r="1008" ht="12.75" hidden="1" x14ac:dyDescent="0.2"/>
    <row r="1009" ht="12.75" hidden="1" x14ac:dyDescent="0.2"/>
    <row r="1010" ht="12.75" hidden="1" x14ac:dyDescent="0.2"/>
    <row r="1011" ht="12.75" hidden="1" x14ac:dyDescent="0.2"/>
    <row r="1012" ht="12.75" hidden="1" x14ac:dyDescent="0.2"/>
    <row r="1013" ht="12.75" hidden="1" x14ac:dyDescent="0.2"/>
    <row r="1014" ht="12.75" hidden="1" x14ac:dyDescent="0.2"/>
    <row r="1015" ht="12.75" hidden="1" x14ac:dyDescent="0.2"/>
    <row r="1016" ht="12.75" hidden="1" x14ac:dyDescent="0.2"/>
    <row r="1017" ht="12.75" hidden="1" x14ac:dyDescent="0.2"/>
    <row r="1018" ht="12.75" hidden="1" x14ac:dyDescent="0.2"/>
    <row r="1019" ht="12.75" hidden="1" x14ac:dyDescent="0.2"/>
    <row r="1020" ht="12.75" hidden="1" x14ac:dyDescent="0.2"/>
    <row r="1021" ht="12.75" hidden="1" x14ac:dyDescent="0.2"/>
    <row r="1022" ht="12.75" hidden="1" x14ac:dyDescent="0.2"/>
    <row r="1023" ht="12.75" hidden="1" x14ac:dyDescent="0.2"/>
    <row r="1024" ht="12.75" hidden="1" x14ac:dyDescent="0.2"/>
    <row r="1025" ht="12.75" hidden="1" x14ac:dyDescent="0.2"/>
    <row r="1026" ht="12.75" hidden="1" x14ac:dyDescent="0.2"/>
    <row r="1027" ht="12.75" hidden="1" x14ac:dyDescent="0.2"/>
    <row r="1028" ht="12.75" hidden="1" x14ac:dyDescent="0.2"/>
    <row r="1029" ht="12.75" hidden="1" x14ac:dyDescent="0.2"/>
    <row r="1030" ht="12.75" hidden="1" x14ac:dyDescent="0.2"/>
    <row r="1031" ht="12.75" hidden="1" x14ac:dyDescent="0.2"/>
    <row r="1032" ht="12.75" hidden="1" x14ac:dyDescent="0.2"/>
    <row r="1033" ht="12.75" hidden="1" x14ac:dyDescent="0.2"/>
    <row r="1034" ht="12.75" hidden="1" x14ac:dyDescent="0.2"/>
    <row r="1035" ht="12.75" hidden="1" x14ac:dyDescent="0.2"/>
    <row r="1036" ht="12.75" hidden="1" x14ac:dyDescent="0.2"/>
    <row r="1037" ht="12.75" hidden="1" x14ac:dyDescent="0.2"/>
    <row r="1038" ht="12.75" hidden="1" x14ac:dyDescent="0.2"/>
    <row r="1039" ht="12.75" hidden="1" x14ac:dyDescent="0.2"/>
    <row r="1040" ht="12.75" hidden="1" x14ac:dyDescent="0.2"/>
    <row r="1041" ht="12.75" hidden="1" x14ac:dyDescent="0.2"/>
    <row r="1042" ht="12.75" hidden="1" x14ac:dyDescent="0.2"/>
    <row r="1043" ht="12.75" hidden="1" x14ac:dyDescent="0.2"/>
    <row r="1044" ht="12.75" hidden="1" x14ac:dyDescent="0.2"/>
    <row r="1045" ht="12.75" hidden="1" x14ac:dyDescent="0.2"/>
    <row r="1046" ht="12.75" hidden="1" x14ac:dyDescent="0.2"/>
    <row r="1047" ht="12.75" hidden="1" x14ac:dyDescent="0.2"/>
    <row r="1048" ht="12.75" hidden="1" x14ac:dyDescent="0.2"/>
    <row r="1049" ht="12.75" hidden="1" x14ac:dyDescent="0.2"/>
    <row r="1050" ht="12.75" hidden="1" x14ac:dyDescent="0.2"/>
    <row r="1051" ht="12.75" hidden="1" x14ac:dyDescent="0.2"/>
    <row r="1052" ht="12.75" hidden="1" x14ac:dyDescent="0.2"/>
    <row r="1053" ht="12.75" hidden="1" x14ac:dyDescent="0.2"/>
    <row r="1054" ht="12.75" hidden="1" x14ac:dyDescent="0.2"/>
    <row r="1055" ht="12.75" hidden="1" x14ac:dyDescent="0.2"/>
    <row r="1056" ht="12.75" hidden="1" x14ac:dyDescent="0.2"/>
    <row r="1057" ht="12.75" hidden="1" x14ac:dyDescent="0.2"/>
    <row r="1058" ht="12.75" hidden="1" x14ac:dyDescent="0.2"/>
    <row r="1059" ht="12.75" hidden="1" x14ac:dyDescent="0.2"/>
    <row r="1060" ht="12.75" hidden="1" x14ac:dyDescent="0.2"/>
    <row r="1061" ht="12.75" hidden="1" x14ac:dyDescent="0.2"/>
    <row r="1062" ht="12.75" hidden="1" x14ac:dyDescent="0.2"/>
    <row r="1063" ht="12.75" hidden="1" x14ac:dyDescent="0.2"/>
    <row r="1064" ht="12.75" hidden="1" x14ac:dyDescent="0.2"/>
    <row r="1065" ht="12.75" hidden="1" x14ac:dyDescent="0.2"/>
  </sheetData>
  <autoFilter ref="A1:U1065" xr:uid="{00000000-0009-0000-0000-000004000000}">
    <filterColumn colId="15">
      <filters>
        <filter val="Critical Ferocity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400-000000000000}">
          <x14:formula1>
            <xm:f>Monster!$B:$B</xm:f>
          </x14:formula1>
          <xm:sqref>F2:F802</xm:sqref>
        </x14:dataValidation>
        <x14:dataValidation type="list" allowBlank="1" showErrorMessage="1" xr:uid="{00000000-0002-0000-0400-000001000000}">
          <x14:formula1>
            <xm:f>Monster!$H:$H</xm:f>
          </x14:formula1>
          <xm:sqref>M2:M802</xm:sqref>
        </x14:dataValidation>
        <x14:dataValidation type="list" allowBlank="1" showErrorMessage="1" xr:uid="{00000000-0002-0000-0400-000002000000}">
          <x14:formula1>
            <xm:f>Skill!$B$2:$B$1000</xm:f>
          </x14:formula1>
          <xm:sqref>P2:P802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K570"/>
  <sheetViews>
    <sheetView workbookViewId="0">
      <pane xSplit="2" ySplit="1" topLeftCell="C140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defaultColWidth="12.5703125" defaultRowHeight="15.75" customHeight="1" x14ac:dyDescent="0.2"/>
  <cols>
    <col min="1" max="2" width="19.5703125" customWidth="1"/>
    <col min="5" max="5" width="17.140625" customWidth="1"/>
    <col min="6" max="6" width="21.140625" customWidth="1"/>
    <col min="16" max="16" width="22.7109375" customWidth="1"/>
  </cols>
  <sheetData>
    <row r="1" spans="1:24" x14ac:dyDescent="0.2">
      <c r="A1" s="1" t="s">
        <v>0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14</v>
      </c>
      <c r="G1" s="1" t="s">
        <v>16</v>
      </c>
      <c r="H1" s="1" t="s">
        <v>18</v>
      </c>
      <c r="I1" s="1" t="s">
        <v>20</v>
      </c>
      <c r="J1" s="1" t="s">
        <v>22</v>
      </c>
      <c r="K1" s="1" t="s">
        <v>24</v>
      </c>
      <c r="L1" s="1" t="s">
        <v>27</v>
      </c>
      <c r="M1" s="1" t="s">
        <v>29</v>
      </c>
      <c r="V1" s="1" t="s">
        <v>5</v>
      </c>
      <c r="X1" s="1" t="s">
        <v>5</v>
      </c>
    </row>
    <row r="2" spans="1:24" x14ac:dyDescent="0.2">
      <c r="A2" s="1">
        <v>1</v>
      </c>
      <c r="B2" s="1" t="s">
        <v>593</v>
      </c>
      <c r="C2" s="1" t="s">
        <v>34</v>
      </c>
      <c r="D2" s="1" t="s">
        <v>596</v>
      </c>
      <c r="E2" s="1" t="s">
        <v>599</v>
      </c>
      <c r="F2" s="1"/>
      <c r="G2" s="1">
        <f>IF(ISNA(VLOOKUP(F2,Monster!B:E,4,FALSE)),0,VLOOKUP(F2,Monster!B:E,4,FALSE))</f>
        <v>0</v>
      </c>
      <c r="I2" s="1" t="s">
        <v>620</v>
      </c>
      <c r="J2" s="1">
        <v>1596</v>
      </c>
      <c r="K2" s="1">
        <v>0</v>
      </c>
      <c r="L2" s="1">
        <v>0</v>
      </c>
      <c r="M2" s="1" t="s">
        <v>107</v>
      </c>
      <c r="N2" s="1">
        <f>((NOT(ISNA(VLOOKUP(M2,Monster!$H$2:$I$6,2,FALSE)))*L2)+J2)*(1+K2/100*0.25)</f>
        <v>1596</v>
      </c>
      <c r="O2" s="1" t="str">
        <f t="shared" ref="O2:O256" si="0">M2&amp;" - "&amp;N2</f>
        <v>No Element - 1596</v>
      </c>
      <c r="P2" s="1" t="s">
        <v>410</v>
      </c>
      <c r="Q2" s="1">
        <v>2</v>
      </c>
      <c r="V2" s="1">
        <f t="shared" ref="V2:V256" si="1">A2</f>
        <v>1</v>
      </c>
      <c r="W2" s="1">
        <f t="shared" ref="W2:W256" si="2">L2/(J2+L2)</f>
        <v>0</v>
      </c>
    </row>
    <row r="3" spans="1:24" x14ac:dyDescent="0.2">
      <c r="A3" s="1">
        <v>2</v>
      </c>
      <c r="B3" s="1" t="s">
        <v>658</v>
      </c>
      <c r="C3" s="1" t="s">
        <v>324</v>
      </c>
      <c r="D3" s="1" t="s">
        <v>596</v>
      </c>
      <c r="E3" s="1" t="s">
        <v>599</v>
      </c>
      <c r="F3" s="1" t="s">
        <v>11</v>
      </c>
      <c r="G3" s="1">
        <f>IF(ISNA(VLOOKUP(F3,Monster!B:E,4,FALSE)),0,VLOOKUP(F3,Monster!B:E,4,FALSE))</f>
        <v>1</v>
      </c>
      <c r="I3" s="1" t="s">
        <v>673</v>
      </c>
      <c r="J3" s="1">
        <v>1373</v>
      </c>
      <c r="K3" s="1">
        <v>0</v>
      </c>
      <c r="L3" s="1">
        <v>607</v>
      </c>
      <c r="M3" s="1" t="s">
        <v>50</v>
      </c>
      <c r="N3" s="1">
        <f>((NOT(ISNA(VLOOKUP(M3,Monster!$H$2:$I$6,2,FALSE)))*L3)+J3)*(1+K3/100*0.25)</f>
        <v>1980</v>
      </c>
      <c r="O3" s="1" t="str">
        <f t="shared" si="0"/>
        <v>Water - 1980</v>
      </c>
      <c r="P3" s="1" t="s">
        <v>348</v>
      </c>
      <c r="Q3" s="1">
        <v>2</v>
      </c>
      <c r="V3" s="1">
        <f t="shared" si="1"/>
        <v>2</v>
      </c>
      <c r="W3" s="1">
        <f t="shared" si="2"/>
        <v>0.30656565656565654</v>
      </c>
    </row>
    <row r="4" spans="1:24" x14ac:dyDescent="0.2">
      <c r="A4" s="1">
        <v>3</v>
      </c>
      <c r="B4" s="1" t="s">
        <v>712</v>
      </c>
      <c r="C4" s="1" t="s">
        <v>541</v>
      </c>
      <c r="D4" s="1" t="s">
        <v>596</v>
      </c>
      <c r="E4" s="1" t="s">
        <v>599</v>
      </c>
      <c r="F4" s="1" t="s">
        <v>52</v>
      </c>
      <c r="G4" s="1">
        <f>IF(ISNA(VLOOKUP(F4,Monster!B:E,4,FALSE)),0,VLOOKUP(F4,Monster!B:E,4,FALSE))</f>
        <v>3</v>
      </c>
      <c r="I4" s="1" t="s">
        <v>714</v>
      </c>
      <c r="J4" s="1">
        <v>1596</v>
      </c>
      <c r="K4" s="1">
        <v>0</v>
      </c>
      <c r="L4" s="1">
        <v>400</v>
      </c>
      <c r="M4" s="1" t="s">
        <v>79</v>
      </c>
      <c r="N4" s="1">
        <f>((NOT(ISNA(VLOOKUP(M4,Monster!$H$2:$I$6,2,FALSE)))*L4)+J4)*(1+K4/100*0.25)</f>
        <v>1596</v>
      </c>
      <c r="O4" s="1" t="str">
        <f t="shared" si="0"/>
        <v>Poison - 1596</v>
      </c>
      <c r="P4" s="1" t="s">
        <v>590</v>
      </c>
      <c r="Q4" s="1">
        <v>1</v>
      </c>
      <c r="V4" s="1">
        <f t="shared" si="1"/>
        <v>3</v>
      </c>
      <c r="W4" s="1">
        <f t="shared" si="2"/>
        <v>0.20040080160320642</v>
      </c>
    </row>
    <row r="5" spans="1:24" x14ac:dyDescent="0.2">
      <c r="A5" s="1">
        <v>4</v>
      </c>
      <c r="B5" s="1" t="s">
        <v>717</v>
      </c>
      <c r="C5" s="1" t="s">
        <v>617</v>
      </c>
      <c r="D5" s="1" t="s">
        <v>596</v>
      </c>
      <c r="E5" s="1" t="s">
        <v>599</v>
      </c>
      <c r="F5" s="1" t="s">
        <v>60</v>
      </c>
      <c r="G5" s="1">
        <f>IF(ISNA(VLOOKUP(F5,Monster!B:E,4,FALSE)),0,VLOOKUP(F5,Monster!B:E,4,FALSE))</f>
        <v>4</v>
      </c>
      <c r="I5" s="1" t="s">
        <v>717</v>
      </c>
      <c r="J5" s="1">
        <v>1221</v>
      </c>
      <c r="K5" s="1">
        <v>0</v>
      </c>
      <c r="L5" s="1">
        <v>1142</v>
      </c>
      <c r="M5" s="1" t="s">
        <v>50</v>
      </c>
      <c r="N5" s="1">
        <f>((NOT(ISNA(VLOOKUP(M5,Monster!$H$2:$I$6,2,FALSE)))*L5)+J5)*(1+K5/100*0.25)</f>
        <v>2363</v>
      </c>
      <c r="O5" s="1" t="str">
        <f t="shared" si="0"/>
        <v>Water - 2363</v>
      </c>
      <c r="P5" s="1" t="s">
        <v>244</v>
      </c>
      <c r="Q5" s="1">
        <v>1</v>
      </c>
      <c r="V5" s="1">
        <f t="shared" si="1"/>
        <v>4</v>
      </c>
      <c r="W5" s="1">
        <f t="shared" si="2"/>
        <v>0.48328396106644095</v>
      </c>
    </row>
    <row r="6" spans="1:24" x14ac:dyDescent="0.2">
      <c r="A6" s="1">
        <v>5</v>
      </c>
      <c r="B6" s="1" t="s">
        <v>721</v>
      </c>
      <c r="C6" s="1" t="s">
        <v>696</v>
      </c>
      <c r="D6" s="1" t="s">
        <v>596</v>
      </c>
      <c r="E6" s="1" t="s">
        <v>599</v>
      </c>
      <c r="F6" s="1" t="s">
        <v>69</v>
      </c>
      <c r="G6" s="1">
        <f>IF(ISNA(VLOOKUP(F6,Monster!B:E,4,FALSE)),0,VLOOKUP(F6,Monster!B:E,4,FALSE))</f>
        <v>5</v>
      </c>
      <c r="I6" s="1" t="s">
        <v>722</v>
      </c>
      <c r="J6" s="1">
        <v>1756</v>
      </c>
      <c r="K6" s="1">
        <v>0</v>
      </c>
      <c r="L6" s="1">
        <v>0</v>
      </c>
      <c r="M6" s="1" t="s">
        <v>107</v>
      </c>
      <c r="N6" s="1">
        <f>((NOT(ISNA(VLOOKUP(M6,Monster!$H$2:$I$6,2,FALSE)))*L6)+J6)*(1+K6/100*0.25)</f>
        <v>1756</v>
      </c>
      <c r="O6" s="1" t="str">
        <f t="shared" si="0"/>
        <v>No Element - 1756</v>
      </c>
      <c r="P6" s="1" t="s">
        <v>213</v>
      </c>
      <c r="Q6" s="1">
        <v>2</v>
      </c>
      <c r="V6" s="1">
        <f t="shared" si="1"/>
        <v>5</v>
      </c>
      <c r="W6" s="1">
        <f t="shared" si="2"/>
        <v>0</v>
      </c>
    </row>
    <row r="7" spans="1:24" x14ac:dyDescent="0.2">
      <c r="A7" s="1">
        <v>6</v>
      </c>
      <c r="B7" s="1" t="s">
        <v>725</v>
      </c>
      <c r="C7" s="1" t="s">
        <v>719</v>
      </c>
      <c r="D7" s="1" t="s">
        <v>596</v>
      </c>
      <c r="E7" s="1" t="s">
        <v>599</v>
      </c>
      <c r="F7" s="1" t="s">
        <v>75</v>
      </c>
      <c r="G7" s="1">
        <f>IF(ISNA(VLOOKUP(F7,Monster!B:E,4,FALSE)),0,VLOOKUP(F7,Monster!B:E,4,FALSE))</f>
        <v>6</v>
      </c>
      <c r="I7" s="1" t="s">
        <v>726</v>
      </c>
      <c r="J7" s="1">
        <v>1596</v>
      </c>
      <c r="K7" s="1">
        <v>0</v>
      </c>
      <c r="L7" s="1">
        <v>400</v>
      </c>
      <c r="M7" s="1" t="s">
        <v>87</v>
      </c>
      <c r="N7" s="1">
        <f>((NOT(ISNA(VLOOKUP(M7,Monster!$H$2:$I$6,2,FALSE)))*L7)+J7)*(1+K7/100*0.25)</f>
        <v>1596</v>
      </c>
      <c r="O7" s="1" t="str">
        <f t="shared" si="0"/>
        <v>Paralysis - 1596</v>
      </c>
      <c r="P7" s="1" t="s">
        <v>590</v>
      </c>
      <c r="Q7" s="1">
        <v>1</v>
      </c>
      <c r="V7" s="1">
        <f t="shared" si="1"/>
        <v>6</v>
      </c>
      <c r="W7" s="1">
        <f t="shared" si="2"/>
        <v>0.20040080160320642</v>
      </c>
    </row>
    <row r="8" spans="1:24" x14ac:dyDescent="0.2">
      <c r="A8" s="1">
        <v>7</v>
      </c>
      <c r="B8" s="1" t="s">
        <v>730</v>
      </c>
      <c r="C8" s="1" t="s">
        <v>729</v>
      </c>
      <c r="D8" s="1" t="s">
        <v>596</v>
      </c>
      <c r="E8" s="1" t="s">
        <v>599</v>
      </c>
      <c r="F8" s="1" t="s">
        <v>81</v>
      </c>
      <c r="G8" s="1">
        <f>IF(ISNA(VLOOKUP(F8,Monster!B:E,4,FALSE)),0,VLOOKUP(F8,Monster!B:E,4,FALSE))</f>
        <v>7</v>
      </c>
      <c r="I8" s="1" t="s">
        <v>731</v>
      </c>
      <c r="J8" s="1">
        <v>1293</v>
      </c>
      <c r="K8" s="1">
        <v>0</v>
      </c>
      <c r="L8" s="1">
        <v>910</v>
      </c>
      <c r="M8" s="1" t="s">
        <v>58</v>
      </c>
      <c r="N8" s="1">
        <f>((NOT(ISNA(VLOOKUP(M8,Monster!$H$2:$I$6,2,FALSE)))*L8)+J8)*(1+K8/100*0.25)</f>
        <v>2203</v>
      </c>
      <c r="O8" s="1" t="str">
        <f t="shared" si="0"/>
        <v>Thunder - 2203</v>
      </c>
      <c r="P8" s="1" t="s">
        <v>253</v>
      </c>
      <c r="Q8" s="1">
        <v>1</v>
      </c>
      <c r="V8" s="1">
        <f t="shared" si="1"/>
        <v>7</v>
      </c>
      <c r="W8" s="1">
        <f t="shared" si="2"/>
        <v>0.41307308216068994</v>
      </c>
    </row>
    <row r="9" spans="1:24" x14ac:dyDescent="0.2">
      <c r="A9" s="1">
        <v>8</v>
      </c>
      <c r="B9" s="1" t="s">
        <v>734</v>
      </c>
      <c r="C9" s="1" t="s">
        <v>735</v>
      </c>
      <c r="D9" s="1" t="s">
        <v>596</v>
      </c>
      <c r="E9" s="1" t="s">
        <v>599</v>
      </c>
      <c r="F9" s="1" t="s">
        <v>91</v>
      </c>
      <c r="G9" s="1">
        <f>IF(ISNA(VLOOKUP(F9,Monster!B:E,4,FALSE)),0,VLOOKUP(F9,Monster!B:E,4,FALSE))</f>
        <v>8</v>
      </c>
      <c r="I9" s="1" t="s">
        <v>736</v>
      </c>
      <c r="J9" s="1">
        <v>1764</v>
      </c>
      <c r="K9" s="1">
        <v>0</v>
      </c>
      <c r="L9" s="1">
        <v>0</v>
      </c>
      <c r="M9" s="1" t="s">
        <v>107</v>
      </c>
      <c r="N9" s="1">
        <f>((NOT(ISNA(VLOOKUP(M9,Monster!$H$2:$I$6,2,FALSE)))*L9)+J9)*(1+K9/100*0.25)</f>
        <v>1764</v>
      </c>
      <c r="O9" s="1" t="str">
        <f t="shared" si="0"/>
        <v>No Element - 1764</v>
      </c>
      <c r="P9" s="1" t="s">
        <v>228</v>
      </c>
      <c r="Q9" s="1">
        <v>2</v>
      </c>
      <c r="V9" s="1">
        <f t="shared" si="1"/>
        <v>8</v>
      </c>
      <c r="W9" s="1">
        <f t="shared" si="2"/>
        <v>0</v>
      </c>
    </row>
    <row r="10" spans="1:24" x14ac:dyDescent="0.2">
      <c r="A10" s="1">
        <v>9</v>
      </c>
      <c r="B10" s="1" t="s">
        <v>739</v>
      </c>
      <c r="C10" s="1" t="s">
        <v>740</v>
      </c>
      <c r="D10" s="1" t="s">
        <v>596</v>
      </c>
      <c r="E10" s="1" t="s">
        <v>599</v>
      </c>
      <c r="F10" s="1" t="s">
        <v>97</v>
      </c>
      <c r="G10" s="1">
        <f>IF(ISNA(VLOOKUP(F10,Monster!B:E,4,FALSE)),0,VLOOKUP(F10,Monster!B:E,4,FALSE))</f>
        <v>9</v>
      </c>
      <c r="I10" s="1" t="s">
        <v>739</v>
      </c>
      <c r="J10" s="1">
        <v>1756</v>
      </c>
      <c r="K10" s="1">
        <v>0</v>
      </c>
      <c r="L10" s="1">
        <v>300</v>
      </c>
      <c r="M10" s="1" t="s">
        <v>95</v>
      </c>
      <c r="N10" s="1">
        <f>((NOT(ISNA(VLOOKUP(M10,Monster!$H$2:$I$6,2,FALSE)))*L10)+J10)*(1+K10/100*0.25)</f>
        <v>1756</v>
      </c>
      <c r="O10" s="1" t="str">
        <f t="shared" si="0"/>
        <v>Sleep - 1756</v>
      </c>
      <c r="P10" s="1" t="s">
        <v>590</v>
      </c>
      <c r="Q10" s="1">
        <v>1</v>
      </c>
      <c r="V10" s="1">
        <f t="shared" si="1"/>
        <v>9</v>
      </c>
      <c r="W10" s="1">
        <f t="shared" si="2"/>
        <v>0.14591439688715954</v>
      </c>
    </row>
    <row r="11" spans="1:24" x14ac:dyDescent="0.2">
      <c r="A11" s="1">
        <v>10</v>
      </c>
      <c r="B11" s="1" t="s">
        <v>744</v>
      </c>
      <c r="C11" s="1" t="s">
        <v>745</v>
      </c>
      <c r="D11" s="1" t="s">
        <v>596</v>
      </c>
      <c r="E11" s="1" t="s">
        <v>599</v>
      </c>
      <c r="F11" s="1" t="s">
        <v>102</v>
      </c>
      <c r="G11" s="1">
        <f>IF(ISNA(VLOOKUP(F11,Monster!B:E,4,FALSE)),0,VLOOKUP(F11,Monster!B:E,4,FALSE))</f>
        <v>10</v>
      </c>
      <c r="I11" s="1" t="s">
        <v>747</v>
      </c>
      <c r="J11" s="1">
        <v>1293</v>
      </c>
      <c r="K11" s="1">
        <v>0</v>
      </c>
      <c r="L11" s="1">
        <v>910</v>
      </c>
      <c r="M11" s="1" t="s">
        <v>50</v>
      </c>
      <c r="N11" s="1">
        <f>((NOT(ISNA(VLOOKUP(M11,Monster!$H$2:$I$6,2,FALSE)))*L11)+J11)*(1+K11/100*0.25)</f>
        <v>2203</v>
      </c>
      <c r="O11" s="1" t="str">
        <f t="shared" si="0"/>
        <v>Water - 2203</v>
      </c>
      <c r="P11" s="1" t="s">
        <v>394</v>
      </c>
      <c r="Q11" s="1">
        <v>1</v>
      </c>
      <c r="V11" s="1">
        <f t="shared" si="1"/>
        <v>10</v>
      </c>
      <c r="W11" s="1">
        <f t="shared" si="2"/>
        <v>0.41307308216068994</v>
      </c>
    </row>
    <row r="12" spans="1:24" x14ac:dyDescent="0.2">
      <c r="A12" s="1">
        <v>11</v>
      </c>
      <c r="B12" s="1" t="s">
        <v>749</v>
      </c>
      <c r="C12" s="1" t="s">
        <v>750</v>
      </c>
      <c r="D12" s="1" t="s">
        <v>596</v>
      </c>
      <c r="E12" s="1" t="s">
        <v>599</v>
      </c>
      <c r="F12" s="1" t="s">
        <v>109</v>
      </c>
      <c r="G12" s="1">
        <f>IF(ISNA(VLOOKUP(F12,Monster!B:E,4,FALSE)),0,VLOOKUP(F12,Monster!B:E,4,FALSE))</f>
        <v>11</v>
      </c>
      <c r="I12" s="1" t="s">
        <v>752</v>
      </c>
      <c r="J12" s="1">
        <v>1293</v>
      </c>
      <c r="K12" s="1">
        <v>0</v>
      </c>
      <c r="L12" s="1">
        <v>910</v>
      </c>
      <c r="M12" s="1" t="s">
        <v>41</v>
      </c>
      <c r="N12" s="1">
        <f>((NOT(ISNA(VLOOKUP(M12,Monster!$H$2:$I$6,2,FALSE)))*L12)+J12)*(1+K12/100*0.25)</f>
        <v>2203</v>
      </c>
      <c r="O12" s="1" t="str">
        <f t="shared" si="0"/>
        <v>Fire - 2203</v>
      </c>
      <c r="P12" s="1" t="s">
        <v>543</v>
      </c>
      <c r="Q12" s="1">
        <v>1</v>
      </c>
      <c r="V12" s="1">
        <f t="shared" si="1"/>
        <v>11</v>
      </c>
      <c r="W12" s="1">
        <f t="shared" si="2"/>
        <v>0.41307308216068994</v>
      </c>
    </row>
    <row r="13" spans="1:24" x14ac:dyDescent="0.2">
      <c r="A13" s="1">
        <v>12</v>
      </c>
      <c r="B13" s="1" t="s">
        <v>755</v>
      </c>
      <c r="C13" s="1" t="s">
        <v>756</v>
      </c>
      <c r="D13" s="1" t="s">
        <v>596</v>
      </c>
      <c r="E13" s="1" t="s">
        <v>599</v>
      </c>
      <c r="F13" s="1" t="s">
        <v>119</v>
      </c>
      <c r="G13" s="1">
        <f>IF(ISNA(VLOOKUP(F13,Monster!B:E,4,FALSE)),0,VLOOKUP(F13,Monster!B:E,4,FALSE))</f>
        <v>12</v>
      </c>
      <c r="I13" s="1" t="s">
        <v>755</v>
      </c>
      <c r="J13" s="1">
        <v>1197</v>
      </c>
      <c r="K13" s="1">
        <v>20</v>
      </c>
      <c r="L13" s="1">
        <v>1154</v>
      </c>
      <c r="M13" s="1" t="s">
        <v>58</v>
      </c>
      <c r="N13" s="1">
        <f>((NOT(ISNA(VLOOKUP(M13,Monster!$H$2:$I$6,2,FALSE)))*L13)+J13)*(1+K13/100*0.25)</f>
        <v>2468.5500000000002</v>
      </c>
      <c r="O13" s="1" t="str">
        <f t="shared" si="0"/>
        <v>Thunder - 2468.55</v>
      </c>
      <c r="P13" s="1" t="s">
        <v>175</v>
      </c>
      <c r="Q13" s="1">
        <v>1</v>
      </c>
      <c r="V13" s="1">
        <f t="shared" si="1"/>
        <v>12</v>
      </c>
      <c r="W13" s="1">
        <f t="shared" si="2"/>
        <v>0.49085495533815399</v>
      </c>
    </row>
    <row r="14" spans="1:24" x14ac:dyDescent="0.2">
      <c r="A14" s="1">
        <v>13</v>
      </c>
      <c r="B14" s="1" t="s">
        <v>760</v>
      </c>
      <c r="C14" s="1" t="s">
        <v>761</v>
      </c>
      <c r="D14" s="1" t="s">
        <v>596</v>
      </c>
      <c r="E14" s="1" t="s">
        <v>599</v>
      </c>
      <c r="F14" s="1" t="s">
        <v>125</v>
      </c>
      <c r="G14" s="1">
        <f>IF(ISNA(VLOOKUP(F14,Monster!B:E,4,FALSE)),0,VLOOKUP(F14,Monster!B:E,4,FALSE))</f>
        <v>13</v>
      </c>
      <c r="I14" s="1" t="s">
        <v>763</v>
      </c>
      <c r="J14" s="1">
        <v>1516</v>
      </c>
      <c r="K14" s="1">
        <v>0</v>
      </c>
      <c r="L14" s="1">
        <v>496</v>
      </c>
      <c r="M14" s="1" t="s">
        <v>79</v>
      </c>
      <c r="N14" s="1">
        <f>((NOT(ISNA(VLOOKUP(M14,Monster!$H$2:$I$6,2,FALSE)))*L14)+J14)*(1+K14/100*0.25)</f>
        <v>1516</v>
      </c>
      <c r="O14" s="1" t="str">
        <f t="shared" si="0"/>
        <v>Poison - 1516</v>
      </c>
      <c r="P14" s="1" t="s">
        <v>348</v>
      </c>
      <c r="Q14" s="1">
        <v>2</v>
      </c>
      <c r="V14" s="1">
        <f t="shared" si="1"/>
        <v>13</v>
      </c>
      <c r="W14" s="1">
        <f t="shared" si="2"/>
        <v>0.24652087475149106</v>
      </c>
    </row>
    <row r="15" spans="1:24" x14ac:dyDescent="0.2">
      <c r="A15" s="1">
        <v>14</v>
      </c>
      <c r="B15" s="1" t="s">
        <v>765</v>
      </c>
      <c r="C15" s="1" t="s">
        <v>766</v>
      </c>
      <c r="D15" s="1" t="s">
        <v>596</v>
      </c>
      <c r="E15" s="1" t="s">
        <v>599</v>
      </c>
      <c r="F15" s="1" t="s">
        <v>131</v>
      </c>
      <c r="G15" s="1">
        <f>IF(ISNA(VLOOKUP(F15,Monster!B:E,4,FALSE)),0,VLOOKUP(F15,Monster!B:E,4,FALSE))</f>
        <v>14</v>
      </c>
      <c r="I15" s="1" t="s">
        <v>768</v>
      </c>
      <c r="J15" s="1">
        <v>1756</v>
      </c>
      <c r="K15" s="1">
        <v>0</v>
      </c>
      <c r="L15" s="1">
        <v>300</v>
      </c>
      <c r="M15" s="1" t="s">
        <v>79</v>
      </c>
      <c r="N15" s="1">
        <f>((NOT(ISNA(VLOOKUP(M15,Monster!$H$2:$I$6,2,FALSE)))*L15)+J15)*(1+K15/100*0.25)</f>
        <v>1756</v>
      </c>
      <c r="O15" s="1" t="str">
        <f t="shared" si="0"/>
        <v>Poison - 1756</v>
      </c>
      <c r="P15" s="1" t="s">
        <v>253</v>
      </c>
      <c r="Q15" s="1">
        <v>1</v>
      </c>
      <c r="V15" s="1">
        <f t="shared" si="1"/>
        <v>14</v>
      </c>
      <c r="W15" s="1">
        <f t="shared" si="2"/>
        <v>0.14591439688715954</v>
      </c>
    </row>
    <row r="16" spans="1:24" x14ac:dyDescent="0.2">
      <c r="A16" s="1">
        <v>15</v>
      </c>
      <c r="B16" s="1" t="s">
        <v>770</v>
      </c>
      <c r="C16" s="1" t="s">
        <v>771</v>
      </c>
      <c r="D16" s="1" t="s">
        <v>596</v>
      </c>
      <c r="E16" s="1" t="s">
        <v>599</v>
      </c>
      <c r="F16" s="1" t="s">
        <v>137</v>
      </c>
      <c r="G16" s="1">
        <f>IF(ISNA(VLOOKUP(F16,Monster!B:E,4,FALSE)),0,VLOOKUP(F16,Monster!B:E,4,FALSE))</f>
        <v>15</v>
      </c>
      <c r="I16" s="1" t="s">
        <v>770</v>
      </c>
      <c r="J16" s="1">
        <v>1675</v>
      </c>
      <c r="K16" s="1">
        <v>30</v>
      </c>
      <c r="L16" s="1">
        <v>399</v>
      </c>
      <c r="M16" s="1" t="s">
        <v>79</v>
      </c>
      <c r="N16" s="1">
        <f>((NOT(ISNA(VLOOKUP(M16,Monster!$H$2:$I$6,2,FALSE)))*L16)+J16)*(1+K16/100*0.25)</f>
        <v>1800.625</v>
      </c>
      <c r="O16" s="1" t="str">
        <f t="shared" si="0"/>
        <v>Poison - 1800.625</v>
      </c>
      <c r="P16" s="1" t="s">
        <v>483</v>
      </c>
      <c r="Q16" s="1">
        <v>2</v>
      </c>
      <c r="V16" s="1">
        <f t="shared" si="1"/>
        <v>15</v>
      </c>
      <c r="W16" s="1">
        <f t="shared" si="2"/>
        <v>0.19238187078109933</v>
      </c>
    </row>
    <row r="17" spans="1:23" x14ac:dyDescent="0.2">
      <c r="A17" s="1">
        <v>16</v>
      </c>
      <c r="B17" s="1" t="s">
        <v>774</v>
      </c>
      <c r="C17" s="1" t="s">
        <v>775</v>
      </c>
      <c r="D17" s="1" t="s">
        <v>596</v>
      </c>
      <c r="E17" s="1" t="s">
        <v>599</v>
      </c>
      <c r="F17" s="1" t="s">
        <v>146</v>
      </c>
      <c r="G17" s="1">
        <f>IF(ISNA(VLOOKUP(F17,Monster!B:E,4,FALSE)),0,VLOOKUP(F17,Monster!B:E,4,FALSE))</f>
        <v>16</v>
      </c>
      <c r="I17" s="1" t="s">
        <v>777</v>
      </c>
      <c r="J17" s="1">
        <v>1221</v>
      </c>
      <c r="K17" s="1">
        <v>0</v>
      </c>
      <c r="L17" s="1">
        <v>1142</v>
      </c>
      <c r="M17" s="1" t="s">
        <v>66</v>
      </c>
      <c r="N17" s="1">
        <f>((NOT(ISNA(VLOOKUP(M17,Monster!$H$2:$I$6,2,FALSE)))*L17)+J17)*(1+K17/100*0.25)</f>
        <v>2363</v>
      </c>
      <c r="O17" s="1" t="str">
        <f t="shared" si="0"/>
        <v>Ice - 2363</v>
      </c>
      <c r="P17" s="1" t="s">
        <v>228</v>
      </c>
      <c r="Q17" s="1">
        <v>2</v>
      </c>
      <c r="V17" s="1">
        <f t="shared" si="1"/>
        <v>16</v>
      </c>
      <c r="W17" s="1">
        <f t="shared" si="2"/>
        <v>0.48328396106644095</v>
      </c>
    </row>
    <row r="18" spans="1:23" x14ac:dyDescent="0.2">
      <c r="A18" s="1">
        <v>17</v>
      </c>
      <c r="B18" s="1" t="s">
        <v>785</v>
      </c>
      <c r="C18" s="1" t="s">
        <v>786</v>
      </c>
      <c r="D18" s="1" t="s">
        <v>596</v>
      </c>
      <c r="E18" s="1" t="s">
        <v>599</v>
      </c>
      <c r="F18" s="1" t="s">
        <v>160</v>
      </c>
      <c r="G18" s="1">
        <f>IF(ISNA(VLOOKUP(F18,Monster!B:E,4,FALSE)),0,VLOOKUP(F18,Monster!B:E,4,FALSE))</f>
        <v>19</v>
      </c>
      <c r="I18" s="1" t="s">
        <v>788</v>
      </c>
      <c r="J18" s="1">
        <v>1221</v>
      </c>
      <c r="K18" s="1">
        <v>0</v>
      </c>
      <c r="L18" s="1">
        <v>1142</v>
      </c>
      <c r="M18" s="1" t="s">
        <v>41</v>
      </c>
      <c r="N18" s="1">
        <f>((NOT(ISNA(VLOOKUP(M18,Monster!$H$2:$I$6,2,FALSE)))*L18)+J18)*(1+K18/100*0.25)</f>
        <v>2363</v>
      </c>
      <c r="O18" s="1" t="str">
        <f t="shared" si="0"/>
        <v>Fire - 2363</v>
      </c>
      <c r="P18" s="1" t="s">
        <v>244</v>
      </c>
      <c r="Q18" s="1">
        <v>1</v>
      </c>
      <c r="V18" s="1">
        <f t="shared" si="1"/>
        <v>17</v>
      </c>
      <c r="W18" s="1">
        <f t="shared" si="2"/>
        <v>0.48328396106644095</v>
      </c>
    </row>
    <row r="19" spans="1:23" x14ac:dyDescent="0.2">
      <c r="A19" s="1">
        <v>18</v>
      </c>
      <c r="B19" s="1" t="s">
        <v>789</v>
      </c>
      <c r="C19" s="1" t="s">
        <v>790</v>
      </c>
      <c r="D19" s="1" t="s">
        <v>596</v>
      </c>
      <c r="E19" s="1" t="s">
        <v>599</v>
      </c>
      <c r="F19" s="1" t="s">
        <v>165</v>
      </c>
      <c r="G19" s="1">
        <f>IF(ISNA(VLOOKUP(F19,Monster!B:E,4,FALSE)),0,VLOOKUP(F19,Monster!B:E,4,FALSE))</f>
        <v>20</v>
      </c>
      <c r="I19" s="1" t="s">
        <v>789</v>
      </c>
      <c r="J19" s="1">
        <v>1682</v>
      </c>
      <c r="K19" s="1">
        <v>0</v>
      </c>
      <c r="L19" s="1">
        <v>605</v>
      </c>
      <c r="M19" s="1" t="s">
        <v>41</v>
      </c>
      <c r="N19" s="1">
        <f>((NOT(ISNA(VLOOKUP(M19,Monster!$H$2:$I$6,2,FALSE)))*L19)+J19)*(1+K19/100*0.25)</f>
        <v>2287</v>
      </c>
      <c r="O19" s="1" t="str">
        <f t="shared" si="0"/>
        <v>Fire - 2287</v>
      </c>
      <c r="P19" s="1" t="s">
        <v>602</v>
      </c>
      <c r="Q19" s="1">
        <v>1</v>
      </c>
      <c r="V19" s="1">
        <f t="shared" si="1"/>
        <v>18</v>
      </c>
      <c r="W19" s="1">
        <f t="shared" si="2"/>
        <v>0.26453869698294707</v>
      </c>
    </row>
    <row r="20" spans="1:23" x14ac:dyDescent="0.2">
      <c r="A20" s="1">
        <v>19</v>
      </c>
      <c r="B20" s="1" t="s">
        <v>793</v>
      </c>
      <c r="C20" s="1" t="s">
        <v>794</v>
      </c>
      <c r="D20" s="1" t="s">
        <v>596</v>
      </c>
      <c r="E20" s="1" t="s">
        <v>599</v>
      </c>
      <c r="F20" s="1" t="s">
        <v>171</v>
      </c>
      <c r="G20" s="1">
        <f>IF(ISNA(VLOOKUP(F20,Monster!B:E,4,FALSE)),0,VLOOKUP(F20,Monster!B:E,4,FALSE))</f>
        <v>21</v>
      </c>
      <c r="I20" s="1" t="s">
        <v>793</v>
      </c>
      <c r="J20" s="1">
        <v>1258</v>
      </c>
      <c r="K20" s="1">
        <v>30</v>
      </c>
      <c r="L20" s="1">
        <v>1082</v>
      </c>
      <c r="M20" s="1" t="s">
        <v>41</v>
      </c>
      <c r="N20" s="1">
        <f>((NOT(ISNA(VLOOKUP(M20,Monster!$H$2:$I$6,2,FALSE)))*L20)+J20)*(1+K20/100*0.25)</f>
        <v>2515.5</v>
      </c>
      <c r="O20" s="1" t="str">
        <f t="shared" si="0"/>
        <v>Fire - 2515.5</v>
      </c>
      <c r="P20" s="1" t="s">
        <v>175</v>
      </c>
      <c r="Q20" s="1">
        <v>2</v>
      </c>
      <c r="V20" s="1">
        <f t="shared" si="1"/>
        <v>19</v>
      </c>
      <c r="W20" s="1">
        <f t="shared" si="2"/>
        <v>0.46239316239316242</v>
      </c>
    </row>
    <row r="21" spans="1:23" x14ac:dyDescent="0.2">
      <c r="A21" s="1">
        <v>20</v>
      </c>
      <c r="B21" s="1" t="s">
        <v>796</v>
      </c>
      <c r="C21" s="1" t="s">
        <v>797</v>
      </c>
      <c r="D21" s="1" t="s">
        <v>596</v>
      </c>
      <c r="E21" s="1" t="s">
        <v>599</v>
      </c>
      <c r="F21" s="1" t="s">
        <v>176</v>
      </c>
      <c r="G21" s="1">
        <f>IF(ISNA(VLOOKUP(F21,Monster!B:E,4,FALSE)),0,VLOOKUP(F21,Monster!B:E,4,FALSE))</f>
        <v>22</v>
      </c>
      <c r="I21" s="1" t="s">
        <v>798</v>
      </c>
      <c r="J21" s="1">
        <v>1596</v>
      </c>
      <c r="K21" s="1">
        <v>0</v>
      </c>
      <c r="L21" s="1">
        <v>400</v>
      </c>
      <c r="M21" s="1" t="s">
        <v>95</v>
      </c>
      <c r="N21" s="1">
        <f>((NOT(ISNA(VLOOKUP(M21,Monster!$H$2:$I$6,2,FALSE)))*L21)+J21)*(1+K21/100*0.25)</f>
        <v>1596</v>
      </c>
      <c r="O21" s="1" t="str">
        <f t="shared" si="0"/>
        <v>Sleep - 1596</v>
      </c>
      <c r="P21" s="1" t="s">
        <v>213</v>
      </c>
      <c r="Q21" s="1">
        <v>2</v>
      </c>
      <c r="V21" s="1">
        <f t="shared" si="1"/>
        <v>20</v>
      </c>
      <c r="W21" s="1">
        <f t="shared" si="2"/>
        <v>0.20040080160320642</v>
      </c>
    </row>
    <row r="22" spans="1:23" x14ac:dyDescent="0.2">
      <c r="A22" s="1">
        <v>21</v>
      </c>
      <c r="B22" s="1" t="s">
        <v>802</v>
      </c>
      <c r="C22" s="1" t="s">
        <v>803</v>
      </c>
      <c r="D22" s="1" t="s">
        <v>596</v>
      </c>
      <c r="E22" s="1" t="s">
        <v>599</v>
      </c>
      <c r="F22" s="1" t="s">
        <v>190</v>
      </c>
      <c r="G22" s="1">
        <f>IF(ISNA(VLOOKUP(F22,Monster!B:E,4,FALSE)),0,VLOOKUP(F22,Monster!B:E,4,FALSE))</f>
        <v>24</v>
      </c>
      <c r="I22" s="1" t="s">
        <v>804</v>
      </c>
      <c r="J22" s="1">
        <v>1191</v>
      </c>
      <c r="K22" s="1">
        <v>20</v>
      </c>
      <c r="L22" s="1">
        <v>910</v>
      </c>
      <c r="M22" s="1" t="s">
        <v>66</v>
      </c>
      <c r="N22" s="1">
        <f>((NOT(ISNA(VLOOKUP(M22,Monster!$H$2:$I$6,2,FALSE)))*L22)+J22)*(1+K22/100*0.25)</f>
        <v>2206.0500000000002</v>
      </c>
      <c r="O22" s="1" t="str">
        <f t="shared" si="0"/>
        <v>Ice - 2206.05</v>
      </c>
      <c r="P22" s="1" t="s">
        <v>253</v>
      </c>
      <c r="Q22" s="1">
        <v>1</v>
      </c>
      <c r="V22" s="1">
        <f t="shared" si="1"/>
        <v>21</v>
      </c>
      <c r="W22" s="1">
        <f t="shared" si="2"/>
        <v>0.43312708234174202</v>
      </c>
    </row>
    <row r="23" spans="1:23" x14ac:dyDescent="0.2">
      <c r="A23" s="1">
        <v>22</v>
      </c>
      <c r="B23" s="1" t="s">
        <v>806</v>
      </c>
      <c r="C23" s="1" t="s">
        <v>807</v>
      </c>
      <c r="D23" s="1" t="s">
        <v>596</v>
      </c>
      <c r="E23" s="1" t="s">
        <v>599</v>
      </c>
      <c r="F23" s="1" t="s">
        <v>193</v>
      </c>
      <c r="G23" s="1">
        <f>IF(ISNA(VLOOKUP(F23,Monster!B:E,4,FALSE)),0,VLOOKUP(F23,Monster!B:E,4,FALSE))</f>
        <v>25</v>
      </c>
      <c r="I23" s="1" t="s">
        <v>809</v>
      </c>
      <c r="J23" s="1">
        <v>1221</v>
      </c>
      <c r="K23" s="1">
        <v>0</v>
      </c>
      <c r="L23" s="1">
        <v>1142</v>
      </c>
      <c r="M23" s="1" t="s">
        <v>58</v>
      </c>
      <c r="N23" s="1">
        <f>((NOT(ISNA(VLOOKUP(M23,Monster!$H$2:$I$6,2,FALSE)))*L23)+J23)*(1+K23/100*0.25)</f>
        <v>2363</v>
      </c>
      <c r="O23" s="1" t="str">
        <f t="shared" si="0"/>
        <v>Thunder - 2363</v>
      </c>
      <c r="P23" s="1" t="s">
        <v>38</v>
      </c>
      <c r="Q23" s="1">
        <v>1</v>
      </c>
      <c r="V23" s="1">
        <f t="shared" si="1"/>
        <v>22</v>
      </c>
      <c r="W23" s="1">
        <f t="shared" si="2"/>
        <v>0.48328396106644095</v>
      </c>
    </row>
    <row r="24" spans="1:23" x14ac:dyDescent="0.2">
      <c r="A24" s="1">
        <v>23</v>
      </c>
      <c r="B24" s="1" t="s">
        <v>820</v>
      </c>
      <c r="C24" s="1" t="s">
        <v>821</v>
      </c>
      <c r="D24" s="1" t="s">
        <v>596</v>
      </c>
      <c r="E24" s="1" t="s">
        <v>599</v>
      </c>
      <c r="F24" s="1" t="s">
        <v>216</v>
      </c>
      <c r="G24" s="1">
        <f>IF(ISNA(VLOOKUP(F24,Monster!B:E,4,FALSE)),0,VLOOKUP(F24,Monster!B:E,4,FALSE))</f>
        <v>29</v>
      </c>
      <c r="I24" s="1" t="s">
        <v>823</v>
      </c>
      <c r="J24" s="1">
        <v>1318</v>
      </c>
      <c r="K24" s="1">
        <v>-30</v>
      </c>
      <c r="L24" s="1">
        <v>1261</v>
      </c>
      <c r="M24" s="1" t="s">
        <v>71</v>
      </c>
      <c r="N24" s="1">
        <f>((NOT(ISNA(VLOOKUP(M24,Monster!$H$2:$I$6,2,FALSE)))*L24)+J24)*(1+K24/100*0.25)</f>
        <v>2385.5750000000003</v>
      </c>
      <c r="O24" s="1" t="str">
        <f t="shared" si="0"/>
        <v>Dragon - 2385.575</v>
      </c>
      <c r="P24" s="1" t="s">
        <v>583</v>
      </c>
      <c r="Q24" s="1">
        <v>1</v>
      </c>
      <c r="V24" s="1">
        <f t="shared" si="1"/>
        <v>23</v>
      </c>
      <c r="W24" s="1">
        <f t="shared" si="2"/>
        <v>0.4889492051182629</v>
      </c>
    </row>
    <row r="25" spans="1:23" x14ac:dyDescent="0.2">
      <c r="A25" s="1">
        <v>24</v>
      </c>
      <c r="B25" s="1" t="s">
        <v>828</v>
      </c>
      <c r="C25" s="1" t="s">
        <v>829</v>
      </c>
      <c r="D25" s="1" t="s">
        <v>596</v>
      </c>
      <c r="E25" s="1" t="s">
        <v>599</v>
      </c>
      <c r="F25" s="1" t="s">
        <v>229</v>
      </c>
      <c r="G25" s="1">
        <f>IF(ISNA(VLOOKUP(F25,Monster!B:E,4,FALSE)),0,VLOOKUP(F25,Monster!B:E,4,FALSE))</f>
        <v>31</v>
      </c>
      <c r="I25" s="1" t="s">
        <v>831</v>
      </c>
      <c r="J25" s="1">
        <v>1194</v>
      </c>
      <c r="K25" s="1">
        <v>20</v>
      </c>
      <c r="L25" s="1">
        <v>913</v>
      </c>
      <c r="M25" s="1" t="s">
        <v>58</v>
      </c>
      <c r="N25" s="1">
        <f>((NOT(ISNA(VLOOKUP(M25,Monster!$H$2:$I$6,2,FALSE)))*L25)+J25)*(1+K25/100*0.25)</f>
        <v>2212.35</v>
      </c>
      <c r="O25" s="1" t="str">
        <f t="shared" si="0"/>
        <v>Thunder - 2212.35</v>
      </c>
      <c r="P25" s="1" t="s">
        <v>470</v>
      </c>
      <c r="Q25" s="1">
        <v>1</v>
      </c>
      <c r="V25" s="1">
        <f t="shared" si="1"/>
        <v>24</v>
      </c>
      <c r="W25" s="1">
        <f t="shared" si="2"/>
        <v>0.43331751305173233</v>
      </c>
    </row>
    <row r="26" spans="1:23" x14ac:dyDescent="0.2">
      <c r="A26" s="1">
        <v>25</v>
      </c>
      <c r="B26" s="1" t="s">
        <v>833</v>
      </c>
      <c r="C26" s="1" t="s">
        <v>834</v>
      </c>
      <c r="D26" s="1" t="s">
        <v>596</v>
      </c>
      <c r="E26" s="1" t="s">
        <v>599</v>
      </c>
      <c r="F26" s="1" t="s">
        <v>234</v>
      </c>
      <c r="G26" s="1">
        <f>IF(ISNA(VLOOKUP(F26,Monster!B:E,4,FALSE)),0,VLOOKUP(F26,Monster!B:E,4,FALSE))</f>
        <v>32</v>
      </c>
      <c r="I26" s="1" t="s">
        <v>833</v>
      </c>
      <c r="J26" s="1">
        <v>1553</v>
      </c>
      <c r="K26" s="1">
        <v>0</v>
      </c>
      <c r="L26" s="1">
        <v>974</v>
      </c>
      <c r="M26" s="1" t="s">
        <v>66</v>
      </c>
      <c r="N26" s="1">
        <f>((NOT(ISNA(VLOOKUP(M26,Monster!$H$2:$I$6,2,FALSE)))*L26)+J26)*(1+K26/100*0.25)</f>
        <v>2527</v>
      </c>
      <c r="O26" s="1" t="str">
        <f t="shared" si="0"/>
        <v>Ice - 2527</v>
      </c>
      <c r="P26" s="1" t="s">
        <v>528</v>
      </c>
      <c r="Q26" s="1">
        <v>2</v>
      </c>
      <c r="R26" s="1" t="s">
        <v>372</v>
      </c>
      <c r="V26" s="1">
        <f t="shared" si="1"/>
        <v>25</v>
      </c>
      <c r="W26" s="1">
        <f t="shared" si="2"/>
        <v>0.38543727740403638</v>
      </c>
    </row>
    <row r="27" spans="1:23" x14ac:dyDescent="0.2">
      <c r="A27" s="1">
        <v>26</v>
      </c>
      <c r="B27" s="1" t="s">
        <v>838</v>
      </c>
      <c r="C27" s="1" t="s">
        <v>839</v>
      </c>
      <c r="D27" s="1" t="s">
        <v>596</v>
      </c>
      <c r="E27" s="1" t="s">
        <v>599</v>
      </c>
      <c r="F27" s="1" t="s">
        <v>239</v>
      </c>
      <c r="G27" s="1">
        <f>IF(ISNA(VLOOKUP(F27,Monster!B:E,4,FALSE)),0,VLOOKUP(F27,Monster!B:E,4,FALSE))</f>
        <v>33</v>
      </c>
      <c r="I27" s="1" t="s">
        <v>841</v>
      </c>
      <c r="J27" s="1">
        <v>1138</v>
      </c>
      <c r="K27" s="1">
        <v>20</v>
      </c>
      <c r="L27" s="1">
        <v>1156</v>
      </c>
      <c r="M27" s="1" t="s">
        <v>50</v>
      </c>
      <c r="N27" s="1">
        <f>((NOT(ISNA(VLOOKUP(M27,Monster!$H$2:$I$6,2,FALSE)))*L27)+J27)*(1+K27/100*0.25)</f>
        <v>2408.7000000000003</v>
      </c>
      <c r="O27" s="1" t="str">
        <f t="shared" si="0"/>
        <v>Water - 2408.7</v>
      </c>
      <c r="P27" s="1" t="s">
        <v>38</v>
      </c>
      <c r="Q27" s="1">
        <v>1</v>
      </c>
      <c r="V27" s="1">
        <f t="shared" si="1"/>
        <v>26</v>
      </c>
      <c r="W27" s="1">
        <f t="shared" si="2"/>
        <v>0.50392327811682647</v>
      </c>
    </row>
    <row r="28" spans="1:23" x14ac:dyDescent="0.2">
      <c r="A28" s="1">
        <v>27</v>
      </c>
      <c r="B28" s="1" t="s">
        <v>844</v>
      </c>
      <c r="C28" s="1" t="s">
        <v>845</v>
      </c>
      <c r="D28" s="1" t="s">
        <v>596</v>
      </c>
      <c r="E28" s="1" t="s">
        <v>599</v>
      </c>
      <c r="F28" s="1" t="s">
        <v>245</v>
      </c>
      <c r="G28" s="1">
        <f>IF(ISNA(VLOOKUP(F28,Monster!B:E,4,FALSE)),0,VLOOKUP(F28,Monster!B:E,4,FALSE))</f>
        <v>34</v>
      </c>
      <c r="I28" s="1" t="s">
        <v>844</v>
      </c>
      <c r="J28" s="1">
        <v>1684</v>
      </c>
      <c r="K28" s="1">
        <v>0</v>
      </c>
      <c r="L28" s="1">
        <v>502</v>
      </c>
      <c r="M28" s="1" t="s">
        <v>100</v>
      </c>
      <c r="N28" s="1">
        <f>((NOT(ISNA(VLOOKUP(M28,Monster!$H$2:$I$6,2,FALSE)))*L28)+J28)*(1+K28/100*0.25)</f>
        <v>1684</v>
      </c>
      <c r="O28" s="1" t="str">
        <f t="shared" si="0"/>
        <v>Blast - 1684</v>
      </c>
      <c r="P28" s="1" t="s">
        <v>364</v>
      </c>
      <c r="Q28" s="1">
        <v>2</v>
      </c>
      <c r="R28" s="1" t="s">
        <v>372</v>
      </c>
      <c r="V28" s="1">
        <f t="shared" si="1"/>
        <v>27</v>
      </c>
      <c r="W28" s="1">
        <f t="shared" si="2"/>
        <v>0.22964318389752975</v>
      </c>
    </row>
    <row r="29" spans="1:23" x14ac:dyDescent="0.2">
      <c r="A29" s="1">
        <v>28</v>
      </c>
      <c r="B29" s="1" t="s">
        <v>852</v>
      </c>
      <c r="C29" s="1" t="s">
        <v>853</v>
      </c>
      <c r="D29" s="1" t="s">
        <v>596</v>
      </c>
      <c r="E29" s="1" t="s">
        <v>599</v>
      </c>
      <c r="F29" s="1" t="s">
        <v>256</v>
      </c>
      <c r="G29" s="1">
        <f>IF(ISNA(VLOOKUP(F29,Monster!B:E,4,FALSE)),0,VLOOKUP(F29,Monster!B:E,4,FALSE))</f>
        <v>36</v>
      </c>
      <c r="I29" s="1" t="s">
        <v>854</v>
      </c>
      <c r="J29" s="1">
        <v>1516</v>
      </c>
      <c r="K29" s="1">
        <v>0</v>
      </c>
      <c r="L29" s="1">
        <v>496</v>
      </c>
      <c r="M29" s="1" t="s">
        <v>100</v>
      </c>
      <c r="N29" s="1">
        <f>((NOT(ISNA(VLOOKUP(M29,Monster!$H$2:$I$6,2,FALSE)))*L29)+J29)*(1+K29/100*0.25)</f>
        <v>1516</v>
      </c>
      <c r="O29" s="1" t="str">
        <f t="shared" si="0"/>
        <v>Blast - 1516</v>
      </c>
      <c r="P29" s="1" t="s">
        <v>463</v>
      </c>
      <c r="Q29" s="1">
        <v>1</v>
      </c>
      <c r="V29" s="1">
        <f t="shared" si="1"/>
        <v>28</v>
      </c>
      <c r="W29" s="1">
        <f t="shared" si="2"/>
        <v>0.24652087475149106</v>
      </c>
    </row>
    <row r="30" spans="1:23" x14ac:dyDescent="0.2">
      <c r="A30" s="1">
        <v>29</v>
      </c>
      <c r="B30" s="1" t="s">
        <v>856</v>
      </c>
      <c r="C30" s="1" t="s">
        <v>857</v>
      </c>
      <c r="D30" s="1" t="s">
        <v>596</v>
      </c>
      <c r="E30" s="1" t="s">
        <v>599</v>
      </c>
      <c r="F30" s="1" t="s">
        <v>263</v>
      </c>
      <c r="G30" s="1">
        <f>IF(ISNA(VLOOKUP(F30,Monster!B:E,4,FALSE)),0,VLOOKUP(F30,Monster!B:E,4,FALSE))</f>
        <v>37</v>
      </c>
      <c r="I30" s="1" t="s">
        <v>859</v>
      </c>
      <c r="J30" s="1">
        <v>1318</v>
      </c>
      <c r="K30" s="1">
        <v>-30</v>
      </c>
      <c r="L30" s="1">
        <v>1261</v>
      </c>
      <c r="M30" s="1" t="s">
        <v>58</v>
      </c>
      <c r="N30" s="1">
        <f>((NOT(ISNA(VLOOKUP(M30,Monster!$H$2:$I$6,2,FALSE)))*L30)+J30)*(1+K30/100*0.25)</f>
        <v>2385.5750000000003</v>
      </c>
      <c r="O30" s="1" t="str">
        <f t="shared" si="0"/>
        <v>Thunder - 2385.575</v>
      </c>
      <c r="P30" s="1" t="s">
        <v>463</v>
      </c>
      <c r="Q30" s="1">
        <v>1</v>
      </c>
      <c r="V30" s="1">
        <f t="shared" si="1"/>
        <v>29</v>
      </c>
      <c r="W30" s="1">
        <f t="shared" si="2"/>
        <v>0.4889492051182629</v>
      </c>
    </row>
    <row r="31" spans="1:23" x14ac:dyDescent="0.2">
      <c r="A31" s="1">
        <v>30</v>
      </c>
      <c r="B31" s="1" t="s">
        <v>861</v>
      </c>
      <c r="C31" s="1" t="s">
        <v>863</v>
      </c>
      <c r="D31" s="1" t="s">
        <v>596</v>
      </c>
      <c r="E31" s="1" t="s">
        <v>599</v>
      </c>
      <c r="F31" s="1" t="s">
        <v>268</v>
      </c>
      <c r="G31" s="1">
        <f>IF(ISNA(VLOOKUP(F31,Monster!B:E,4,FALSE)),0,VLOOKUP(F31,Monster!B:E,4,FALSE))</f>
        <v>38</v>
      </c>
      <c r="I31" s="1" t="s">
        <v>861</v>
      </c>
      <c r="J31" s="1">
        <v>1553</v>
      </c>
      <c r="K31" s="1">
        <v>0</v>
      </c>
      <c r="L31" s="1">
        <v>974</v>
      </c>
      <c r="M31" s="1" t="s">
        <v>71</v>
      </c>
      <c r="N31" s="1">
        <f>((NOT(ISNA(VLOOKUP(M31,Monster!$H$2:$I$6,2,FALSE)))*L31)+J31)*(1+K31/100*0.25)</f>
        <v>2527</v>
      </c>
      <c r="O31" s="1" t="str">
        <f t="shared" si="0"/>
        <v>Dragon - 2527</v>
      </c>
      <c r="P31" s="1" t="s">
        <v>463</v>
      </c>
      <c r="Q31" s="1">
        <v>2</v>
      </c>
      <c r="R31" s="1" t="s">
        <v>372</v>
      </c>
      <c r="V31" s="1">
        <f t="shared" si="1"/>
        <v>30</v>
      </c>
      <c r="W31" s="1">
        <f t="shared" si="2"/>
        <v>0.38543727740403638</v>
      </c>
    </row>
    <row r="32" spans="1:23" x14ac:dyDescent="0.2">
      <c r="A32" s="1">
        <v>31</v>
      </c>
      <c r="B32" s="1" t="s">
        <v>874</v>
      </c>
      <c r="C32" s="1" t="s">
        <v>875</v>
      </c>
      <c r="D32" s="1" t="s">
        <v>596</v>
      </c>
      <c r="E32" s="1" t="s">
        <v>599</v>
      </c>
      <c r="F32" s="1" t="s">
        <v>293</v>
      </c>
      <c r="G32" s="1">
        <f>IF(ISNA(VLOOKUP(F32,Monster!B:E,4,FALSE)),0,VLOOKUP(F32,Monster!B:E,4,FALSE))</f>
        <v>42</v>
      </c>
      <c r="I32" s="1" t="s">
        <v>877</v>
      </c>
      <c r="J32" s="1">
        <v>2198</v>
      </c>
      <c r="K32" s="1">
        <v>-40</v>
      </c>
      <c r="L32" s="1">
        <v>0</v>
      </c>
      <c r="M32" s="1" t="s">
        <v>107</v>
      </c>
      <c r="N32" s="1">
        <f>((NOT(ISNA(VLOOKUP(M32,Monster!$H$2:$I$6,2,FALSE)))*L32)+J32)*(1+K32/100*0.25)</f>
        <v>1978.2</v>
      </c>
      <c r="O32" s="1" t="str">
        <f t="shared" si="0"/>
        <v>No Element - 1978.2</v>
      </c>
      <c r="P32" s="1" t="s">
        <v>194</v>
      </c>
      <c r="Q32" s="1">
        <v>1</v>
      </c>
      <c r="V32" s="1">
        <f t="shared" si="1"/>
        <v>31</v>
      </c>
      <c r="W32" s="1">
        <f t="shared" si="2"/>
        <v>0</v>
      </c>
    </row>
    <row r="33" spans="1:37" x14ac:dyDescent="0.2">
      <c r="A33" s="1">
        <v>32</v>
      </c>
      <c r="B33" s="1" t="s">
        <v>879</v>
      </c>
      <c r="C33" s="1" t="s">
        <v>880</v>
      </c>
      <c r="D33" s="1" t="s">
        <v>596</v>
      </c>
      <c r="E33" s="1" t="s">
        <v>599</v>
      </c>
      <c r="F33" s="1" t="s">
        <v>298</v>
      </c>
      <c r="G33" s="1">
        <f>IF(ISNA(VLOOKUP(F33,Monster!B:E,4,FALSE)),0,VLOOKUP(F33,Monster!B:E,4,FALSE))</f>
        <v>43</v>
      </c>
      <c r="I33" s="1" t="s">
        <v>882</v>
      </c>
      <c r="J33" s="1">
        <v>2198</v>
      </c>
      <c r="K33" s="1">
        <v>-10</v>
      </c>
      <c r="L33" s="1">
        <v>0</v>
      </c>
      <c r="M33" s="1" t="s">
        <v>107</v>
      </c>
      <c r="N33" s="1">
        <f>((NOT(ISNA(VLOOKUP(M33,Monster!$H$2:$I$6,2,FALSE)))*L33)+J33)*(1+K33/100*0.25)</f>
        <v>2143.0499999999997</v>
      </c>
      <c r="O33" s="1" t="str">
        <f t="shared" si="0"/>
        <v>No Element - 2143.05</v>
      </c>
      <c r="P33" s="1" t="s">
        <v>28</v>
      </c>
      <c r="Q33" s="1">
        <v>5</v>
      </c>
      <c r="V33" s="1">
        <f t="shared" si="1"/>
        <v>32</v>
      </c>
      <c r="W33" s="1">
        <f t="shared" si="2"/>
        <v>0</v>
      </c>
    </row>
    <row r="34" spans="1:37" x14ac:dyDescent="0.2">
      <c r="A34" s="1">
        <v>33</v>
      </c>
      <c r="B34" s="1" t="s">
        <v>884</v>
      </c>
      <c r="C34" s="1" t="s">
        <v>885</v>
      </c>
      <c r="D34" s="1" t="s">
        <v>596</v>
      </c>
      <c r="E34" s="1" t="s">
        <v>599</v>
      </c>
      <c r="F34" s="1" t="s">
        <v>302</v>
      </c>
      <c r="G34" s="1">
        <f>IF(ISNA(VLOOKUP(F34,Monster!B:E,4,FALSE)),0,VLOOKUP(F34,Monster!B:E,4,FALSE))</f>
        <v>44</v>
      </c>
      <c r="I34" s="1" t="s">
        <v>884</v>
      </c>
      <c r="J34" s="1">
        <v>1205</v>
      </c>
      <c r="K34" s="1">
        <v>0</v>
      </c>
      <c r="L34" s="1">
        <v>1305</v>
      </c>
      <c r="M34" s="1" t="s">
        <v>58</v>
      </c>
      <c r="N34" s="1">
        <f>((NOT(ISNA(VLOOKUP(M34,Monster!$H$2:$I$6,2,FALSE)))*L34)+J34)*(1+K34/100*0.25)</f>
        <v>2510</v>
      </c>
      <c r="O34" s="1" t="str">
        <f t="shared" si="0"/>
        <v>Thunder - 2510</v>
      </c>
      <c r="P34" s="1" t="s">
        <v>400</v>
      </c>
      <c r="Q34" s="1">
        <v>1</v>
      </c>
      <c r="R34" s="1" t="s">
        <v>372</v>
      </c>
      <c r="V34" s="1">
        <f t="shared" si="1"/>
        <v>33</v>
      </c>
      <c r="W34" s="1">
        <f t="shared" si="2"/>
        <v>0.51992031872509958</v>
      </c>
    </row>
    <row r="35" spans="1:37" x14ac:dyDescent="0.2">
      <c r="A35" s="1">
        <v>34</v>
      </c>
      <c r="B35" s="1" t="s">
        <v>891</v>
      </c>
      <c r="C35" s="1" t="s">
        <v>892</v>
      </c>
      <c r="D35" s="1" t="s">
        <v>596</v>
      </c>
      <c r="E35" s="1" t="s">
        <v>599</v>
      </c>
      <c r="F35" s="1" t="s">
        <v>310</v>
      </c>
      <c r="G35" s="1">
        <f>IF(ISNA(VLOOKUP(F35,Monster!B:E,4,FALSE)),0,VLOOKUP(F35,Monster!B:E,4,FALSE))</f>
        <v>46</v>
      </c>
      <c r="I35" s="1" t="s">
        <v>894</v>
      </c>
      <c r="J35" s="1">
        <v>1834</v>
      </c>
      <c r="K35" s="1">
        <v>10</v>
      </c>
      <c r="L35" s="1">
        <v>0</v>
      </c>
      <c r="M35" s="1" t="s">
        <v>107</v>
      </c>
      <c r="N35" s="1">
        <f>((NOT(ISNA(VLOOKUP(M35,Monster!$H$2:$I$6,2,FALSE)))*L35)+J35)*(1+K35/100*0.25)</f>
        <v>1879.85</v>
      </c>
      <c r="O35" s="1" t="str">
        <f t="shared" si="0"/>
        <v>No Element - 1879.85</v>
      </c>
      <c r="P35" s="1" t="s">
        <v>407</v>
      </c>
      <c r="Q35" s="1">
        <v>1</v>
      </c>
      <c r="V35" s="1">
        <f t="shared" si="1"/>
        <v>34</v>
      </c>
      <c r="W35" s="1">
        <f t="shared" si="2"/>
        <v>0</v>
      </c>
    </row>
    <row r="36" spans="1:37" x14ac:dyDescent="0.2">
      <c r="A36" s="1">
        <v>35</v>
      </c>
      <c r="B36" s="1" t="s">
        <v>899</v>
      </c>
      <c r="C36" s="1" t="s">
        <v>900</v>
      </c>
      <c r="D36" s="1" t="s">
        <v>596</v>
      </c>
      <c r="E36" s="1" t="s">
        <v>599</v>
      </c>
      <c r="F36" s="1" t="s">
        <v>320</v>
      </c>
      <c r="G36" s="1">
        <f>IF(ISNA(VLOOKUP(F36,Monster!B:E,4,FALSE)),0,VLOOKUP(F36,Monster!B:E,4,FALSE))</f>
        <v>48</v>
      </c>
      <c r="I36" s="1" t="s">
        <v>899</v>
      </c>
      <c r="J36" s="1">
        <v>1318</v>
      </c>
      <c r="K36" s="1">
        <v>-30</v>
      </c>
      <c r="L36" s="1">
        <v>1261</v>
      </c>
      <c r="M36" s="1" t="s">
        <v>41</v>
      </c>
      <c r="N36" s="1">
        <f>((NOT(ISNA(VLOOKUP(M36,Monster!$H$2:$I$6,2,FALSE)))*L36)+J36)*(1+K36/100*0.25)</f>
        <v>2385.5750000000003</v>
      </c>
      <c r="O36" s="1" t="str">
        <f t="shared" si="0"/>
        <v>Fire - 2385.575</v>
      </c>
      <c r="P36" s="1" t="s">
        <v>194</v>
      </c>
      <c r="Q36" s="1">
        <v>1</v>
      </c>
      <c r="V36" s="1">
        <f t="shared" si="1"/>
        <v>35</v>
      </c>
      <c r="W36" s="1">
        <f t="shared" si="2"/>
        <v>0.4889492051182629</v>
      </c>
    </row>
    <row r="37" spans="1:37" x14ac:dyDescent="0.2">
      <c r="A37" s="1">
        <v>36</v>
      </c>
      <c r="B37" s="1" t="s">
        <v>907</v>
      </c>
      <c r="C37" s="1" t="s">
        <v>908</v>
      </c>
      <c r="D37" s="1" t="s">
        <v>596</v>
      </c>
      <c r="E37" s="1" t="s">
        <v>599</v>
      </c>
      <c r="F37" s="1" t="s">
        <v>334</v>
      </c>
      <c r="G37" s="1">
        <f>IF(ISNA(VLOOKUP(F37,Monster!B:E,4,FALSE)),0,VLOOKUP(F37,Monster!B:E,4,FALSE))</f>
        <v>50</v>
      </c>
      <c r="I37" s="1" t="s">
        <v>910</v>
      </c>
      <c r="J37" s="1">
        <v>1647</v>
      </c>
      <c r="K37" s="1">
        <v>10</v>
      </c>
      <c r="L37" s="1">
        <v>307</v>
      </c>
      <c r="M37" s="1" t="s">
        <v>79</v>
      </c>
      <c r="N37" s="1">
        <f>((NOT(ISNA(VLOOKUP(M37,Monster!$H$2:$I$6,2,FALSE)))*L37)+J37)*(1+K37/100*0.25)</f>
        <v>1688.175</v>
      </c>
      <c r="O37" s="1" t="str">
        <f t="shared" si="0"/>
        <v>Poison - 1688.175</v>
      </c>
      <c r="P37" s="1" t="s">
        <v>412</v>
      </c>
      <c r="Q37" s="1">
        <v>1</v>
      </c>
      <c r="V37" s="1">
        <f t="shared" si="1"/>
        <v>36</v>
      </c>
      <c r="W37" s="1">
        <f t="shared" si="2"/>
        <v>0.1571136131013306</v>
      </c>
    </row>
    <row r="38" spans="1:37" x14ac:dyDescent="0.2">
      <c r="A38" s="1">
        <v>37</v>
      </c>
      <c r="B38" s="1" t="s">
        <v>912</v>
      </c>
      <c r="C38" s="1" t="s">
        <v>913</v>
      </c>
      <c r="D38" s="1" t="s">
        <v>596</v>
      </c>
      <c r="E38" s="1" t="s">
        <v>599</v>
      </c>
      <c r="F38" s="1" t="s">
        <v>339</v>
      </c>
      <c r="G38" s="1">
        <f>IF(ISNA(VLOOKUP(F38,Monster!B:E,4,FALSE)),0,VLOOKUP(F38,Monster!B:E,4,FALSE))</f>
        <v>51</v>
      </c>
      <c r="I38" s="1" t="s">
        <v>915</v>
      </c>
      <c r="J38" s="1">
        <v>1764</v>
      </c>
      <c r="K38" s="1">
        <v>0</v>
      </c>
      <c r="L38" s="1">
        <v>0</v>
      </c>
      <c r="M38" s="1" t="s">
        <v>107</v>
      </c>
      <c r="N38" s="1">
        <f>((NOT(ISNA(VLOOKUP(M38,Monster!$H$2:$I$6,2,FALSE)))*L38)+J38)*(1+K38/100*0.25)</f>
        <v>1764</v>
      </c>
      <c r="O38" s="1" t="str">
        <f t="shared" si="0"/>
        <v>No Element - 1764</v>
      </c>
      <c r="P38" s="1" t="s">
        <v>560</v>
      </c>
      <c r="Q38" s="1">
        <v>2</v>
      </c>
      <c r="V38" s="1">
        <f t="shared" si="1"/>
        <v>37</v>
      </c>
      <c r="W38" s="1">
        <f t="shared" si="2"/>
        <v>0</v>
      </c>
    </row>
    <row r="39" spans="1:37" x14ac:dyDescent="0.2">
      <c r="A39" s="1">
        <v>38</v>
      </c>
      <c r="B39" s="1" t="s">
        <v>921</v>
      </c>
      <c r="C39" s="1" t="s">
        <v>922</v>
      </c>
      <c r="D39" s="1" t="s">
        <v>596</v>
      </c>
      <c r="E39" s="1" t="s">
        <v>599</v>
      </c>
      <c r="F39" s="1" t="s">
        <v>349</v>
      </c>
      <c r="G39" s="1">
        <f>IF(ISNA(VLOOKUP(F39,Monster!B:E,4,FALSE)),0,VLOOKUP(F39,Monster!B:E,4,FALSE))</f>
        <v>53</v>
      </c>
      <c r="I39" s="1" t="s">
        <v>921</v>
      </c>
      <c r="J39" s="1">
        <v>1738</v>
      </c>
      <c r="K39" s="1">
        <v>40</v>
      </c>
      <c r="L39" s="1">
        <v>0</v>
      </c>
      <c r="M39" s="1" t="s">
        <v>107</v>
      </c>
      <c r="N39" s="1">
        <f>((NOT(ISNA(VLOOKUP(M39,Monster!$H$2:$I$6,2,FALSE)))*L39)+J39)*(1+K39/100*0.25)</f>
        <v>1911.8000000000002</v>
      </c>
      <c r="O39" s="1" t="str">
        <f t="shared" si="0"/>
        <v>No Element - 1911.8</v>
      </c>
      <c r="P39" s="1" t="s">
        <v>535</v>
      </c>
      <c r="Q39" s="1">
        <v>2</v>
      </c>
      <c r="V39" s="1">
        <f t="shared" si="1"/>
        <v>38</v>
      </c>
      <c r="W39" s="1">
        <f t="shared" si="2"/>
        <v>0</v>
      </c>
    </row>
    <row r="40" spans="1:37" x14ac:dyDescent="0.2">
      <c r="A40" s="1">
        <v>39</v>
      </c>
      <c r="B40" s="1" t="s">
        <v>925</v>
      </c>
      <c r="C40" s="1" t="s">
        <v>926</v>
      </c>
      <c r="D40" s="1" t="s">
        <v>596</v>
      </c>
      <c r="E40" s="1" t="s">
        <v>599</v>
      </c>
      <c r="F40" s="1" t="s">
        <v>354</v>
      </c>
      <c r="G40" s="1">
        <f>IF(ISNA(VLOOKUP(F40,Monster!B:E,4,FALSE)),0,VLOOKUP(F40,Monster!B:E,4,FALSE))</f>
        <v>54</v>
      </c>
      <c r="I40" s="1" t="s">
        <v>925</v>
      </c>
      <c r="J40" s="1">
        <v>1328</v>
      </c>
      <c r="K40" s="1">
        <v>20</v>
      </c>
      <c r="L40" s="1">
        <v>1074</v>
      </c>
      <c r="M40" s="1" t="s">
        <v>50</v>
      </c>
      <c r="N40" s="1">
        <f>((NOT(ISNA(VLOOKUP(M40,Monster!$H$2:$I$6,2,FALSE)))*L40)+J40)*(1+K40/100*0.25)</f>
        <v>2522.1</v>
      </c>
      <c r="O40" s="1" t="str">
        <f t="shared" si="0"/>
        <v>Water - 2522.1</v>
      </c>
      <c r="P40" s="1" t="s">
        <v>677</v>
      </c>
      <c r="Q40" s="1">
        <v>1</v>
      </c>
      <c r="R40" s="1" t="s">
        <v>372</v>
      </c>
      <c r="V40" s="1">
        <f t="shared" si="1"/>
        <v>39</v>
      </c>
      <c r="W40" s="1">
        <f t="shared" si="2"/>
        <v>0.44712739383846795</v>
      </c>
    </row>
    <row r="41" spans="1:37" x14ac:dyDescent="0.2">
      <c r="A41" s="1">
        <v>40</v>
      </c>
      <c r="B41" s="1" t="s">
        <v>929</v>
      </c>
      <c r="C41" s="1" t="s">
        <v>930</v>
      </c>
      <c r="D41" s="1" t="s">
        <v>596</v>
      </c>
      <c r="E41" s="1" t="s">
        <v>599</v>
      </c>
      <c r="F41" s="1" t="s">
        <v>360</v>
      </c>
      <c r="G41" s="1">
        <f>IF(ISNA(VLOOKUP(F41,Monster!B:E,4,FALSE)),0,VLOOKUP(F41,Monster!B:E,4,FALSE))</f>
        <v>55</v>
      </c>
      <c r="I41" s="1" t="s">
        <v>929</v>
      </c>
      <c r="J41" s="1">
        <v>1979</v>
      </c>
      <c r="K41" s="1">
        <v>0</v>
      </c>
      <c r="L41" s="1">
        <v>0</v>
      </c>
      <c r="M41" s="1" t="s">
        <v>107</v>
      </c>
      <c r="N41" s="1">
        <f>((NOT(ISNA(VLOOKUP(M41,Monster!$H$2:$I$6,2,FALSE)))*L41)+J41)*(1+K41/100*0.25)</f>
        <v>1979</v>
      </c>
      <c r="O41" s="1" t="str">
        <f t="shared" si="0"/>
        <v>No Element - 1979</v>
      </c>
      <c r="P41" s="1" t="s">
        <v>515</v>
      </c>
      <c r="Q41" s="1">
        <v>1</v>
      </c>
      <c r="V41" s="1">
        <f t="shared" si="1"/>
        <v>40</v>
      </c>
      <c r="W41" s="1">
        <f t="shared" si="2"/>
        <v>0</v>
      </c>
    </row>
    <row r="42" spans="1:37" x14ac:dyDescent="0.2">
      <c r="A42" s="1">
        <v>41</v>
      </c>
      <c r="B42" s="1" t="s">
        <v>933</v>
      </c>
      <c r="C42" s="1" t="s">
        <v>934</v>
      </c>
      <c r="D42" s="1" t="s">
        <v>596</v>
      </c>
      <c r="E42" s="1" t="s">
        <v>599</v>
      </c>
      <c r="F42" s="1" t="s">
        <v>365</v>
      </c>
      <c r="G42" s="1">
        <f>IF(ISNA(VLOOKUP(F42,Monster!B:E,4,FALSE)),0,VLOOKUP(F42,Monster!B:E,4,FALSE))</f>
        <v>56</v>
      </c>
      <c r="I42" s="1" t="s">
        <v>933</v>
      </c>
      <c r="J42" s="1">
        <v>1020</v>
      </c>
      <c r="K42" s="1">
        <v>0</v>
      </c>
      <c r="L42" s="1">
        <v>1173</v>
      </c>
      <c r="M42" s="1" t="s">
        <v>66</v>
      </c>
      <c r="N42" s="1">
        <f>((NOT(ISNA(VLOOKUP(M42,Monster!$H$2:$I$6,2,FALSE)))*L42)+J42)*(1+K42/100*0.25)</f>
        <v>2193</v>
      </c>
      <c r="O42" s="1" t="str">
        <f t="shared" si="0"/>
        <v>Ice - 2193</v>
      </c>
      <c r="P42" s="1" t="s">
        <v>659</v>
      </c>
      <c r="Q42" s="1">
        <v>1</v>
      </c>
      <c r="V42" s="1">
        <f t="shared" si="1"/>
        <v>41</v>
      </c>
      <c r="W42" s="1">
        <f t="shared" si="2"/>
        <v>0.53488372093023251</v>
      </c>
    </row>
    <row r="43" spans="1:37" x14ac:dyDescent="0.2">
      <c r="A43" s="1">
        <v>42</v>
      </c>
      <c r="B43" s="1" t="s">
        <v>938</v>
      </c>
      <c r="C43" s="1" t="s">
        <v>939</v>
      </c>
      <c r="D43" s="1" t="s">
        <v>596</v>
      </c>
      <c r="E43" s="1" t="s">
        <v>599</v>
      </c>
      <c r="F43" s="1" t="s">
        <v>370</v>
      </c>
      <c r="G43" s="1">
        <f>IF(ISNA(VLOOKUP(F43,Monster!B:E,4,FALSE)),0,VLOOKUP(F43,Monster!B:E,4,FALSE))</f>
        <v>57</v>
      </c>
      <c r="I43" s="1" t="s">
        <v>938</v>
      </c>
      <c r="J43" s="1">
        <v>1197</v>
      </c>
      <c r="K43" s="1">
        <v>20</v>
      </c>
      <c r="L43" s="1">
        <v>1154</v>
      </c>
      <c r="M43" s="1" t="s">
        <v>41</v>
      </c>
      <c r="N43" s="1">
        <f>((NOT(ISNA(VLOOKUP(M43,Monster!$H$2:$I$6,2,FALSE)))*L43)+J43)*(1+K43/100*0.25)</f>
        <v>2468.5500000000002</v>
      </c>
      <c r="O43" s="1" t="str">
        <f t="shared" si="0"/>
        <v>Fire - 2468.55</v>
      </c>
      <c r="P43" s="1" t="s">
        <v>615</v>
      </c>
      <c r="Q43" s="1">
        <v>2</v>
      </c>
      <c r="V43" s="1">
        <f t="shared" si="1"/>
        <v>42</v>
      </c>
      <c r="W43" s="1">
        <f t="shared" si="2"/>
        <v>0.49085495533815399</v>
      </c>
    </row>
    <row r="44" spans="1:37" x14ac:dyDescent="0.2">
      <c r="A44" s="1">
        <v>43</v>
      </c>
      <c r="B44" s="3" t="s">
        <v>942</v>
      </c>
      <c r="C44" s="3" t="s">
        <v>943</v>
      </c>
      <c r="D44" s="3" t="s">
        <v>596</v>
      </c>
      <c r="E44" s="1" t="s">
        <v>599</v>
      </c>
      <c r="F44" s="3" t="s">
        <v>374</v>
      </c>
      <c r="G44" s="4">
        <f>IF(ISNA(VLOOKUP(F44,Monster!B:E,4,FALSE)),0,VLOOKUP(F44,Monster!B:E,4,FALSE))</f>
        <v>58</v>
      </c>
      <c r="H44" s="3"/>
      <c r="I44" s="3" t="s">
        <v>942</v>
      </c>
      <c r="J44" s="4">
        <v>1205</v>
      </c>
      <c r="K44" s="4">
        <v>0</v>
      </c>
      <c r="L44" s="4">
        <v>1305</v>
      </c>
      <c r="M44" s="3" t="s">
        <v>71</v>
      </c>
      <c r="N44" s="4">
        <f>((NOT(ISNA(VLOOKUP(M44,Monster!$H$2:$I$6,2,FALSE)))*L44)+J44)*(1+K44/100*0.25)</f>
        <v>2510</v>
      </c>
      <c r="O44" s="1" t="str">
        <f t="shared" si="0"/>
        <v>Dragon - 2510</v>
      </c>
      <c r="P44" s="3" t="s">
        <v>689</v>
      </c>
      <c r="Q44" s="4">
        <v>1</v>
      </c>
      <c r="R44" s="3" t="s">
        <v>372</v>
      </c>
      <c r="S44" s="3"/>
      <c r="T44" s="3"/>
      <c r="U44" s="3"/>
      <c r="V44" s="1">
        <f t="shared" si="1"/>
        <v>43</v>
      </c>
      <c r="W44" s="1">
        <f t="shared" si="2"/>
        <v>0.51992031872509958</v>
      </c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</row>
    <row r="45" spans="1:37" x14ac:dyDescent="0.2">
      <c r="A45" s="1">
        <v>44</v>
      </c>
      <c r="B45" s="1" t="s">
        <v>947</v>
      </c>
      <c r="C45" s="1" t="s">
        <v>949</v>
      </c>
      <c r="D45" s="1" t="s">
        <v>596</v>
      </c>
      <c r="E45" s="1" t="s">
        <v>599</v>
      </c>
      <c r="F45" s="1"/>
      <c r="G45" s="1">
        <f>IF(ISNA(VLOOKUP(F45,Monster!B:E,4,FALSE)),0,VLOOKUP(F45,Monster!B:E,4,FALSE))</f>
        <v>0</v>
      </c>
      <c r="I45" s="1" t="s">
        <v>950</v>
      </c>
      <c r="J45" s="1">
        <v>1596</v>
      </c>
      <c r="K45" s="1">
        <v>0</v>
      </c>
      <c r="L45" s="1">
        <v>0</v>
      </c>
      <c r="M45" s="1" t="s">
        <v>107</v>
      </c>
      <c r="N45" s="1">
        <f>((NOT(ISNA(VLOOKUP(M45,Monster!$H$2:$I$6,2,FALSE)))*L45)+J45)*(1+K45/100*0.25)</f>
        <v>1596</v>
      </c>
      <c r="O45" s="1" t="str">
        <f t="shared" si="0"/>
        <v>No Element - 1596</v>
      </c>
      <c r="P45" s="1" t="s">
        <v>158</v>
      </c>
      <c r="Q45" s="1">
        <v>1</v>
      </c>
      <c r="V45" s="1">
        <f t="shared" si="1"/>
        <v>44</v>
      </c>
      <c r="W45" s="1">
        <f t="shared" si="2"/>
        <v>0</v>
      </c>
    </row>
    <row r="46" spans="1:37" x14ac:dyDescent="0.2">
      <c r="A46" s="1">
        <v>45</v>
      </c>
      <c r="B46" s="1" t="s">
        <v>953</v>
      </c>
      <c r="C46" s="1" t="s">
        <v>954</v>
      </c>
      <c r="D46" s="1" t="s">
        <v>596</v>
      </c>
      <c r="E46" s="1" t="s">
        <v>599</v>
      </c>
      <c r="F46" s="1"/>
      <c r="G46" s="1">
        <f>IF(ISNA(VLOOKUP(F46,Monster!B:E,4,FALSE)),0,VLOOKUP(F46,Monster!B:E,4,FALSE))</f>
        <v>0</v>
      </c>
      <c r="I46" s="1" t="s">
        <v>953</v>
      </c>
      <c r="J46" s="1">
        <v>1821</v>
      </c>
      <c r="K46" s="1">
        <v>30</v>
      </c>
      <c r="L46" s="1">
        <v>0</v>
      </c>
      <c r="M46" s="1" t="s">
        <v>107</v>
      </c>
      <c r="N46" s="1">
        <f>((NOT(ISNA(VLOOKUP(M46,Monster!$H$2:$I$6,2,FALSE)))*L46)+J46)*(1+K46/100*0.25)</f>
        <v>1957.5749999999998</v>
      </c>
      <c r="O46" s="1" t="str">
        <f t="shared" si="0"/>
        <v>No Element - 1957.575</v>
      </c>
      <c r="P46" s="1" t="s">
        <v>421</v>
      </c>
      <c r="Q46" s="1">
        <v>1</v>
      </c>
      <c r="V46" s="1">
        <f t="shared" si="1"/>
        <v>45</v>
      </c>
      <c r="W46" s="1">
        <f t="shared" si="2"/>
        <v>0</v>
      </c>
    </row>
    <row r="47" spans="1:37" x14ac:dyDescent="0.2">
      <c r="A47" s="1">
        <v>46</v>
      </c>
      <c r="B47" s="1" t="s">
        <v>957</v>
      </c>
      <c r="C47" s="1" t="s">
        <v>958</v>
      </c>
      <c r="D47" s="1" t="s">
        <v>596</v>
      </c>
      <c r="E47" s="1" t="s">
        <v>599</v>
      </c>
      <c r="F47" s="1"/>
      <c r="G47" s="1">
        <f>IF(ISNA(VLOOKUP(F47,Monster!B:E,4,FALSE)),0,VLOOKUP(F47,Monster!B:E,4,FALSE))</f>
        <v>0</v>
      </c>
      <c r="I47" s="1" t="s">
        <v>959</v>
      </c>
      <c r="J47" s="1">
        <v>1878</v>
      </c>
      <c r="K47" s="1">
        <v>0</v>
      </c>
      <c r="L47" s="1">
        <v>0</v>
      </c>
      <c r="M47" s="1" t="s">
        <v>107</v>
      </c>
      <c r="N47" s="1">
        <f>((NOT(ISNA(VLOOKUP(M47,Monster!$H$2:$I$6,2,FALSE)))*L47)+J47)*(1+K47/100*0.25)</f>
        <v>1878</v>
      </c>
      <c r="O47" s="1" t="str">
        <f t="shared" si="0"/>
        <v>No Element - 1878</v>
      </c>
      <c r="P47" s="1" t="s">
        <v>412</v>
      </c>
      <c r="Q47" s="1">
        <v>1</v>
      </c>
      <c r="V47" s="1">
        <f t="shared" si="1"/>
        <v>46</v>
      </c>
      <c r="W47" s="1">
        <f t="shared" si="2"/>
        <v>0</v>
      </c>
    </row>
    <row r="48" spans="1:37" x14ac:dyDescent="0.2">
      <c r="A48" s="1">
        <v>47</v>
      </c>
      <c r="B48" s="1" t="s">
        <v>961</v>
      </c>
      <c r="C48" s="1" t="s">
        <v>34</v>
      </c>
      <c r="D48" s="1" t="s">
        <v>596</v>
      </c>
      <c r="E48" s="1" t="s">
        <v>963</v>
      </c>
      <c r="F48" s="1"/>
      <c r="G48" s="1">
        <f>IF(ISNA(VLOOKUP(F48,Monster!B:E,4,FALSE)),0,VLOOKUP(F48,Monster!B:E,4,FALSE))</f>
        <v>0</v>
      </c>
      <c r="I48" s="1" t="s">
        <v>964</v>
      </c>
      <c r="J48" s="1">
        <v>1596</v>
      </c>
      <c r="K48" s="1">
        <v>0</v>
      </c>
      <c r="L48" s="1">
        <v>0</v>
      </c>
      <c r="M48" s="1" t="s">
        <v>107</v>
      </c>
      <c r="N48" s="1">
        <f>((NOT(ISNA(VLOOKUP(M48,Monster!$H$2:$I$6,2,FALSE)))*L48)+J48)*(1+K48/100*0.25)</f>
        <v>1596</v>
      </c>
      <c r="O48" s="1" t="str">
        <f t="shared" si="0"/>
        <v>No Element - 1596</v>
      </c>
      <c r="P48" s="1" t="s">
        <v>410</v>
      </c>
      <c r="Q48" s="1">
        <v>2</v>
      </c>
      <c r="V48" s="1">
        <f t="shared" si="1"/>
        <v>47</v>
      </c>
      <c r="W48" s="1">
        <f t="shared" si="2"/>
        <v>0</v>
      </c>
    </row>
    <row r="49" spans="1:23" x14ac:dyDescent="0.2">
      <c r="A49" s="1">
        <v>48</v>
      </c>
      <c r="B49" s="1" t="s">
        <v>968</v>
      </c>
      <c r="C49" s="1" t="s">
        <v>439</v>
      </c>
      <c r="D49" s="1" t="s">
        <v>596</v>
      </c>
      <c r="E49" s="1" t="s">
        <v>963</v>
      </c>
      <c r="F49" s="1" t="s">
        <v>47</v>
      </c>
      <c r="G49" s="1">
        <f>IF(ISNA(VLOOKUP(F49,Monster!B:E,4,FALSE)),0,VLOOKUP(F49,Monster!B:E,4,FALSE))</f>
        <v>2</v>
      </c>
      <c r="I49" s="1" t="s">
        <v>970</v>
      </c>
      <c r="J49" s="1">
        <v>1596</v>
      </c>
      <c r="K49" s="1">
        <v>30</v>
      </c>
      <c r="L49" s="1">
        <v>0</v>
      </c>
      <c r="M49" s="1" t="s">
        <v>107</v>
      </c>
      <c r="N49" s="1">
        <f>((NOT(ISNA(VLOOKUP(M49,Monster!$H$2:$I$6,2,FALSE)))*L49)+J49)*(1+K49/100*0.25)</f>
        <v>1715.6999999999998</v>
      </c>
      <c r="O49" s="1" t="str">
        <f t="shared" si="0"/>
        <v>No Element - 1715.7</v>
      </c>
      <c r="P49" s="1" t="s">
        <v>319</v>
      </c>
      <c r="Q49" s="1">
        <v>2</v>
      </c>
      <c r="V49" s="1">
        <f t="shared" si="1"/>
        <v>48</v>
      </c>
      <c r="W49" s="1">
        <f t="shared" si="2"/>
        <v>0</v>
      </c>
    </row>
    <row r="50" spans="1:23" x14ac:dyDescent="0.2">
      <c r="A50" s="1">
        <v>49</v>
      </c>
      <c r="B50" s="1" t="s">
        <v>981</v>
      </c>
      <c r="C50" s="1" t="s">
        <v>729</v>
      </c>
      <c r="D50" s="1" t="s">
        <v>596</v>
      </c>
      <c r="E50" s="1" t="s">
        <v>963</v>
      </c>
      <c r="F50" s="1" t="s">
        <v>81</v>
      </c>
      <c r="G50" s="1">
        <f>IF(ISNA(VLOOKUP(F50,Monster!B:E,4,FALSE)),0,VLOOKUP(F50,Monster!B:E,4,FALSE))</f>
        <v>7</v>
      </c>
      <c r="I50" s="1" t="s">
        <v>982</v>
      </c>
      <c r="J50" s="1">
        <v>1293</v>
      </c>
      <c r="K50" s="1">
        <v>0</v>
      </c>
      <c r="L50" s="1">
        <v>910</v>
      </c>
      <c r="M50" s="1" t="s">
        <v>58</v>
      </c>
      <c r="N50" s="1">
        <f>((NOT(ISNA(VLOOKUP(M50,Monster!$H$2:$I$6,2,FALSE)))*L50)+J50)*(1+K50/100*0.25)</f>
        <v>2203</v>
      </c>
      <c r="O50" s="1" t="str">
        <f t="shared" si="0"/>
        <v>Thunder - 2203</v>
      </c>
      <c r="P50" s="1" t="s">
        <v>253</v>
      </c>
      <c r="Q50" s="1">
        <v>1</v>
      </c>
      <c r="V50" s="1">
        <f t="shared" si="1"/>
        <v>49</v>
      </c>
      <c r="W50" s="1">
        <f t="shared" si="2"/>
        <v>0.41307308216068994</v>
      </c>
    </row>
    <row r="51" spans="1:23" x14ac:dyDescent="0.2">
      <c r="A51" s="1">
        <v>50</v>
      </c>
      <c r="B51" s="1" t="s">
        <v>993</v>
      </c>
      <c r="C51" s="1" t="s">
        <v>745</v>
      </c>
      <c r="D51" s="1" t="s">
        <v>596</v>
      </c>
      <c r="E51" s="1" t="s">
        <v>963</v>
      </c>
      <c r="F51" s="1" t="s">
        <v>102</v>
      </c>
      <c r="G51" s="1">
        <f>IF(ISNA(VLOOKUP(F51,Monster!B:E,4,FALSE)),0,VLOOKUP(F51,Monster!B:E,4,FALSE))</f>
        <v>10</v>
      </c>
      <c r="I51" s="1" t="s">
        <v>995</v>
      </c>
      <c r="J51" s="1">
        <v>1293</v>
      </c>
      <c r="K51" s="1">
        <v>0</v>
      </c>
      <c r="L51" s="1">
        <v>910</v>
      </c>
      <c r="M51" s="1" t="s">
        <v>50</v>
      </c>
      <c r="N51" s="1">
        <f>((NOT(ISNA(VLOOKUP(M51,Monster!$H$2:$I$6,2,FALSE)))*L51)+J51)*(1+K51/100*0.25)</f>
        <v>2203</v>
      </c>
      <c r="O51" s="1" t="str">
        <f t="shared" si="0"/>
        <v>Water - 2203</v>
      </c>
      <c r="P51" s="1" t="s">
        <v>394</v>
      </c>
      <c r="Q51" s="1">
        <v>1</v>
      </c>
      <c r="V51" s="1">
        <f t="shared" si="1"/>
        <v>50</v>
      </c>
      <c r="W51" s="1">
        <f t="shared" si="2"/>
        <v>0.41307308216068994</v>
      </c>
    </row>
    <row r="52" spans="1:23" x14ac:dyDescent="0.2">
      <c r="A52" s="1">
        <v>51</v>
      </c>
      <c r="B52" s="1" t="s">
        <v>997</v>
      </c>
      <c r="C52" s="1" t="s">
        <v>750</v>
      </c>
      <c r="D52" s="1" t="s">
        <v>596</v>
      </c>
      <c r="E52" s="1" t="s">
        <v>963</v>
      </c>
      <c r="F52" s="1" t="s">
        <v>109</v>
      </c>
      <c r="G52" s="1">
        <f>IF(ISNA(VLOOKUP(F52,Monster!B:E,4,FALSE)),0,VLOOKUP(F52,Monster!B:E,4,FALSE))</f>
        <v>11</v>
      </c>
      <c r="I52" s="1" t="s">
        <v>999</v>
      </c>
      <c r="J52" s="1">
        <v>1293</v>
      </c>
      <c r="K52" s="1">
        <v>0</v>
      </c>
      <c r="L52" s="1">
        <v>910</v>
      </c>
      <c r="M52" s="1" t="s">
        <v>41</v>
      </c>
      <c r="N52" s="1">
        <f>((NOT(ISNA(VLOOKUP(M52,Monster!$H$2:$I$6,2,FALSE)))*L52)+J52)*(1+K52/100*0.25)</f>
        <v>2203</v>
      </c>
      <c r="O52" s="1" t="str">
        <f t="shared" si="0"/>
        <v>Fire - 2203</v>
      </c>
      <c r="P52" s="1" t="s">
        <v>543</v>
      </c>
      <c r="Q52" s="1">
        <v>1</v>
      </c>
      <c r="V52" s="1">
        <f t="shared" si="1"/>
        <v>51</v>
      </c>
      <c r="W52" s="1">
        <f t="shared" si="2"/>
        <v>0.41307308216068994</v>
      </c>
    </row>
    <row r="53" spans="1:23" x14ac:dyDescent="0.2">
      <c r="A53" s="1">
        <v>52</v>
      </c>
      <c r="B53" s="1" t="s">
        <v>1001</v>
      </c>
      <c r="C53" s="1" t="s">
        <v>756</v>
      </c>
      <c r="D53" s="1" t="s">
        <v>596</v>
      </c>
      <c r="E53" s="1" t="s">
        <v>963</v>
      </c>
      <c r="F53" s="1" t="s">
        <v>119</v>
      </c>
      <c r="G53" s="1">
        <f>IF(ISNA(VLOOKUP(F53,Monster!B:E,4,FALSE)),0,VLOOKUP(F53,Monster!B:E,4,FALSE))</f>
        <v>12</v>
      </c>
      <c r="I53" s="1" t="s">
        <v>1001</v>
      </c>
      <c r="J53" s="1">
        <v>1197</v>
      </c>
      <c r="K53" s="1">
        <v>20</v>
      </c>
      <c r="L53" s="1">
        <v>1154</v>
      </c>
      <c r="M53" s="1" t="s">
        <v>58</v>
      </c>
      <c r="N53" s="1">
        <f>((NOT(ISNA(VLOOKUP(M53,Monster!$H$2:$I$6,2,FALSE)))*L53)+J53)*(1+K53/100*0.25)</f>
        <v>2468.5500000000002</v>
      </c>
      <c r="O53" s="1" t="str">
        <f t="shared" si="0"/>
        <v>Thunder - 2468.55</v>
      </c>
      <c r="P53" s="1" t="s">
        <v>175</v>
      </c>
      <c r="Q53" s="1">
        <v>1</v>
      </c>
      <c r="V53" s="1">
        <f t="shared" si="1"/>
        <v>52</v>
      </c>
      <c r="W53" s="1">
        <f t="shared" si="2"/>
        <v>0.49085495533815399</v>
      </c>
    </row>
    <row r="54" spans="1:23" x14ac:dyDescent="0.2">
      <c r="A54" s="1">
        <v>53</v>
      </c>
      <c r="B54" s="1" t="s">
        <v>1010</v>
      </c>
      <c r="C54" s="1" t="s">
        <v>775</v>
      </c>
      <c r="D54" s="1" t="s">
        <v>596</v>
      </c>
      <c r="E54" s="1" t="s">
        <v>963</v>
      </c>
      <c r="F54" s="1" t="s">
        <v>146</v>
      </c>
      <c r="G54" s="1">
        <f>IF(ISNA(VLOOKUP(F54,Monster!B:E,4,FALSE)),0,VLOOKUP(F54,Monster!B:E,4,FALSE))</f>
        <v>16</v>
      </c>
      <c r="I54" s="1" t="s">
        <v>1012</v>
      </c>
      <c r="J54" s="1">
        <v>1221</v>
      </c>
      <c r="K54" s="1">
        <v>0</v>
      </c>
      <c r="L54" s="1">
        <v>1142</v>
      </c>
      <c r="M54" s="1" t="s">
        <v>66</v>
      </c>
      <c r="N54" s="1">
        <f>((NOT(ISNA(VLOOKUP(M54,Monster!$H$2:$I$6,2,FALSE)))*L54)+J54)*(1+K54/100*0.25)</f>
        <v>2363</v>
      </c>
      <c r="O54" s="1" t="str">
        <f t="shared" si="0"/>
        <v>Ice - 2363</v>
      </c>
      <c r="P54" s="1" t="s">
        <v>228</v>
      </c>
      <c r="Q54" s="1">
        <v>2</v>
      </c>
      <c r="V54" s="1">
        <f t="shared" si="1"/>
        <v>53</v>
      </c>
      <c r="W54" s="1">
        <f t="shared" si="2"/>
        <v>0.48328396106644095</v>
      </c>
    </row>
    <row r="55" spans="1:23" x14ac:dyDescent="0.2">
      <c r="A55" s="1">
        <v>54</v>
      </c>
      <c r="B55" s="1" t="s">
        <v>1014</v>
      </c>
      <c r="C55" s="1" t="s">
        <v>779</v>
      </c>
      <c r="D55" s="1" t="s">
        <v>596</v>
      </c>
      <c r="E55" s="1" t="s">
        <v>963</v>
      </c>
      <c r="F55" s="1" t="s">
        <v>151</v>
      </c>
      <c r="G55" s="1">
        <f>IF(ISNA(VLOOKUP(F55,Monster!B:E,4,FALSE)),0,VLOOKUP(F55,Monster!B:E,4,FALSE))</f>
        <v>17</v>
      </c>
      <c r="I55" s="1" t="s">
        <v>1016</v>
      </c>
      <c r="J55" s="1">
        <v>1979</v>
      </c>
      <c r="K55" s="1">
        <v>0</v>
      </c>
      <c r="L55" s="1">
        <v>0</v>
      </c>
      <c r="M55" s="1" t="s">
        <v>107</v>
      </c>
      <c r="N55" s="1">
        <f>((NOT(ISNA(VLOOKUP(M55,Monster!$H$2:$I$6,2,FALSE)))*L55)+J55)*(1+K55/100*0.25)</f>
        <v>1979</v>
      </c>
      <c r="O55" s="1" t="str">
        <f t="shared" si="0"/>
        <v>No Element - 1979</v>
      </c>
      <c r="P55" s="1" t="s">
        <v>364</v>
      </c>
      <c r="Q55" s="1">
        <v>1</v>
      </c>
      <c r="V55" s="1">
        <f t="shared" si="1"/>
        <v>54</v>
      </c>
      <c r="W55" s="1">
        <f t="shared" si="2"/>
        <v>0</v>
      </c>
    </row>
    <row r="56" spans="1:23" x14ac:dyDescent="0.2">
      <c r="A56" s="1">
        <v>55</v>
      </c>
      <c r="B56" s="1" t="s">
        <v>1018</v>
      </c>
      <c r="C56" s="1" t="s">
        <v>782</v>
      </c>
      <c r="D56" s="1" t="s">
        <v>596</v>
      </c>
      <c r="E56" s="1" t="s">
        <v>963</v>
      </c>
      <c r="F56" s="1" t="s">
        <v>155</v>
      </c>
      <c r="G56" s="1">
        <f>IF(ISNA(VLOOKUP(F56,Monster!B:E,4,FALSE)),0,VLOOKUP(F56,Monster!B:E,4,FALSE))</f>
        <v>18</v>
      </c>
      <c r="I56" s="1" t="s">
        <v>1018</v>
      </c>
      <c r="J56" s="1">
        <v>2218</v>
      </c>
      <c r="K56" s="1">
        <v>-30</v>
      </c>
      <c r="L56" s="1">
        <v>0</v>
      </c>
      <c r="M56" s="1" t="s">
        <v>107</v>
      </c>
      <c r="N56" s="1">
        <f>((NOT(ISNA(VLOOKUP(M56,Monster!$H$2:$I$6,2,FALSE)))*L56)+J56)*(1+K56/100*0.25)</f>
        <v>2051.65</v>
      </c>
      <c r="O56" s="1" t="str">
        <f t="shared" si="0"/>
        <v>No Element - 2051.65</v>
      </c>
      <c r="P56" s="1" t="s">
        <v>463</v>
      </c>
      <c r="Q56" s="1">
        <v>1</v>
      </c>
      <c r="V56" s="1">
        <f t="shared" si="1"/>
        <v>55</v>
      </c>
      <c r="W56" s="1">
        <f t="shared" si="2"/>
        <v>0</v>
      </c>
    </row>
    <row r="57" spans="1:23" x14ac:dyDescent="0.2">
      <c r="A57" s="1">
        <v>56</v>
      </c>
      <c r="B57" s="1" t="s">
        <v>1029</v>
      </c>
      <c r="C57" s="1" t="s">
        <v>794</v>
      </c>
      <c r="D57" s="1" t="s">
        <v>596</v>
      </c>
      <c r="E57" s="1" t="s">
        <v>963</v>
      </c>
      <c r="F57" s="1" t="s">
        <v>171</v>
      </c>
      <c r="G57" s="1">
        <f>IF(ISNA(VLOOKUP(F57,Monster!B:E,4,FALSE)),0,VLOOKUP(F57,Monster!B:E,4,FALSE))</f>
        <v>21</v>
      </c>
      <c r="I57" s="1" t="s">
        <v>1029</v>
      </c>
      <c r="J57" s="1">
        <v>1258</v>
      </c>
      <c r="K57" s="1">
        <v>30</v>
      </c>
      <c r="L57" s="1">
        <v>1082</v>
      </c>
      <c r="M57" s="1" t="s">
        <v>41</v>
      </c>
      <c r="N57" s="1">
        <f>((NOT(ISNA(VLOOKUP(M57,Monster!$H$2:$I$6,2,FALSE)))*L57)+J57)*(1+K57/100*0.25)</f>
        <v>2515.5</v>
      </c>
      <c r="O57" s="1" t="str">
        <f t="shared" si="0"/>
        <v>Fire - 2515.5</v>
      </c>
      <c r="P57" s="1" t="s">
        <v>175</v>
      </c>
      <c r="Q57" s="1">
        <v>2</v>
      </c>
      <c r="V57" s="1">
        <f t="shared" si="1"/>
        <v>56</v>
      </c>
      <c r="W57" s="1">
        <f t="shared" si="2"/>
        <v>0.46239316239316242</v>
      </c>
    </row>
    <row r="58" spans="1:23" x14ac:dyDescent="0.2">
      <c r="A58" s="1">
        <v>57</v>
      </c>
      <c r="B58" s="1" t="s">
        <v>1037</v>
      </c>
      <c r="C58" s="1" t="s">
        <v>800</v>
      </c>
      <c r="D58" s="1" t="s">
        <v>596</v>
      </c>
      <c r="E58" s="1" t="s">
        <v>963</v>
      </c>
      <c r="F58" s="1" t="s">
        <v>184</v>
      </c>
      <c r="G58" s="1">
        <f>IF(ISNA(VLOOKUP(F58,Monster!B:E,4,FALSE)),0,VLOOKUP(F58,Monster!B:E,4,FALSE))</f>
        <v>23</v>
      </c>
      <c r="I58" s="1" t="s">
        <v>1037</v>
      </c>
      <c r="J58" s="1">
        <v>1764</v>
      </c>
      <c r="K58" s="1">
        <v>0</v>
      </c>
      <c r="L58" s="1">
        <v>0</v>
      </c>
      <c r="M58" s="1" t="s">
        <v>107</v>
      </c>
      <c r="N58" s="1">
        <f>((NOT(ISNA(VLOOKUP(M58,Monster!$H$2:$I$6,2,FALSE)))*L58)+J58)*(1+K58/100*0.25)</f>
        <v>1764</v>
      </c>
      <c r="O58" s="1" t="str">
        <f t="shared" si="0"/>
        <v>No Element - 1764</v>
      </c>
      <c r="P58" s="1" t="s">
        <v>306</v>
      </c>
      <c r="Q58" s="1">
        <v>2</v>
      </c>
      <c r="V58" s="1">
        <f t="shared" si="1"/>
        <v>57</v>
      </c>
      <c r="W58" s="1">
        <f t="shared" si="2"/>
        <v>0</v>
      </c>
    </row>
    <row r="59" spans="1:23" x14ac:dyDescent="0.2">
      <c r="A59" s="1">
        <v>58</v>
      </c>
      <c r="B59" s="1" t="s">
        <v>1041</v>
      </c>
      <c r="C59" s="1" t="s">
        <v>803</v>
      </c>
      <c r="D59" s="1" t="s">
        <v>596</v>
      </c>
      <c r="E59" s="1" t="s">
        <v>963</v>
      </c>
      <c r="F59" s="1" t="s">
        <v>190</v>
      </c>
      <c r="G59" s="1">
        <f>IF(ISNA(VLOOKUP(F59,Monster!B:E,4,FALSE)),0,VLOOKUP(F59,Monster!B:E,4,FALSE))</f>
        <v>24</v>
      </c>
      <c r="I59" s="1" t="s">
        <v>1042</v>
      </c>
      <c r="J59" s="1">
        <v>1191</v>
      </c>
      <c r="K59" s="1">
        <v>20</v>
      </c>
      <c r="L59" s="1">
        <v>910</v>
      </c>
      <c r="M59" s="1" t="s">
        <v>66</v>
      </c>
      <c r="N59" s="1">
        <f>((NOT(ISNA(VLOOKUP(M59,Monster!$H$2:$I$6,2,FALSE)))*L59)+J59)*(1+K59/100*0.25)</f>
        <v>2206.0500000000002</v>
      </c>
      <c r="O59" s="1" t="str">
        <f t="shared" si="0"/>
        <v>Ice - 2206.05</v>
      </c>
      <c r="P59" s="1" t="s">
        <v>253</v>
      </c>
      <c r="Q59" s="1">
        <v>1</v>
      </c>
      <c r="V59" s="1">
        <f t="shared" si="1"/>
        <v>58</v>
      </c>
      <c r="W59" s="1">
        <f t="shared" si="2"/>
        <v>0.43312708234174202</v>
      </c>
    </row>
    <row r="60" spans="1:23" x14ac:dyDescent="0.2">
      <c r="A60" s="1">
        <v>59</v>
      </c>
      <c r="B60" s="1" t="s">
        <v>1045</v>
      </c>
      <c r="C60" s="1" t="s">
        <v>807</v>
      </c>
      <c r="D60" s="1" t="s">
        <v>596</v>
      </c>
      <c r="E60" s="1" t="s">
        <v>963</v>
      </c>
      <c r="F60" s="1" t="s">
        <v>193</v>
      </c>
      <c r="G60" s="1">
        <f>IF(ISNA(VLOOKUP(F60,Monster!B:E,4,FALSE)),0,VLOOKUP(F60,Monster!B:E,4,FALSE))</f>
        <v>25</v>
      </c>
      <c r="I60" s="1" t="s">
        <v>1046</v>
      </c>
      <c r="J60" s="1">
        <v>1221</v>
      </c>
      <c r="K60" s="1">
        <v>0</v>
      </c>
      <c r="L60" s="1">
        <v>1142</v>
      </c>
      <c r="M60" s="1" t="s">
        <v>58</v>
      </c>
      <c r="N60" s="1">
        <f>((NOT(ISNA(VLOOKUP(M60,Monster!$H$2:$I$6,2,FALSE)))*L60)+J60)*(1+K60/100*0.25)</f>
        <v>2363</v>
      </c>
      <c r="O60" s="1" t="str">
        <f t="shared" si="0"/>
        <v>Thunder - 2363</v>
      </c>
      <c r="P60" s="1" t="s">
        <v>38</v>
      </c>
      <c r="Q60" s="1">
        <v>1</v>
      </c>
      <c r="V60" s="1">
        <f t="shared" si="1"/>
        <v>59</v>
      </c>
      <c r="W60" s="1">
        <f t="shared" si="2"/>
        <v>0.48328396106644095</v>
      </c>
    </row>
    <row r="61" spans="1:23" x14ac:dyDescent="0.2">
      <c r="A61" s="1">
        <v>60</v>
      </c>
      <c r="B61" s="1" t="s">
        <v>1048</v>
      </c>
      <c r="C61" s="1" t="s">
        <v>810</v>
      </c>
      <c r="D61" s="1" t="s">
        <v>596</v>
      </c>
      <c r="E61" s="1" t="s">
        <v>963</v>
      </c>
      <c r="F61" s="1" t="s">
        <v>197</v>
      </c>
      <c r="G61" s="1">
        <f>IF(ISNA(VLOOKUP(F61,Monster!B:E,4,FALSE)),0,VLOOKUP(F61,Monster!B:E,4,FALSE))</f>
        <v>26</v>
      </c>
      <c r="I61" s="1" t="s">
        <v>1050</v>
      </c>
      <c r="J61" s="1">
        <v>1588</v>
      </c>
      <c r="K61" s="1">
        <v>0</v>
      </c>
      <c r="L61" s="1">
        <v>632</v>
      </c>
      <c r="M61" s="1" t="s">
        <v>58</v>
      </c>
      <c r="N61" s="1">
        <f>((NOT(ISNA(VLOOKUP(M61,Monster!$H$2:$I$6,2,FALSE)))*L61)+J61)*(1+K61/100*0.25)</f>
        <v>2220</v>
      </c>
      <c r="O61" s="1" t="str">
        <f t="shared" si="0"/>
        <v>Thunder - 2220</v>
      </c>
      <c r="P61" s="1" t="s">
        <v>412</v>
      </c>
      <c r="Q61" s="1">
        <v>1</v>
      </c>
      <c r="V61" s="1">
        <f t="shared" si="1"/>
        <v>60</v>
      </c>
      <c r="W61" s="1">
        <f t="shared" si="2"/>
        <v>0.28468468468468466</v>
      </c>
    </row>
    <row r="62" spans="1:23" x14ac:dyDescent="0.2">
      <c r="A62" s="1">
        <v>61</v>
      </c>
      <c r="B62" s="1" t="s">
        <v>1052</v>
      </c>
      <c r="C62" s="1" t="s">
        <v>813</v>
      </c>
      <c r="D62" s="1" t="s">
        <v>596</v>
      </c>
      <c r="E62" s="1" t="s">
        <v>963</v>
      </c>
      <c r="F62" s="1" t="s">
        <v>205</v>
      </c>
      <c r="G62" s="1">
        <f>IF(ISNA(VLOOKUP(F62,Monster!B:E,4,FALSE)),0,VLOOKUP(F62,Monster!B:E,4,FALSE))</f>
        <v>27</v>
      </c>
      <c r="I62" s="1" t="s">
        <v>1055</v>
      </c>
      <c r="J62" s="1">
        <v>1719</v>
      </c>
      <c r="K62" s="1">
        <v>20</v>
      </c>
      <c r="L62" s="1">
        <v>0</v>
      </c>
      <c r="M62" s="1" t="s">
        <v>107</v>
      </c>
      <c r="N62" s="1">
        <f>((NOT(ISNA(VLOOKUP(M62,Monster!$H$2:$I$6,2,FALSE)))*L62)+J62)*(1+K62/100*0.25)</f>
        <v>1804.95</v>
      </c>
      <c r="O62" s="1" t="str">
        <f t="shared" si="0"/>
        <v>No Element - 1804.95</v>
      </c>
      <c r="P62" s="1" t="s">
        <v>269</v>
      </c>
      <c r="Q62" s="1">
        <v>1</v>
      </c>
      <c r="V62" s="1">
        <f t="shared" si="1"/>
        <v>61</v>
      </c>
      <c r="W62" s="1">
        <f t="shared" si="2"/>
        <v>0</v>
      </c>
    </row>
    <row r="63" spans="1:23" x14ac:dyDescent="0.2">
      <c r="A63" s="1">
        <v>62</v>
      </c>
      <c r="B63" s="1" t="s">
        <v>1057</v>
      </c>
      <c r="C63" s="1" t="s">
        <v>816</v>
      </c>
      <c r="D63" s="1" t="s">
        <v>596</v>
      </c>
      <c r="E63" s="1" t="s">
        <v>963</v>
      </c>
      <c r="F63" s="1" t="s">
        <v>210</v>
      </c>
      <c r="G63" s="1">
        <f>IF(ISNA(VLOOKUP(F63,Monster!B:E,4,FALSE)),0,VLOOKUP(F63,Monster!B:E,4,FALSE))</f>
        <v>28</v>
      </c>
      <c r="I63" s="1" t="s">
        <v>1059</v>
      </c>
      <c r="J63" s="1">
        <v>1138</v>
      </c>
      <c r="K63" s="1">
        <v>20</v>
      </c>
      <c r="L63" s="1">
        <v>1156</v>
      </c>
      <c r="M63" s="1" t="s">
        <v>71</v>
      </c>
      <c r="N63" s="1">
        <f>((NOT(ISNA(VLOOKUP(M63,Monster!$H$2:$I$6,2,FALSE)))*L63)+J63)*(1+K63/100*0.25)</f>
        <v>2408.7000000000003</v>
      </c>
      <c r="O63" s="1" t="str">
        <f t="shared" si="0"/>
        <v>Dragon - 2408.7</v>
      </c>
      <c r="P63" s="1" t="s">
        <v>166</v>
      </c>
      <c r="Q63" s="1">
        <v>1</v>
      </c>
      <c r="V63" s="1">
        <f t="shared" si="1"/>
        <v>62</v>
      </c>
      <c r="W63" s="1">
        <f t="shared" si="2"/>
        <v>0.50392327811682647</v>
      </c>
    </row>
    <row r="64" spans="1:23" x14ac:dyDescent="0.2">
      <c r="A64" s="1">
        <v>63</v>
      </c>
      <c r="B64" s="1" t="s">
        <v>1061</v>
      </c>
      <c r="C64" s="1" t="s">
        <v>821</v>
      </c>
      <c r="D64" s="1" t="s">
        <v>596</v>
      </c>
      <c r="E64" s="1" t="s">
        <v>963</v>
      </c>
      <c r="F64" s="1" t="s">
        <v>216</v>
      </c>
      <c r="G64" s="1">
        <f>IF(ISNA(VLOOKUP(F64,Monster!B:E,4,FALSE)),0,VLOOKUP(F64,Monster!B:E,4,FALSE))</f>
        <v>29</v>
      </c>
      <c r="I64" s="1" t="s">
        <v>1063</v>
      </c>
      <c r="J64" s="1">
        <v>1318</v>
      </c>
      <c r="K64" s="1">
        <v>-30</v>
      </c>
      <c r="L64" s="1">
        <v>1261</v>
      </c>
      <c r="M64" s="1" t="s">
        <v>71</v>
      </c>
      <c r="N64" s="1">
        <f>((NOT(ISNA(VLOOKUP(M64,Monster!$H$2:$I$6,2,FALSE)))*L64)+J64)*(1+K64/100*0.25)</f>
        <v>2385.5750000000003</v>
      </c>
      <c r="O64" s="1" t="str">
        <f t="shared" si="0"/>
        <v>Dragon - 2385.575</v>
      </c>
      <c r="P64" s="1" t="s">
        <v>583</v>
      </c>
      <c r="Q64" s="1">
        <v>1</v>
      </c>
      <c r="V64" s="1">
        <f t="shared" si="1"/>
        <v>63</v>
      </c>
      <c r="W64" s="1">
        <f t="shared" si="2"/>
        <v>0.4889492051182629</v>
      </c>
    </row>
    <row r="65" spans="1:23" x14ac:dyDescent="0.2">
      <c r="A65" s="1">
        <v>64</v>
      </c>
      <c r="B65" s="1" t="s">
        <v>1068</v>
      </c>
      <c r="C65" s="1" t="s">
        <v>834</v>
      </c>
      <c r="D65" s="1" t="s">
        <v>596</v>
      </c>
      <c r="E65" s="1" t="s">
        <v>963</v>
      </c>
      <c r="F65" s="1" t="s">
        <v>234</v>
      </c>
      <c r="G65" s="1">
        <f>IF(ISNA(VLOOKUP(F65,Monster!B:E,4,FALSE)),0,VLOOKUP(F65,Monster!B:E,4,FALSE))</f>
        <v>32</v>
      </c>
      <c r="I65" s="1" t="s">
        <v>1068</v>
      </c>
      <c r="J65" s="1">
        <v>1553</v>
      </c>
      <c r="K65" s="1">
        <v>0</v>
      </c>
      <c r="L65" s="1">
        <v>974</v>
      </c>
      <c r="M65" s="1" t="s">
        <v>66</v>
      </c>
      <c r="N65" s="1">
        <f>((NOT(ISNA(VLOOKUP(M65,Monster!$H$2:$I$6,2,FALSE)))*L65)+J65)*(1+K65/100*0.25)</f>
        <v>2527</v>
      </c>
      <c r="O65" s="1" t="str">
        <f t="shared" si="0"/>
        <v>Ice - 2527</v>
      </c>
      <c r="P65" s="1" t="s">
        <v>528</v>
      </c>
      <c r="Q65" s="1">
        <v>2</v>
      </c>
      <c r="V65" s="1">
        <f t="shared" si="1"/>
        <v>64</v>
      </c>
      <c r="W65" s="1">
        <f t="shared" si="2"/>
        <v>0.38543727740403638</v>
      </c>
    </row>
    <row r="66" spans="1:23" x14ac:dyDescent="0.2">
      <c r="A66" s="1">
        <v>65</v>
      </c>
      <c r="B66" s="1" t="s">
        <v>1072</v>
      </c>
      <c r="C66" s="1" t="s">
        <v>839</v>
      </c>
      <c r="D66" s="1" t="s">
        <v>596</v>
      </c>
      <c r="E66" s="1" t="s">
        <v>963</v>
      </c>
      <c r="F66" s="1" t="s">
        <v>239</v>
      </c>
      <c r="G66" s="1">
        <f>IF(ISNA(VLOOKUP(F66,Monster!B:E,4,FALSE)),0,VLOOKUP(F66,Monster!B:E,4,FALSE))</f>
        <v>33</v>
      </c>
      <c r="I66" s="1" t="s">
        <v>1074</v>
      </c>
      <c r="J66" s="1">
        <v>1138</v>
      </c>
      <c r="K66" s="1">
        <v>20</v>
      </c>
      <c r="L66" s="1">
        <v>1156</v>
      </c>
      <c r="M66" s="1" t="s">
        <v>50</v>
      </c>
      <c r="N66" s="1">
        <f>((NOT(ISNA(VLOOKUP(M66,Monster!$H$2:$I$6,2,FALSE)))*L66)+J66)*(1+K66/100*0.25)</f>
        <v>2408.7000000000003</v>
      </c>
      <c r="O66" s="1" t="str">
        <f t="shared" si="0"/>
        <v>Water - 2408.7</v>
      </c>
      <c r="P66" s="1" t="s">
        <v>38</v>
      </c>
      <c r="Q66" s="1">
        <v>1</v>
      </c>
      <c r="V66" s="1">
        <f t="shared" si="1"/>
        <v>65</v>
      </c>
      <c r="W66" s="1">
        <f t="shared" si="2"/>
        <v>0.50392327811682647</v>
      </c>
    </row>
    <row r="67" spans="1:23" x14ac:dyDescent="0.2">
      <c r="A67" s="1">
        <v>66</v>
      </c>
      <c r="B67" s="1" t="s">
        <v>1078</v>
      </c>
      <c r="C67" s="1" t="s">
        <v>849</v>
      </c>
      <c r="D67" s="1" t="s">
        <v>596</v>
      </c>
      <c r="E67" s="1" t="s">
        <v>963</v>
      </c>
      <c r="F67" s="1" t="s">
        <v>251</v>
      </c>
      <c r="G67" s="1">
        <f>IF(ISNA(VLOOKUP(F67,Monster!B:E,4,FALSE)),0,VLOOKUP(F67,Monster!B:E,4,FALSE))</f>
        <v>35</v>
      </c>
      <c r="I67" s="1" t="s">
        <v>1080</v>
      </c>
      <c r="J67" s="1">
        <v>1588</v>
      </c>
      <c r="K67" s="1">
        <v>0</v>
      </c>
      <c r="L67" s="1">
        <v>632</v>
      </c>
      <c r="M67" s="1" t="s">
        <v>41</v>
      </c>
      <c r="N67" s="1">
        <f>((NOT(ISNA(VLOOKUP(M67,Monster!$H$2:$I$6,2,FALSE)))*L67)+J67)*(1+K67/100*0.25)</f>
        <v>2220</v>
      </c>
      <c r="O67" s="1" t="str">
        <f t="shared" si="0"/>
        <v>Fire - 2220</v>
      </c>
      <c r="P67" s="1" t="s">
        <v>412</v>
      </c>
      <c r="Q67" s="1">
        <v>1</v>
      </c>
      <c r="V67" s="1">
        <f t="shared" si="1"/>
        <v>66</v>
      </c>
      <c r="W67" s="1">
        <f t="shared" si="2"/>
        <v>0.28468468468468466</v>
      </c>
    </row>
    <row r="68" spans="1:23" x14ac:dyDescent="0.2">
      <c r="A68" s="1">
        <v>67</v>
      </c>
      <c r="B68" s="1" t="s">
        <v>1082</v>
      </c>
      <c r="C68" s="1" t="s">
        <v>853</v>
      </c>
      <c r="D68" s="1" t="s">
        <v>596</v>
      </c>
      <c r="E68" s="1" t="s">
        <v>963</v>
      </c>
      <c r="F68" s="1" t="s">
        <v>256</v>
      </c>
      <c r="G68" s="1">
        <f>IF(ISNA(VLOOKUP(F68,Monster!B:E,4,FALSE)),0,VLOOKUP(F68,Monster!B:E,4,FALSE))</f>
        <v>36</v>
      </c>
      <c r="I68" s="1" t="s">
        <v>1083</v>
      </c>
      <c r="J68" s="1">
        <v>1516</v>
      </c>
      <c r="K68" s="1">
        <v>0</v>
      </c>
      <c r="L68" s="1">
        <v>496</v>
      </c>
      <c r="M68" s="1" t="s">
        <v>100</v>
      </c>
      <c r="N68" s="1">
        <f>((NOT(ISNA(VLOOKUP(M68,Monster!$H$2:$I$6,2,FALSE)))*L68)+J68)*(1+K68/100*0.25)</f>
        <v>1516</v>
      </c>
      <c r="O68" s="1" t="str">
        <f t="shared" si="0"/>
        <v>Blast - 1516</v>
      </c>
      <c r="P68" s="1" t="s">
        <v>463</v>
      </c>
      <c r="Q68" s="1">
        <v>1</v>
      </c>
      <c r="V68" s="1">
        <f t="shared" si="1"/>
        <v>67</v>
      </c>
      <c r="W68" s="1">
        <f t="shared" si="2"/>
        <v>0.24652087475149106</v>
      </c>
    </row>
    <row r="69" spans="1:23" x14ac:dyDescent="0.2">
      <c r="A69" s="1">
        <v>68</v>
      </c>
      <c r="B69" s="1" t="s">
        <v>1084</v>
      </c>
      <c r="C69" s="1" t="s">
        <v>857</v>
      </c>
      <c r="D69" s="1" t="s">
        <v>596</v>
      </c>
      <c r="E69" s="1" t="s">
        <v>963</v>
      </c>
      <c r="F69" s="1" t="s">
        <v>263</v>
      </c>
      <c r="G69" s="1">
        <f>IF(ISNA(VLOOKUP(F69,Monster!B:E,4,FALSE)),0,VLOOKUP(F69,Monster!B:E,4,FALSE))</f>
        <v>37</v>
      </c>
      <c r="I69" s="1" t="s">
        <v>1086</v>
      </c>
      <c r="J69" s="1">
        <v>1318</v>
      </c>
      <c r="K69" s="1">
        <v>-30</v>
      </c>
      <c r="L69" s="1">
        <v>1261</v>
      </c>
      <c r="M69" s="1" t="s">
        <v>58</v>
      </c>
      <c r="N69" s="1">
        <f>((NOT(ISNA(VLOOKUP(M69,Monster!$H$2:$I$6,2,FALSE)))*L69)+J69)*(1+K69/100*0.25)</f>
        <v>2385.5750000000003</v>
      </c>
      <c r="O69" s="1" t="str">
        <f t="shared" si="0"/>
        <v>Thunder - 2385.575</v>
      </c>
      <c r="P69" s="1" t="s">
        <v>463</v>
      </c>
      <c r="Q69" s="1">
        <v>1</v>
      </c>
      <c r="V69" s="1">
        <f t="shared" si="1"/>
        <v>68</v>
      </c>
      <c r="W69" s="1">
        <f t="shared" si="2"/>
        <v>0.4889492051182629</v>
      </c>
    </row>
    <row r="70" spans="1:23" x14ac:dyDescent="0.2">
      <c r="A70" s="1">
        <v>69</v>
      </c>
      <c r="B70" s="1" t="s">
        <v>1087</v>
      </c>
      <c r="C70" s="1" t="s">
        <v>863</v>
      </c>
      <c r="D70" s="1" t="s">
        <v>596</v>
      </c>
      <c r="E70" s="1" t="s">
        <v>963</v>
      </c>
      <c r="F70" s="1" t="s">
        <v>268</v>
      </c>
      <c r="G70" s="1">
        <f>IF(ISNA(VLOOKUP(F70,Monster!B:E,4,FALSE)),0,VLOOKUP(F70,Monster!B:E,4,FALSE))</f>
        <v>38</v>
      </c>
      <c r="I70" s="1" t="s">
        <v>1087</v>
      </c>
      <c r="J70" s="1">
        <v>1553</v>
      </c>
      <c r="K70" s="1">
        <v>0</v>
      </c>
      <c r="L70" s="1">
        <v>974</v>
      </c>
      <c r="M70" s="1" t="s">
        <v>71</v>
      </c>
      <c r="N70" s="1">
        <f>((NOT(ISNA(VLOOKUP(M70,Monster!$H$2:$I$6,2,FALSE)))*L70)+J70)*(1+K70/100*0.25)</f>
        <v>2527</v>
      </c>
      <c r="O70" s="1" t="str">
        <f t="shared" si="0"/>
        <v>Dragon - 2527</v>
      </c>
      <c r="P70" s="1" t="s">
        <v>463</v>
      </c>
      <c r="Q70" s="1">
        <v>2</v>
      </c>
      <c r="V70" s="1">
        <f t="shared" si="1"/>
        <v>69</v>
      </c>
      <c r="W70" s="1">
        <f t="shared" si="2"/>
        <v>0.38543727740403638</v>
      </c>
    </row>
    <row r="71" spans="1:23" x14ac:dyDescent="0.2">
      <c r="A71" s="1">
        <v>70</v>
      </c>
      <c r="B71" s="1" t="s">
        <v>1089</v>
      </c>
      <c r="C71" s="1" t="s">
        <v>866</v>
      </c>
      <c r="D71" s="1" t="s">
        <v>596</v>
      </c>
      <c r="E71" s="1" t="s">
        <v>963</v>
      </c>
      <c r="F71" s="1" t="s">
        <v>273</v>
      </c>
      <c r="G71" s="1">
        <f>IF(ISNA(VLOOKUP(F71,Monster!B:E,4,FALSE)),0,VLOOKUP(F71,Monster!B:E,4,FALSE))</f>
        <v>39</v>
      </c>
      <c r="I71" s="1" t="s">
        <v>1091</v>
      </c>
      <c r="J71" s="1">
        <v>1588</v>
      </c>
      <c r="K71" s="1">
        <v>0</v>
      </c>
      <c r="L71" s="1">
        <v>632</v>
      </c>
      <c r="M71" s="1" t="s">
        <v>66</v>
      </c>
      <c r="N71" s="1">
        <f>((NOT(ISNA(VLOOKUP(M71,Monster!$H$2:$I$6,2,FALSE)))*L71)+J71)*(1+K71/100*0.25)</f>
        <v>2220</v>
      </c>
      <c r="O71" s="1" t="str">
        <f t="shared" si="0"/>
        <v>Ice - 2220</v>
      </c>
      <c r="P71" s="1" t="s">
        <v>412</v>
      </c>
      <c r="Q71" s="1">
        <v>1</v>
      </c>
      <c r="V71" s="1">
        <f t="shared" si="1"/>
        <v>70</v>
      </c>
      <c r="W71" s="1">
        <f t="shared" si="2"/>
        <v>0.28468468468468466</v>
      </c>
    </row>
    <row r="72" spans="1:23" x14ac:dyDescent="0.2">
      <c r="A72" s="1">
        <v>71</v>
      </c>
      <c r="B72" s="1" t="s">
        <v>1093</v>
      </c>
      <c r="C72" s="1" t="s">
        <v>872</v>
      </c>
      <c r="D72" s="1" t="s">
        <v>596</v>
      </c>
      <c r="E72" s="1" t="s">
        <v>963</v>
      </c>
      <c r="F72" s="1" t="s">
        <v>288</v>
      </c>
      <c r="G72" s="1">
        <f>IF(ISNA(VLOOKUP(F72,Monster!B:E,4,FALSE)),0,VLOOKUP(F72,Monster!B:E,4,FALSE))</f>
        <v>41</v>
      </c>
      <c r="I72" s="1" t="s">
        <v>1094</v>
      </c>
      <c r="J72" s="1">
        <v>1567</v>
      </c>
      <c r="K72" s="1">
        <v>-15</v>
      </c>
      <c r="L72" s="1">
        <v>496</v>
      </c>
      <c r="M72" s="1" t="s">
        <v>95</v>
      </c>
      <c r="N72" s="1">
        <f>((NOT(ISNA(VLOOKUP(M72,Monster!$H$2:$I$6,2,FALSE)))*L72)+J72)*(1+K72/100*0.25)</f>
        <v>1508.2375</v>
      </c>
      <c r="O72" s="1" t="str">
        <f t="shared" si="0"/>
        <v>Sleep - 1508.2375</v>
      </c>
      <c r="P72" s="1" t="s">
        <v>253</v>
      </c>
      <c r="Q72" s="1">
        <v>1</v>
      </c>
      <c r="V72" s="1">
        <f t="shared" si="1"/>
        <v>71</v>
      </c>
      <c r="W72" s="1">
        <f t="shared" si="2"/>
        <v>0.24042656325739215</v>
      </c>
    </row>
    <row r="73" spans="1:23" x14ac:dyDescent="0.2">
      <c r="A73" s="1">
        <v>72</v>
      </c>
      <c r="B73" s="1" t="s">
        <v>1095</v>
      </c>
      <c r="C73" s="1" t="s">
        <v>875</v>
      </c>
      <c r="D73" s="1" t="s">
        <v>596</v>
      </c>
      <c r="E73" s="1" t="s">
        <v>963</v>
      </c>
      <c r="F73" s="1" t="s">
        <v>293</v>
      </c>
      <c r="G73" s="1">
        <f>IF(ISNA(VLOOKUP(F73,Monster!B:E,4,FALSE)),0,VLOOKUP(F73,Monster!B:E,4,FALSE))</f>
        <v>42</v>
      </c>
      <c r="I73" s="1" t="s">
        <v>1095</v>
      </c>
      <c r="J73" s="1">
        <v>2198</v>
      </c>
      <c r="K73" s="1">
        <v>-40</v>
      </c>
      <c r="L73" s="1">
        <v>0</v>
      </c>
      <c r="M73" s="1" t="s">
        <v>107</v>
      </c>
      <c r="N73" s="1">
        <f>((NOT(ISNA(VLOOKUP(M73,Monster!$H$2:$I$6,2,FALSE)))*L73)+J73)*(1+K73/100*0.25)</f>
        <v>1978.2</v>
      </c>
      <c r="O73" s="1" t="str">
        <f t="shared" si="0"/>
        <v>No Element - 1978.2</v>
      </c>
      <c r="P73" s="1" t="s">
        <v>194</v>
      </c>
      <c r="Q73" s="1">
        <v>1</v>
      </c>
      <c r="V73" s="1">
        <f t="shared" si="1"/>
        <v>72</v>
      </c>
      <c r="W73" s="1">
        <f t="shared" si="2"/>
        <v>0</v>
      </c>
    </row>
    <row r="74" spans="1:23" x14ac:dyDescent="0.2">
      <c r="A74" s="1">
        <v>73</v>
      </c>
      <c r="B74" s="1" t="s">
        <v>1100</v>
      </c>
      <c r="C74" s="1" t="s">
        <v>880</v>
      </c>
      <c r="D74" s="1" t="s">
        <v>596</v>
      </c>
      <c r="E74" s="1" t="s">
        <v>963</v>
      </c>
      <c r="F74" s="1" t="s">
        <v>298</v>
      </c>
      <c r="G74" s="1">
        <f>IF(ISNA(VLOOKUP(F74,Monster!B:E,4,FALSE)),0,VLOOKUP(F74,Monster!B:E,4,FALSE))</f>
        <v>43</v>
      </c>
      <c r="I74" s="1" t="s">
        <v>1100</v>
      </c>
      <c r="J74" s="1">
        <v>2198</v>
      </c>
      <c r="K74" s="1">
        <v>-10</v>
      </c>
      <c r="L74" s="1">
        <v>0</v>
      </c>
      <c r="M74" s="1" t="s">
        <v>107</v>
      </c>
      <c r="N74" s="1">
        <f>((NOT(ISNA(VLOOKUP(M74,Monster!$H$2:$I$6,2,FALSE)))*L74)+J74)*(1+K74/100*0.25)</f>
        <v>2143.0499999999997</v>
      </c>
      <c r="O74" s="1" t="str">
        <f t="shared" si="0"/>
        <v>No Element - 2143.05</v>
      </c>
      <c r="P74" s="1" t="s">
        <v>28</v>
      </c>
      <c r="Q74" s="1">
        <v>5</v>
      </c>
      <c r="V74" s="1">
        <f t="shared" si="1"/>
        <v>73</v>
      </c>
      <c r="W74" s="1">
        <f t="shared" si="2"/>
        <v>0</v>
      </c>
    </row>
    <row r="75" spans="1:23" x14ac:dyDescent="0.2">
      <c r="A75" s="1">
        <v>74</v>
      </c>
      <c r="B75" s="1" t="s">
        <v>1103</v>
      </c>
      <c r="C75" s="1" t="s">
        <v>885</v>
      </c>
      <c r="D75" s="1" t="s">
        <v>596</v>
      </c>
      <c r="E75" s="1" t="s">
        <v>963</v>
      </c>
      <c r="F75" s="1" t="s">
        <v>302</v>
      </c>
      <c r="G75" s="1">
        <f>IF(ISNA(VLOOKUP(F75,Monster!B:E,4,FALSE)),0,VLOOKUP(F75,Monster!B:E,4,FALSE))</f>
        <v>44</v>
      </c>
      <c r="I75" s="1" t="s">
        <v>1103</v>
      </c>
      <c r="J75" s="1">
        <v>1205</v>
      </c>
      <c r="K75" s="1">
        <v>0</v>
      </c>
      <c r="L75" s="1">
        <v>1305</v>
      </c>
      <c r="M75" s="1" t="s">
        <v>58</v>
      </c>
      <c r="N75" s="1">
        <f>((NOT(ISNA(VLOOKUP(M75,Monster!$H$2:$I$6,2,FALSE)))*L75)+J75)*(1+K75/100*0.25)</f>
        <v>2510</v>
      </c>
      <c r="O75" s="1" t="str">
        <f t="shared" si="0"/>
        <v>Thunder - 2510</v>
      </c>
      <c r="P75" s="1" t="s">
        <v>400</v>
      </c>
      <c r="Q75" s="1">
        <v>1</v>
      </c>
      <c r="V75" s="1">
        <f t="shared" si="1"/>
        <v>74</v>
      </c>
      <c r="W75" s="1">
        <f t="shared" si="2"/>
        <v>0.51992031872509958</v>
      </c>
    </row>
    <row r="76" spans="1:23" x14ac:dyDescent="0.2">
      <c r="A76" s="1">
        <v>75</v>
      </c>
      <c r="B76" s="1" t="s">
        <v>1108</v>
      </c>
      <c r="C76" s="1" t="s">
        <v>888</v>
      </c>
      <c r="D76" s="1" t="s">
        <v>596</v>
      </c>
      <c r="E76" s="1" t="s">
        <v>963</v>
      </c>
      <c r="F76" s="1" t="s">
        <v>305</v>
      </c>
      <c r="G76" s="1">
        <f>IF(ISNA(VLOOKUP(F76,Monster!B:E,4,FALSE)),0,VLOOKUP(F76,Monster!B:E,4,FALSE))</f>
        <v>45</v>
      </c>
      <c r="I76" s="1" t="s">
        <v>1109</v>
      </c>
      <c r="J76" s="1">
        <v>1942</v>
      </c>
      <c r="K76" s="1">
        <v>-30</v>
      </c>
      <c r="L76" s="1">
        <v>297</v>
      </c>
      <c r="M76" s="1" t="s">
        <v>100</v>
      </c>
      <c r="N76" s="1">
        <f>((NOT(ISNA(VLOOKUP(M76,Monster!$H$2:$I$6,2,FALSE)))*L76)+J76)*(1+K76/100*0.25)</f>
        <v>1796.3500000000001</v>
      </c>
      <c r="O76" s="1" t="str">
        <f t="shared" si="0"/>
        <v>Blast - 1796.35</v>
      </c>
      <c r="P76" s="1" t="s">
        <v>194</v>
      </c>
      <c r="Q76" s="1">
        <v>1</v>
      </c>
      <c r="V76" s="1">
        <f t="shared" si="1"/>
        <v>75</v>
      </c>
      <c r="W76" s="1">
        <f t="shared" si="2"/>
        <v>0.13264850379633766</v>
      </c>
    </row>
    <row r="77" spans="1:23" x14ac:dyDescent="0.2">
      <c r="A77" s="1">
        <v>76</v>
      </c>
      <c r="B77" s="1" t="s">
        <v>1113</v>
      </c>
      <c r="C77" s="1" t="s">
        <v>896</v>
      </c>
      <c r="D77" s="1" t="s">
        <v>596</v>
      </c>
      <c r="E77" s="1" t="s">
        <v>963</v>
      </c>
      <c r="F77" s="1" t="s">
        <v>316</v>
      </c>
      <c r="G77" s="1">
        <f>IF(ISNA(VLOOKUP(F77,Monster!B:E,4,FALSE)),0,VLOOKUP(F77,Monster!B:E,4,FALSE))</f>
        <v>47</v>
      </c>
      <c r="I77" s="1" t="s">
        <v>1114</v>
      </c>
      <c r="J77" s="1">
        <v>1971</v>
      </c>
      <c r="K77" s="1">
        <v>-20</v>
      </c>
      <c r="L77" s="1">
        <v>0</v>
      </c>
      <c r="M77" s="1" t="s">
        <v>107</v>
      </c>
      <c r="N77" s="1">
        <f>((NOT(ISNA(VLOOKUP(M77,Monster!$H$2:$I$6,2,FALSE)))*L77)+J77)*(1+K77/100*0.25)</f>
        <v>1872.4499999999998</v>
      </c>
      <c r="O77" s="1" t="str">
        <f t="shared" si="0"/>
        <v>No Element - 1872.45</v>
      </c>
      <c r="P77" s="1" t="s">
        <v>602</v>
      </c>
      <c r="Q77" s="1">
        <v>2</v>
      </c>
      <c r="V77" s="1">
        <f t="shared" si="1"/>
        <v>76</v>
      </c>
      <c r="W77" s="1">
        <f t="shared" si="2"/>
        <v>0</v>
      </c>
    </row>
    <row r="78" spans="1:23" x14ac:dyDescent="0.2">
      <c r="A78" s="1">
        <v>77</v>
      </c>
      <c r="B78" s="1" t="s">
        <v>1116</v>
      </c>
      <c r="C78" s="1" t="s">
        <v>900</v>
      </c>
      <c r="D78" s="1" t="s">
        <v>596</v>
      </c>
      <c r="E78" s="1" t="s">
        <v>963</v>
      </c>
      <c r="F78" s="1" t="s">
        <v>320</v>
      </c>
      <c r="G78" s="1">
        <f>IF(ISNA(VLOOKUP(F78,Monster!B:E,4,FALSE)),0,VLOOKUP(F78,Monster!B:E,4,FALSE))</f>
        <v>48</v>
      </c>
      <c r="I78" s="1" t="s">
        <v>1118</v>
      </c>
      <c r="J78" s="1">
        <v>1318</v>
      </c>
      <c r="K78" s="1">
        <v>-30</v>
      </c>
      <c r="L78" s="1">
        <v>1261</v>
      </c>
      <c r="M78" s="1" t="s">
        <v>41</v>
      </c>
      <c r="N78" s="1">
        <f>((NOT(ISNA(VLOOKUP(M78,Monster!$H$2:$I$6,2,FALSE)))*L78)+J78)*(1+K78/100*0.25)</f>
        <v>2385.5750000000003</v>
      </c>
      <c r="O78" s="1" t="str">
        <f t="shared" si="0"/>
        <v>Fire - 2385.575</v>
      </c>
      <c r="P78" s="1" t="s">
        <v>194</v>
      </c>
      <c r="Q78" s="1">
        <v>1</v>
      </c>
      <c r="V78" s="1">
        <f t="shared" si="1"/>
        <v>77</v>
      </c>
      <c r="W78" s="1">
        <f t="shared" si="2"/>
        <v>0.4889492051182629</v>
      </c>
    </row>
    <row r="79" spans="1:23" x14ac:dyDescent="0.2">
      <c r="A79" s="1">
        <v>78</v>
      </c>
      <c r="B79" s="1" t="s">
        <v>1119</v>
      </c>
      <c r="C79" s="1" t="s">
        <v>904</v>
      </c>
      <c r="D79" s="1" t="s">
        <v>596</v>
      </c>
      <c r="E79" s="1" t="s">
        <v>963</v>
      </c>
      <c r="F79" s="1" t="s">
        <v>328</v>
      </c>
      <c r="G79" s="1">
        <f>IF(ISNA(VLOOKUP(F79,Monster!B:E,4,FALSE)),0,VLOOKUP(F79,Monster!B:E,4,FALSE))</f>
        <v>49</v>
      </c>
      <c r="I79" s="1" t="s">
        <v>1119</v>
      </c>
      <c r="J79" s="1">
        <v>1741</v>
      </c>
      <c r="K79" s="1">
        <v>0</v>
      </c>
      <c r="L79" s="1">
        <v>505</v>
      </c>
      <c r="M79" s="1" t="s">
        <v>79</v>
      </c>
      <c r="N79" s="1">
        <f>((NOT(ISNA(VLOOKUP(M79,Monster!$H$2:$I$6,2,FALSE)))*L79)+J79)*(1+K79/100*0.25)</f>
        <v>1741</v>
      </c>
      <c r="O79" s="1" t="str">
        <f t="shared" si="0"/>
        <v>Poison - 1741</v>
      </c>
      <c r="P79" s="1" t="s">
        <v>624</v>
      </c>
      <c r="Q79" s="1">
        <v>2</v>
      </c>
      <c r="V79" s="1">
        <f t="shared" si="1"/>
        <v>78</v>
      </c>
      <c r="W79" s="1">
        <f t="shared" si="2"/>
        <v>0.22484416740872662</v>
      </c>
    </row>
    <row r="80" spans="1:23" x14ac:dyDescent="0.2">
      <c r="A80" s="1">
        <v>79</v>
      </c>
      <c r="B80" s="1" t="s">
        <v>1122</v>
      </c>
      <c r="C80" s="1" t="s">
        <v>908</v>
      </c>
      <c r="D80" s="1" t="s">
        <v>596</v>
      </c>
      <c r="E80" s="1" t="s">
        <v>963</v>
      </c>
      <c r="F80" s="1" t="s">
        <v>334</v>
      </c>
      <c r="G80" s="1">
        <f>IF(ISNA(VLOOKUP(F80,Monster!B:E,4,FALSE)),0,VLOOKUP(F80,Monster!B:E,4,FALSE))</f>
        <v>50</v>
      </c>
      <c r="I80" s="1" t="s">
        <v>1124</v>
      </c>
      <c r="J80" s="1">
        <v>1647</v>
      </c>
      <c r="K80" s="1">
        <v>10</v>
      </c>
      <c r="L80" s="1">
        <v>307</v>
      </c>
      <c r="M80" s="1" t="s">
        <v>79</v>
      </c>
      <c r="N80" s="1">
        <f>((NOT(ISNA(VLOOKUP(M80,Monster!$H$2:$I$6,2,FALSE)))*L80)+J80)*(1+K80/100*0.25)</f>
        <v>1688.175</v>
      </c>
      <c r="O80" s="1" t="str">
        <f t="shared" si="0"/>
        <v>Poison - 1688.175</v>
      </c>
      <c r="P80" s="1" t="s">
        <v>412</v>
      </c>
      <c r="Q80" s="1">
        <v>1</v>
      </c>
      <c r="V80" s="1">
        <f t="shared" si="1"/>
        <v>79</v>
      </c>
      <c r="W80" s="1">
        <f t="shared" si="2"/>
        <v>0.1571136131013306</v>
      </c>
    </row>
    <row r="81" spans="1:37" x14ac:dyDescent="0.2">
      <c r="A81" s="1">
        <v>80</v>
      </c>
      <c r="B81" s="1" t="s">
        <v>1126</v>
      </c>
      <c r="C81" s="1" t="s">
        <v>917</v>
      </c>
      <c r="D81" s="1" t="s">
        <v>596</v>
      </c>
      <c r="E81" s="1" t="s">
        <v>963</v>
      </c>
      <c r="F81" s="1" t="s">
        <v>343</v>
      </c>
      <c r="G81" s="1">
        <f>IF(ISNA(VLOOKUP(F81,Monster!B:E,4,FALSE)),0,VLOOKUP(F81,Monster!B:E,4,FALSE))</f>
        <v>52</v>
      </c>
      <c r="I81" s="1" t="s">
        <v>1126</v>
      </c>
      <c r="J81" s="1">
        <v>1293</v>
      </c>
      <c r="K81" s="1">
        <v>0</v>
      </c>
      <c r="L81" s="1">
        <v>910</v>
      </c>
      <c r="M81" s="1" t="s">
        <v>66</v>
      </c>
      <c r="N81" s="1">
        <f>((NOT(ISNA(VLOOKUP(M81,Monster!$H$2:$I$6,2,FALSE)))*L81)+J81)*(1+K81/100*0.25)</f>
        <v>2203</v>
      </c>
      <c r="O81" s="1" t="str">
        <f t="shared" si="0"/>
        <v>Ice - 2203</v>
      </c>
      <c r="P81" s="1" t="s">
        <v>648</v>
      </c>
      <c r="Q81" s="1">
        <v>1</v>
      </c>
      <c r="V81" s="1">
        <f t="shared" si="1"/>
        <v>80</v>
      </c>
      <c r="W81" s="1">
        <f t="shared" si="2"/>
        <v>0.41307308216068994</v>
      </c>
    </row>
    <row r="82" spans="1:37" x14ac:dyDescent="0.2">
      <c r="A82" s="1">
        <v>81</v>
      </c>
      <c r="B82" s="1" t="s">
        <v>1129</v>
      </c>
      <c r="C82" s="1" t="s">
        <v>922</v>
      </c>
      <c r="D82" s="1" t="s">
        <v>596</v>
      </c>
      <c r="E82" s="1" t="s">
        <v>963</v>
      </c>
      <c r="F82" s="1" t="s">
        <v>349</v>
      </c>
      <c r="G82" s="1">
        <f>IF(ISNA(VLOOKUP(F82,Monster!B:E,4,FALSE)),0,VLOOKUP(F82,Monster!B:E,4,FALSE))</f>
        <v>53</v>
      </c>
      <c r="I82" s="1" t="s">
        <v>1129</v>
      </c>
      <c r="J82" s="1">
        <v>1738</v>
      </c>
      <c r="K82" s="1">
        <v>40</v>
      </c>
      <c r="L82" s="1">
        <v>0</v>
      </c>
      <c r="M82" s="1" t="s">
        <v>107</v>
      </c>
      <c r="N82" s="1">
        <f>((NOT(ISNA(VLOOKUP(M82,Monster!$H$2:$I$6,2,FALSE)))*L82)+J82)*(1+K82/100*0.25)</f>
        <v>1911.8000000000002</v>
      </c>
      <c r="O82" s="1" t="str">
        <f t="shared" si="0"/>
        <v>No Element - 1911.8</v>
      </c>
      <c r="P82" s="1" t="s">
        <v>535</v>
      </c>
      <c r="Q82" s="1">
        <v>2</v>
      </c>
      <c r="V82" s="1">
        <f t="shared" si="1"/>
        <v>81</v>
      </c>
      <c r="W82" s="1">
        <f t="shared" si="2"/>
        <v>0</v>
      </c>
    </row>
    <row r="83" spans="1:37" x14ac:dyDescent="0.2">
      <c r="A83" s="1">
        <v>82</v>
      </c>
      <c r="B83" s="1" t="s">
        <v>1133</v>
      </c>
      <c r="C83" s="1" t="s">
        <v>930</v>
      </c>
      <c r="D83" s="1" t="s">
        <v>596</v>
      </c>
      <c r="E83" s="1" t="s">
        <v>963</v>
      </c>
      <c r="F83" s="1" t="s">
        <v>360</v>
      </c>
      <c r="G83" s="1">
        <f>IF(ISNA(VLOOKUP(F83,Monster!B:E,4,FALSE)),0,VLOOKUP(F83,Monster!B:E,4,FALSE))</f>
        <v>55</v>
      </c>
      <c r="I83" s="1" t="s">
        <v>1133</v>
      </c>
      <c r="J83" s="1">
        <v>1979</v>
      </c>
      <c r="K83" s="1">
        <v>0</v>
      </c>
      <c r="L83" s="1">
        <v>0</v>
      </c>
      <c r="M83" s="1" t="s">
        <v>107</v>
      </c>
      <c r="N83" s="1">
        <f>((NOT(ISNA(VLOOKUP(M83,Monster!$H$2:$I$6,2,FALSE)))*L83)+J83)*(1+K83/100*0.25)</f>
        <v>1979</v>
      </c>
      <c r="O83" s="1" t="str">
        <f t="shared" si="0"/>
        <v>No Element - 1979</v>
      </c>
      <c r="P83" s="1" t="s">
        <v>515</v>
      </c>
      <c r="Q83" s="1">
        <v>1</v>
      </c>
      <c r="V83" s="1">
        <f t="shared" si="1"/>
        <v>82</v>
      </c>
      <c r="W83" s="1">
        <f t="shared" si="2"/>
        <v>0</v>
      </c>
    </row>
    <row r="84" spans="1:37" x14ac:dyDescent="0.2">
      <c r="A84" s="1">
        <v>83</v>
      </c>
      <c r="B84" s="1" t="s">
        <v>1135</v>
      </c>
      <c r="C84" s="1" t="s">
        <v>934</v>
      </c>
      <c r="D84" s="1" t="s">
        <v>596</v>
      </c>
      <c r="E84" s="1" t="s">
        <v>963</v>
      </c>
      <c r="F84" s="1" t="s">
        <v>365</v>
      </c>
      <c r="G84" s="1">
        <f>IF(ISNA(VLOOKUP(F84,Monster!B:E,4,FALSE)),0,VLOOKUP(F84,Monster!B:E,4,FALSE))</f>
        <v>56</v>
      </c>
      <c r="I84" s="1" t="s">
        <v>1137</v>
      </c>
      <c r="J84" s="1">
        <v>1020</v>
      </c>
      <c r="K84" s="1">
        <v>0</v>
      </c>
      <c r="L84" s="1">
        <v>1173</v>
      </c>
      <c r="M84" s="1" t="s">
        <v>66</v>
      </c>
      <c r="N84" s="1">
        <f>((NOT(ISNA(VLOOKUP(M84,Monster!$H$2:$I$6,2,FALSE)))*L84)+J84)*(1+K84/100*0.25)</f>
        <v>2193</v>
      </c>
      <c r="O84" s="1" t="str">
        <f t="shared" si="0"/>
        <v>Ice - 2193</v>
      </c>
      <c r="P84" s="1" t="s">
        <v>659</v>
      </c>
      <c r="Q84" s="1">
        <v>1</v>
      </c>
      <c r="V84" s="1">
        <f t="shared" si="1"/>
        <v>83</v>
      </c>
      <c r="W84" s="1">
        <f t="shared" si="2"/>
        <v>0.53488372093023251</v>
      </c>
    </row>
    <row r="85" spans="1:37" x14ac:dyDescent="0.2">
      <c r="A85" s="1">
        <v>84</v>
      </c>
      <c r="B85" s="1" t="s">
        <v>1139</v>
      </c>
      <c r="C85" s="1" t="s">
        <v>939</v>
      </c>
      <c r="D85" s="1" t="s">
        <v>596</v>
      </c>
      <c r="E85" s="1" t="s">
        <v>963</v>
      </c>
      <c r="F85" s="1" t="s">
        <v>370</v>
      </c>
      <c r="G85" s="1">
        <f>IF(ISNA(VLOOKUP(F85,Monster!B:E,4,FALSE)),0,VLOOKUP(F85,Monster!B:E,4,FALSE))</f>
        <v>57</v>
      </c>
      <c r="I85" s="1" t="s">
        <v>1141</v>
      </c>
      <c r="J85" s="1">
        <v>1197</v>
      </c>
      <c r="K85" s="1">
        <v>20</v>
      </c>
      <c r="L85" s="1">
        <v>1154</v>
      </c>
      <c r="M85" s="1" t="s">
        <v>41</v>
      </c>
      <c r="N85" s="1">
        <f>((NOT(ISNA(VLOOKUP(M85,Monster!$H$2:$I$6,2,FALSE)))*L85)+J85)*(1+K85/100*0.25)</f>
        <v>2468.5500000000002</v>
      </c>
      <c r="O85" s="1" t="str">
        <f t="shared" si="0"/>
        <v>Fire - 2468.55</v>
      </c>
      <c r="P85" s="1" t="s">
        <v>615</v>
      </c>
      <c r="Q85" s="1">
        <v>2</v>
      </c>
      <c r="V85" s="1">
        <f t="shared" si="1"/>
        <v>84</v>
      </c>
      <c r="W85" s="1">
        <f t="shared" si="2"/>
        <v>0.49085495533815399</v>
      </c>
    </row>
    <row r="86" spans="1:37" x14ac:dyDescent="0.2">
      <c r="A86" s="1">
        <v>85</v>
      </c>
      <c r="B86" s="3" t="s">
        <v>1143</v>
      </c>
      <c r="C86" s="3" t="s">
        <v>943</v>
      </c>
      <c r="D86" s="3" t="s">
        <v>596</v>
      </c>
      <c r="E86" s="1" t="s">
        <v>963</v>
      </c>
      <c r="F86" s="3" t="s">
        <v>374</v>
      </c>
      <c r="G86" s="4">
        <f>IF(ISNA(VLOOKUP(F86,Monster!B:E,4,FALSE)),0,VLOOKUP(F86,Monster!B:E,4,FALSE))</f>
        <v>58</v>
      </c>
      <c r="H86" s="3"/>
      <c r="I86" s="3" t="s">
        <v>1143</v>
      </c>
      <c r="J86" s="4">
        <v>1205</v>
      </c>
      <c r="K86" s="4">
        <v>0</v>
      </c>
      <c r="L86" s="4">
        <v>1305</v>
      </c>
      <c r="M86" s="3" t="s">
        <v>71</v>
      </c>
      <c r="N86" s="4">
        <f>((NOT(ISNA(VLOOKUP(M86,Monster!$H$2:$I$6,2,FALSE)))*L86)+J86)*(1+K86/100*0.25)</f>
        <v>2510</v>
      </c>
      <c r="O86" s="1" t="str">
        <f t="shared" si="0"/>
        <v>Dragon - 2510</v>
      </c>
      <c r="P86" s="3" t="s">
        <v>689</v>
      </c>
      <c r="Q86" s="4">
        <v>1</v>
      </c>
      <c r="R86" s="3" t="s">
        <v>372</v>
      </c>
      <c r="S86" s="3"/>
      <c r="T86" s="3"/>
      <c r="U86" s="3"/>
      <c r="V86" s="1">
        <f t="shared" si="1"/>
        <v>85</v>
      </c>
      <c r="W86" s="1">
        <f t="shared" si="2"/>
        <v>0.51992031872509958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</row>
    <row r="87" spans="1:37" x14ac:dyDescent="0.2">
      <c r="A87" s="1">
        <v>86</v>
      </c>
      <c r="B87" s="1" t="s">
        <v>1147</v>
      </c>
      <c r="C87" s="1" t="s">
        <v>949</v>
      </c>
      <c r="D87" s="1" t="s">
        <v>596</v>
      </c>
      <c r="E87" s="1" t="s">
        <v>963</v>
      </c>
      <c r="F87" s="1"/>
      <c r="G87" s="1">
        <f>IF(ISNA(VLOOKUP(F87,Monster!B:E,4,FALSE)),0,VLOOKUP(F87,Monster!B:E,4,FALSE))</f>
        <v>0</v>
      </c>
      <c r="I87" s="1" t="s">
        <v>1148</v>
      </c>
      <c r="J87" s="1">
        <v>1596</v>
      </c>
      <c r="K87" s="1">
        <v>0</v>
      </c>
      <c r="L87" s="1">
        <v>0</v>
      </c>
      <c r="M87" s="1" t="s">
        <v>107</v>
      </c>
      <c r="N87" s="1">
        <f>((NOT(ISNA(VLOOKUP(M87,Monster!$H$2:$I$6,2,FALSE)))*L87)+J87)*(1+K87/100*0.25)</f>
        <v>1596</v>
      </c>
      <c r="O87" s="1" t="str">
        <f t="shared" si="0"/>
        <v>No Element - 1596</v>
      </c>
      <c r="P87" s="1" t="s">
        <v>158</v>
      </c>
      <c r="Q87" s="1">
        <v>1</v>
      </c>
      <c r="V87" s="1">
        <f t="shared" si="1"/>
        <v>86</v>
      </c>
      <c r="W87" s="1">
        <f t="shared" si="2"/>
        <v>0</v>
      </c>
    </row>
    <row r="88" spans="1:37" x14ac:dyDescent="0.2">
      <c r="A88" s="1">
        <v>87</v>
      </c>
      <c r="B88" s="1" t="s">
        <v>1151</v>
      </c>
      <c r="C88" s="1" t="s">
        <v>1152</v>
      </c>
      <c r="D88" s="1" t="s">
        <v>596</v>
      </c>
      <c r="E88" s="1" t="s">
        <v>963</v>
      </c>
      <c r="F88" s="1" t="s">
        <v>131</v>
      </c>
      <c r="G88" s="1">
        <f>IF(ISNA(VLOOKUP(F88,Monster!B:E,4,FALSE)),0,VLOOKUP(F88,Monster!B:E,4,FALSE))</f>
        <v>14</v>
      </c>
      <c r="I88" s="1" t="s">
        <v>1151</v>
      </c>
      <c r="J88" s="1">
        <v>1293</v>
      </c>
      <c r="K88" s="1">
        <v>0</v>
      </c>
      <c r="L88" s="1">
        <v>910</v>
      </c>
      <c r="M88" s="1" t="s">
        <v>71</v>
      </c>
      <c r="N88" s="1">
        <f>((NOT(ISNA(VLOOKUP(M88,Monster!$H$2:$I$6,2,FALSE)))*L88)+J88)*(1+K88/100*0.25)</f>
        <v>2203</v>
      </c>
      <c r="O88" s="1" t="str">
        <f t="shared" si="0"/>
        <v>Dragon - 2203</v>
      </c>
      <c r="P88" s="1" t="s">
        <v>228</v>
      </c>
      <c r="Q88" s="1">
        <v>2</v>
      </c>
      <c r="V88" s="1">
        <f t="shared" si="1"/>
        <v>87</v>
      </c>
      <c r="W88" s="1">
        <f t="shared" si="2"/>
        <v>0.41307308216068994</v>
      </c>
    </row>
    <row r="89" spans="1:37" x14ac:dyDescent="0.2">
      <c r="A89" s="1">
        <v>88</v>
      </c>
      <c r="B89" s="1" t="s">
        <v>1155</v>
      </c>
      <c r="C89" s="1" t="s">
        <v>958</v>
      </c>
      <c r="D89" s="1" t="s">
        <v>596</v>
      </c>
      <c r="E89" s="1" t="s">
        <v>963</v>
      </c>
      <c r="F89" s="1"/>
      <c r="G89" s="1">
        <f>IF(ISNA(VLOOKUP(F89,Monster!B:E,4,FALSE)),0,VLOOKUP(F89,Monster!B:E,4,FALSE))</f>
        <v>0</v>
      </c>
      <c r="I89" s="1" t="s">
        <v>1158</v>
      </c>
      <c r="J89" s="1">
        <v>1878</v>
      </c>
      <c r="K89" s="1">
        <v>0</v>
      </c>
      <c r="L89" s="1">
        <v>0</v>
      </c>
      <c r="M89" s="1" t="s">
        <v>107</v>
      </c>
      <c r="N89" s="1">
        <f>((NOT(ISNA(VLOOKUP(M89,Monster!$H$2:$I$6,2,FALSE)))*L89)+J89)*(1+K89/100*0.25)</f>
        <v>1878</v>
      </c>
      <c r="O89" s="1" t="str">
        <f t="shared" si="0"/>
        <v>No Element - 1878</v>
      </c>
      <c r="P89" s="1" t="s">
        <v>412</v>
      </c>
      <c r="Q89" s="1">
        <v>1</v>
      </c>
      <c r="V89" s="1">
        <f t="shared" si="1"/>
        <v>88</v>
      </c>
      <c r="W89" s="1">
        <f t="shared" si="2"/>
        <v>0</v>
      </c>
    </row>
    <row r="90" spans="1:37" x14ac:dyDescent="0.2">
      <c r="A90" s="1">
        <v>89</v>
      </c>
      <c r="B90" s="1" t="s">
        <v>1159</v>
      </c>
      <c r="C90" s="1" t="s">
        <v>34</v>
      </c>
      <c r="D90" s="1" t="s">
        <v>596</v>
      </c>
      <c r="E90" s="1" t="s">
        <v>1160</v>
      </c>
      <c r="F90" s="1"/>
      <c r="G90" s="1">
        <f>IF(ISNA(VLOOKUP(F90,Monster!B:E,4,FALSE)),0,VLOOKUP(F90,Monster!B:E,4,FALSE))</f>
        <v>0</v>
      </c>
      <c r="I90" s="1" t="s">
        <v>1163</v>
      </c>
      <c r="J90" s="1">
        <v>1596</v>
      </c>
      <c r="K90" s="1">
        <v>0</v>
      </c>
      <c r="L90" s="1">
        <v>0</v>
      </c>
      <c r="M90" s="1" t="s">
        <v>107</v>
      </c>
      <c r="N90" s="1">
        <f>((NOT(ISNA(VLOOKUP(M90,Monster!$H$2:$I$6,2,FALSE)))*L90)+J90)*(1+K90/100*0.25)</f>
        <v>1596</v>
      </c>
      <c r="O90" s="1" t="str">
        <f t="shared" si="0"/>
        <v>No Element - 1596</v>
      </c>
      <c r="P90" s="1" t="s">
        <v>410</v>
      </c>
      <c r="Q90" s="1">
        <v>2</v>
      </c>
      <c r="V90" s="1">
        <f t="shared" si="1"/>
        <v>89</v>
      </c>
      <c r="W90" s="1">
        <f t="shared" si="2"/>
        <v>0</v>
      </c>
    </row>
    <row r="91" spans="1:37" x14ac:dyDescent="0.2">
      <c r="A91" s="1">
        <v>90</v>
      </c>
      <c r="B91" s="1" t="s">
        <v>1165</v>
      </c>
      <c r="C91" s="1" t="s">
        <v>324</v>
      </c>
      <c r="D91" s="1" t="s">
        <v>596</v>
      </c>
      <c r="E91" s="1" t="s">
        <v>1160</v>
      </c>
      <c r="F91" s="1" t="s">
        <v>11</v>
      </c>
      <c r="G91" s="1">
        <f>IF(ISNA(VLOOKUP(F91,Monster!B:E,4,FALSE)),0,VLOOKUP(F91,Monster!B:E,4,FALSE))</f>
        <v>1</v>
      </c>
      <c r="I91" s="1" t="s">
        <v>1166</v>
      </c>
      <c r="J91" s="1">
        <v>1373</v>
      </c>
      <c r="K91" s="1">
        <v>0</v>
      </c>
      <c r="L91" s="1">
        <v>607</v>
      </c>
      <c r="M91" s="1" t="s">
        <v>50</v>
      </c>
      <c r="N91" s="1">
        <f>((NOT(ISNA(VLOOKUP(M91,Monster!$H$2:$I$6,2,FALSE)))*L91)+J91)*(1+K91/100*0.25)</f>
        <v>1980</v>
      </c>
      <c r="O91" s="1" t="str">
        <f t="shared" si="0"/>
        <v>Water - 1980</v>
      </c>
      <c r="P91" s="1" t="s">
        <v>348</v>
      </c>
      <c r="Q91" s="1">
        <v>2</v>
      </c>
      <c r="V91" s="1">
        <f t="shared" si="1"/>
        <v>90</v>
      </c>
      <c r="W91" s="1">
        <f t="shared" si="2"/>
        <v>0.30656565656565654</v>
      </c>
    </row>
    <row r="92" spans="1:37" x14ac:dyDescent="0.2">
      <c r="A92" s="1">
        <v>91</v>
      </c>
      <c r="B92" s="1" t="s">
        <v>1169</v>
      </c>
      <c r="C92" s="1" t="s">
        <v>541</v>
      </c>
      <c r="D92" s="1" t="s">
        <v>596</v>
      </c>
      <c r="E92" s="1" t="s">
        <v>1160</v>
      </c>
      <c r="F92" s="1" t="s">
        <v>52</v>
      </c>
      <c r="G92" s="1">
        <f>IF(ISNA(VLOOKUP(F92,Monster!B:E,4,FALSE)),0,VLOOKUP(F92,Monster!B:E,4,FALSE))</f>
        <v>3</v>
      </c>
      <c r="I92" s="1" t="s">
        <v>1170</v>
      </c>
      <c r="J92" s="1">
        <v>1596</v>
      </c>
      <c r="K92" s="1">
        <v>0</v>
      </c>
      <c r="L92" s="1">
        <v>400</v>
      </c>
      <c r="M92" s="1" t="s">
        <v>79</v>
      </c>
      <c r="N92" s="1">
        <f>((NOT(ISNA(VLOOKUP(M92,Monster!$H$2:$I$6,2,FALSE)))*L92)+J92)*(1+K92/100*0.25)</f>
        <v>1596</v>
      </c>
      <c r="O92" s="1" t="str">
        <f t="shared" si="0"/>
        <v>Poison - 1596</v>
      </c>
      <c r="P92" s="1" t="s">
        <v>590</v>
      </c>
      <c r="Q92" s="1">
        <v>1</v>
      </c>
      <c r="V92" s="1">
        <f t="shared" si="1"/>
        <v>91</v>
      </c>
      <c r="W92" s="1">
        <f t="shared" si="2"/>
        <v>0.20040080160320642</v>
      </c>
    </row>
    <row r="93" spans="1:37" x14ac:dyDescent="0.2">
      <c r="A93" s="1">
        <v>92</v>
      </c>
      <c r="B93" s="1" t="s">
        <v>1172</v>
      </c>
      <c r="C93" s="1" t="s">
        <v>617</v>
      </c>
      <c r="D93" s="1" t="s">
        <v>596</v>
      </c>
      <c r="E93" s="1" t="s">
        <v>1160</v>
      </c>
      <c r="F93" s="1" t="s">
        <v>60</v>
      </c>
      <c r="G93" s="1">
        <f>IF(ISNA(VLOOKUP(F93,Monster!B:E,4,FALSE)),0,VLOOKUP(F93,Monster!B:E,4,FALSE))</f>
        <v>4</v>
      </c>
      <c r="I93" s="1" t="s">
        <v>1172</v>
      </c>
      <c r="J93" s="1">
        <v>1221</v>
      </c>
      <c r="K93" s="1">
        <v>0</v>
      </c>
      <c r="L93" s="1">
        <v>1142</v>
      </c>
      <c r="M93" s="1" t="s">
        <v>50</v>
      </c>
      <c r="N93" s="1">
        <f>((NOT(ISNA(VLOOKUP(M93,Monster!$H$2:$I$6,2,FALSE)))*L93)+J93)*(1+K93/100*0.25)</f>
        <v>2363</v>
      </c>
      <c r="O93" s="1" t="str">
        <f t="shared" si="0"/>
        <v>Water - 2363</v>
      </c>
      <c r="P93" s="1" t="s">
        <v>244</v>
      </c>
      <c r="Q93" s="1">
        <v>1</v>
      </c>
      <c r="V93" s="1">
        <f t="shared" si="1"/>
        <v>92</v>
      </c>
      <c r="W93" s="1">
        <f t="shared" si="2"/>
        <v>0.48328396106644095</v>
      </c>
    </row>
    <row r="94" spans="1:37" x14ac:dyDescent="0.2">
      <c r="A94" s="1">
        <v>93</v>
      </c>
      <c r="B94" s="1" t="s">
        <v>1174</v>
      </c>
      <c r="C94" s="1" t="s">
        <v>696</v>
      </c>
      <c r="D94" s="1" t="s">
        <v>596</v>
      </c>
      <c r="E94" s="1" t="s">
        <v>1160</v>
      </c>
      <c r="F94" s="1" t="s">
        <v>69</v>
      </c>
      <c r="G94" s="1">
        <f>IF(ISNA(VLOOKUP(F94,Monster!B:E,4,FALSE)),0,VLOOKUP(F94,Monster!B:E,4,FALSE))</f>
        <v>5</v>
      </c>
      <c r="I94" s="1" t="s">
        <v>1176</v>
      </c>
      <c r="J94" s="1">
        <v>1756</v>
      </c>
      <c r="K94" s="1">
        <v>0</v>
      </c>
      <c r="L94" s="1">
        <v>0</v>
      </c>
      <c r="M94" s="1" t="s">
        <v>107</v>
      </c>
      <c r="N94" s="1">
        <f>((NOT(ISNA(VLOOKUP(M94,Monster!$H$2:$I$6,2,FALSE)))*L94)+J94)*(1+K94/100*0.25)</f>
        <v>1756</v>
      </c>
      <c r="O94" s="1" t="str">
        <f t="shared" si="0"/>
        <v>No Element - 1756</v>
      </c>
      <c r="P94" s="1" t="s">
        <v>213</v>
      </c>
      <c r="Q94" s="1">
        <v>2</v>
      </c>
      <c r="V94" s="1">
        <f t="shared" si="1"/>
        <v>93</v>
      </c>
      <c r="W94" s="1">
        <f t="shared" si="2"/>
        <v>0</v>
      </c>
    </row>
    <row r="95" spans="1:37" x14ac:dyDescent="0.2">
      <c r="A95" s="1">
        <v>94</v>
      </c>
      <c r="B95" s="1" t="s">
        <v>1177</v>
      </c>
      <c r="C95" s="1" t="s">
        <v>719</v>
      </c>
      <c r="D95" s="1" t="s">
        <v>596</v>
      </c>
      <c r="E95" s="1" t="s">
        <v>1160</v>
      </c>
      <c r="F95" s="1" t="s">
        <v>75</v>
      </c>
      <c r="G95" s="1">
        <f>IF(ISNA(VLOOKUP(F95,Monster!B:E,4,FALSE)),0,VLOOKUP(F95,Monster!B:E,4,FALSE))</f>
        <v>6</v>
      </c>
      <c r="I95" s="1" t="s">
        <v>1178</v>
      </c>
      <c r="J95" s="1">
        <v>1596</v>
      </c>
      <c r="K95" s="1">
        <v>0</v>
      </c>
      <c r="L95" s="1">
        <v>400</v>
      </c>
      <c r="M95" s="1" t="s">
        <v>87</v>
      </c>
      <c r="N95" s="1">
        <f>((NOT(ISNA(VLOOKUP(M95,Monster!$H$2:$I$6,2,FALSE)))*L95)+J95)*(1+K95/100*0.25)</f>
        <v>1596</v>
      </c>
      <c r="O95" s="1" t="str">
        <f t="shared" si="0"/>
        <v>Paralysis - 1596</v>
      </c>
      <c r="P95" s="1" t="s">
        <v>590</v>
      </c>
      <c r="Q95" s="1">
        <v>1</v>
      </c>
      <c r="V95" s="1">
        <f t="shared" si="1"/>
        <v>94</v>
      </c>
      <c r="W95" s="1">
        <f t="shared" si="2"/>
        <v>0.20040080160320642</v>
      </c>
    </row>
    <row r="96" spans="1:37" x14ac:dyDescent="0.2">
      <c r="A96" s="1">
        <v>95</v>
      </c>
      <c r="B96" s="1" t="s">
        <v>1180</v>
      </c>
      <c r="C96" s="1" t="s">
        <v>729</v>
      </c>
      <c r="D96" s="1" t="s">
        <v>596</v>
      </c>
      <c r="E96" s="1" t="s">
        <v>1160</v>
      </c>
      <c r="F96" s="1" t="s">
        <v>81</v>
      </c>
      <c r="G96" s="1">
        <f>IF(ISNA(VLOOKUP(F96,Monster!B:E,4,FALSE)),0,VLOOKUP(F96,Monster!B:E,4,FALSE))</f>
        <v>7</v>
      </c>
      <c r="I96" s="1" t="s">
        <v>1181</v>
      </c>
      <c r="J96" s="1">
        <v>1293</v>
      </c>
      <c r="K96" s="1">
        <v>0</v>
      </c>
      <c r="L96" s="1">
        <v>910</v>
      </c>
      <c r="M96" s="1" t="s">
        <v>58</v>
      </c>
      <c r="N96" s="1">
        <f>((NOT(ISNA(VLOOKUP(M96,Monster!$H$2:$I$6,2,FALSE)))*L96)+J96)*(1+K96/100*0.25)</f>
        <v>2203</v>
      </c>
      <c r="O96" s="1" t="str">
        <f t="shared" si="0"/>
        <v>Thunder - 2203</v>
      </c>
      <c r="P96" s="1" t="s">
        <v>253</v>
      </c>
      <c r="Q96" s="1">
        <v>1</v>
      </c>
      <c r="V96" s="1">
        <f t="shared" si="1"/>
        <v>95</v>
      </c>
      <c r="W96" s="1">
        <f t="shared" si="2"/>
        <v>0.41307308216068994</v>
      </c>
    </row>
    <row r="97" spans="1:23" x14ac:dyDescent="0.2">
      <c r="A97" s="1">
        <v>96</v>
      </c>
      <c r="B97" s="1" t="s">
        <v>1184</v>
      </c>
      <c r="C97" s="1" t="s">
        <v>740</v>
      </c>
      <c r="D97" s="1" t="s">
        <v>596</v>
      </c>
      <c r="E97" s="1" t="s">
        <v>1160</v>
      </c>
      <c r="F97" s="1" t="s">
        <v>97</v>
      </c>
      <c r="G97" s="1">
        <f>IF(ISNA(VLOOKUP(F97,Monster!B:E,4,FALSE)),0,VLOOKUP(F97,Monster!B:E,4,FALSE))</f>
        <v>9</v>
      </c>
      <c r="I97" s="1" t="s">
        <v>1184</v>
      </c>
      <c r="J97" s="1">
        <v>1756</v>
      </c>
      <c r="K97" s="1">
        <v>0</v>
      </c>
      <c r="L97" s="1">
        <v>300</v>
      </c>
      <c r="M97" s="1" t="s">
        <v>95</v>
      </c>
      <c r="N97" s="1">
        <f>((NOT(ISNA(VLOOKUP(M97,Monster!$H$2:$I$6,2,FALSE)))*L97)+J97)*(1+K97/100*0.25)</f>
        <v>1756</v>
      </c>
      <c r="O97" s="1" t="str">
        <f t="shared" si="0"/>
        <v>Sleep - 1756</v>
      </c>
      <c r="P97" s="1" t="s">
        <v>590</v>
      </c>
      <c r="Q97" s="1">
        <v>1</v>
      </c>
      <c r="V97" s="1">
        <f t="shared" si="1"/>
        <v>96</v>
      </c>
      <c r="W97" s="1">
        <f t="shared" si="2"/>
        <v>0.14591439688715954</v>
      </c>
    </row>
    <row r="98" spans="1:23" x14ac:dyDescent="0.2">
      <c r="A98" s="1">
        <v>97</v>
      </c>
      <c r="B98" s="1" t="s">
        <v>1185</v>
      </c>
      <c r="C98" s="1" t="s">
        <v>745</v>
      </c>
      <c r="D98" s="1" t="s">
        <v>596</v>
      </c>
      <c r="E98" s="1" t="s">
        <v>1160</v>
      </c>
      <c r="F98" s="1" t="s">
        <v>102</v>
      </c>
      <c r="G98" s="1">
        <f>IF(ISNA(VLOOKUP(F98,Monster!B:E,4,FALSE)),0,VLOOKUP(F98,Monster!B:E,4,FALSE))</f>
        <v>10</v>
      </c>
      <c r="I98" s="1" t="s">
        <v>1187</v>
      </c>
      <c r="J98" s="1">
        <v>1293</v>
      </c>
      <c r="K98" s="1">
        <v>0</v>
      </c>
      <c r="L98" s="1">
        <v>910</v>
      </c>
      <c r="M98" s="1" t="s">
        <v>50</v>
      </c>
      <c r="N98" s="1">
        <f>((NOT(ISNA(VLOOKUP(M98,Monster!$H$2:$I$6,2,FALSE)))*L98)+J98)*(1+K98/100*0.25)</f>
        <v>2203</v>
      </c>
      <c r="O98" s="1" t="str">
        <f t="shared" si="0"/>
        <v>Water - 2203</v>
      </c>
      <c r="P98" s="1" t="s">
        <v>394</v>
      </c>
      <c r="Q98" s="1">
        <v>1</v>
      </c>
      <c r="V98" s="1">
        <f t="shared" si="1"/>
        <v>97</v>
      </c>
      <c r="W98" s="1">
        <f t="shared" si="2"/>
        <v>0.41307308216068994</v>
      </c>
    </row>
    <row r="99" spans="1:23" x14ac:dyDescent="0.2">
      <c r="A99" s="1">
        <v>98</v>
      </c>
      <c r="B99" s="1" t="s">
        <v>1188</v>
      </c>
      <c r="C99" s="1" t="s">
        <v>750</v>
      </c>
      <c r="D99" s="1" t="s">
        <v>596</v>
      </c>
      <c r="E99" s="1" t="s">
        <v>1160</v>
      </c>
      <c r="F99" s="1" t="s">
        <v>109</v>
      </c>
      <c r="G99" s="1">
        <f>IF(ISNA(VLOOKUP(F99,Monster!B:E,4,FALSE)),0,VLOOKUP(F99,Monster!B:E,4,FALSE))</f>
        <v>11</v>
      </c>
      <c r="I99" s="1" t="s">
        <v>1189</v>
      </c>
      <c r="J99" s="1">
        <v>1293</v>
      </c>
      <c r="K99" s="1">
        <v>0</v>
      </c>
      <c r="L99" s="1">
        <v>910</v>
      </c>
      <c r="M99" s="1" t="s">
        <v>41</v>
      </c>
      <c r="N99" s="1">
        <f>((NOT(ISNA(VLOOKUP(M99,Monster!$H$2:$I$6,2,FALSE)))*L99)+J99)*(1+K99/100*0.25)</f>
        <v>2203</v>
      </c>
      <c r="O99" s="1" t="str">
        <f t="shared" si="0"/>
        <v>Fire - 2203</v>
      </c>
      <c r="P99" s="1" t="s">
        <v>543</v>
      </c>
      <c r="Q99" s="1">
        <v>1</v>
      </c>
      <c r="V99" s="1">
        <f t="shared" si="1"/>
        <v>98</v>
      </c>
      <c r="W99" s="1">
        <f t="shared" si="2"/>
        <v>0.41307308216068994</v>
      </c>
    </row>
    <row r="100" spans="1:23" x14ac:dyDescent="0.2">
      <c r="A100" s="1">
        <v>99</v>
      </c>
      <c r="B100" s="1" t="s">
        <v>1191</v>
      </c>
      <c r="C100" s="1" t="s">
        <v>756</v>
      </c>
      <c r="D100" s="1" t="s">
        <v>596</v>
      </c>
      <c r="E100" s="1" t="s">
        <v>1160</v>
      </c>
      <c r="F100" s="1" t="s">
        <v>119</v>
      </c>
      <c r="G100" s="1">
        <f>IF(ISNA(VLOOKUP(F100,Monster!B:E,4,FALSE)),0,VLOOKUP(F100,Monster!B:E,4,FALSE))</f>
        <v>12</v>
      </c>
      <c r="I100" s="1" t="s">
        <v>1192</v>
      </c>
      <c r="J100" s="1">
        <v>1197</v>
      </c>
      <c r="K100" s="1">
        <v>20</v>
      </c>
      <c r="L100" s="1">
        <v>1154</v>
      </c>
      <c r="M100" s="1" t="s">
        <v>58</v>
      </c>
      <c r="N100" s="1">
        <f>((NOT(ISNA(VLOOKUP(M100,Monster!$H$2:$I$6,2,FALSE)))*L100)+J100)*(1+K100/100*0.25)</f>
        <v>2468.5500000000002</v>
      </c>
      <c r="O100" s="1" t="str">
        <f t="shared" si="0"/>
        <v>Thunder - 2468.55</v>
      </c>
      <c r="P100" s="1" t="s">
        <v>175</v>
      </c>
      <c r="Q100" s="1">
        <v>1</v>
      </c>
      <c r="V100" s="1">
        <f t="shared" si="1"/>
        <v>99</v>
      </c>
      <c r="W100" s="1">
        <f t="shared" si="2"/>
        <v>0.49085495533815399</v>
      </c>
    </row>
    <row r="101" spans="1:23" x14ac:dyDescent="0.2">
      <c r="A101" s="1">
        <v>100</v>
      </c>
      <c r="B101" s="1" t="s">
        <v>1196</v>
      </c>
      <c r="C101" s="1" t="s">
        <v>775</v>
      </c>
      <c r="D101" s="1" t="s">
        <v>596</v>
      </c>
      <c r="E101" s="1" t="s">
        <v>1160</v>
      </c>
      <c r="F101" s="1" t="s">
        <v>146</v>
      </c>
      <c r="G101" s="1">
        <f>IF(ISNA(VLOOKUP(F101,Monster!B:E,4,FALSE)),0,VLOOKUP(F101,Monster!B:E,4,FALSE))</f>
        <v>16</v>
      </c>
      <c r="I101" s="1" t="s">
        <v>1197</v>
      </c>
      <c r="J101" s="1">
        <v>1221</v>
      </c>
      <c r="K101" s="1">
        <v>0</v>
      </c>
      <c r="L101" s="1">
        <v>1142</v>
      </c>
      <c r="M101" s="1" t="s">
        <v>66</v>
      </c>
      <c r="N101" s="1">
        <f>((NOT(ISNA(VLOOKUP(M101,Monster!$H$2:$I$6,2,FALSE)))*L101)+J101)*(1+K101/100*0.25)</f>
        <v>2363</v>
      </c>
      <c r="O101" s="1" t="str">
        <f t="shared" si="0"/>
        <v>Ice - 2363</v>
      </c>
      <c r="P101" s="1" t="s">
        <v>228</v>
      </c>
      <c r="Q101" s="1">
        <v>2</v>
      </c>
      <c r="V101" s="1">
        <f t="shared" si="1"/>
        <v>100</v>
      </c>
      <c r="W101" s="1">
        <f t="shared" si="2"/>
        <v>0.48328396106644095</v>
      </c>
    </row>
    <row r="102" spans="1:23" x14ac:dyDescent="0.2">
      <c r="A102" s="1">
        <v>101</v>
      </c>
      <c r="B102" s="1" t="s">
        <v>1201</v>
      </c>
      <c r="C102" s="1" t="s">
        <v>786</v>
      </c>
      <c r="D102" s="1" t="s">
        <v>596</v>
      </c>
      <c r="E102" s="1" t="s">
        <v>1160</v>
      </c>
      <c r="F102" s="1" t="s">
        <v>160</v>
      </c>
      <c r="G102" s="1">
        <f>IF(ISNA(VLOOKUP(F102,Monster!B:E,4,FALSE)),0,VLOOKUP(F102,Monster!B:E,4,FALSE))</f>
        <v>19</v>
      </c>
      <c r="I102" s="1" t="s">
        <v>1202</v>
      </c>
      <c r="J102" s="1">
        <v>1221</v>
      </c>
      <c r="K102" s="1">
        <v>0</v>
      </c>
      <c r="L102" s="1">
        <v>1142</v>
      </c>
      <c r="M102" s="1" t="s">
        <v>41</v>
      </c>
      <c r="N102" s="1">
        <f>((NOT(ISNA(VLOOKUP(M102,Monster!$H$2:$I$6,2,FALSE)))*L102)+J102)*(1+K102/100*0.25)</f>
        <v>2363</v>
      </c>
      <c r="O102" s="1" t="str">
        <f t="shared" si="0"/>
        <v>Fire - 2363</v>
      </c>
      <c r="P102" s="1" t="s">
        <v>244</v>
      </c>
      <c r="Q102" s="1">
        <v>1</v>
      </c>
      <c r="V102" s="1">
        <f t="shared" si="1"/>
        <v>101</v>
      </c>
      <c r="W102" s="1">
        <f t="shared" si="2"/>
        <v>0.48328396106644095</v>
      </c>
    </row>
    <row r="103" spans="1:23" x14ac:dyDescent="0.2">
      <c r="A103" s="1">
        <v>102</v>
      </c>
      <c r="B103" s="1" t="s">
        <v>1204</v>
      </c>
      <c r="C103" s="1" t="s">
        <v>790</v>
      </c>
      <c r="D103" s="1" t="s">
        <v>596</v>
      </c>
      <c r="E103" s="1" t="s">
        <v>1160</v>
      </c>
      <c r="F103" s="1" t="s">
        <v>165</v>
      </c>
      <c r="G103" s="1">
        <f>IF(ISNA(VLOOKUP(F103,Monster!B:E,4,FALSE)),0,VLOOKUP(F103,Monster!B:E,4,FALSE))</f>
        <v>20</v>
      </c>
      <c r="I103" s="1" t="s">
        <v>1205</v>
      </c>
      <c r="J103" s="1">
        <v>1682</v>
      </c>
      <c r="K103" s="1">
        <v>0</v>
      </c>
      <c r="L103" s="1">
        <v>605</v>
      </c>
      <c r="M103" s="1" t="s">
        <v>41</v>
      </c>
      <c r="N103" s="1">
        <f>((NOT(ISNA(VLOOKUP(M103,Monster!$H$2:$I$6,2,FALSE)))*L103)+J103)*(1+K103/100*0.25)</f>
        <v>2287</v>
      </c>
      <c r="O103" s="1" t="str">
        <f t="shared" si="0"/>
        <v>Fire - 2287</v>
      </c>
      <c r="P103" s="1" t="s">
        <v>602</v>
      </c>
      <c r="Q103" s="1">
        <v>1</v>
      </c>
      <c r="V103" s="1">
        <f t="shared" si="1"/>
        <v>102</v>
      </c>
      <c r="W103" s="1">
        <f t="shared" si="2"/>
        <v>0.26453869698294707</v>
      </c>
    </row>
    <row r="104" spans="1:23" x14ac:dyDescent="0.2">
      <c r="A104" s="1">
        <v>103</v>
      </c>
      <c r="B104" s="1" t="s">
        <v>1207</v>
      </c>
      <c r="C104" s="1" t="s">
        <v>794</v>
      </c>
      <c r="D104" s="1" t="s">
        <v>596</v>
      </c>
      <c r="E104" s="1" t="s">
        <v>1160</v>
      </c>
      <c r="F104" s="1" t="s">
        <v>171</v>
      </c>
      <c r="G104" s="1">
        <f>IF(ISNA(VLOOKUP(F104,Monster!B:E,4,FALSE)),0,VLOOKUP(F104,Monster!B:E,4,FALSE))</f>
        <v>21</v>
      </c>
      <c r="I104" s="1" t="s">
        <v>1207</v>
      </c>
      <c r="J104" s="1">
        <v>1258</v>
      </c>
      <c r="K104" s="1">
        <v>30</v>
      </c>
      <c r="L104" s="1">
        <v>1082</v>
      </c>
      <c r="M104" s="1" t="s">
        <v>41</v>
      </c>
      <c r="N104" s="1">
        <f>((NOT(ISNA(VLOOKUP(M104,Monster!$H$2:$I$6,2,FALSE)))*L104)+J104)*(1+K104/100*0.25)</f>
        <v>2515.5</v>
      </c>
      <c r="O104" s="1" t="str">
        <f t="shared" si="0"/>
        <v>Fire - 2515.5</v>
      </c>
      <c r="P104" s="1" t="s">
        <v>175</v>
      </c>
      <c r="Q104" s="1">
        <v>2</v>
      </c>
      <c r="V104" s="1">
        <f t="shared" si="1"/>
        <v>103</v>
      </c>
      <c r="W104" s="1">
        <f t="shared" si="2"/>
        <v>0.46239316239316242</v>
      </c>
    </row>
    <row r="105" spans="1:23" x14ac:dyDescent="0.2">
      <c r="A105" s="1">
        <v>104</v>
      </c>
      <c r="B105" s="1" t="s">
        <v>1208</v>
      </c>
      <c r="C105" s="1" t="s">
        <v>797</v>
      </c>
      <c r="D105" s="1" t="s">
        <v>596</v>
      </c>
      <c r="E105" s="1" t="s">
        <v>1160</v>
      </c>
      <c r="F105" s="1" t="s">
        <v>176</v>
      </c>
      <c r="G105" s="1">
        <f>IF(ISNA(VLOOKUP(F105,Monster!B:E,4,FALSE)),0,VLOOKUP(F105,Monster!B:E,4,FALSE))</f>
        <v>22</v>
      </c>
      <c r="I105" s="1" t="s">
        <v>1210</v>
      </c>
      <c r="J105" s="1">
        <v>1596</v>
      </c>
      <c r="K105" s="1">
        <v>0</v>
      </c>
      <c r="L105" s="1">
        <v>400</v>
      </c>
      <c r="M105" s="1" t="s">
        <v>95</v>
      </c>
      <c r="N105" s="1">
        <f>((NOT(ISNA(VLOOKUP(M105,Monster!$H$2:$I$6,2,FALSE)))*L105)+J105)*(1+K105/100*0.25)</f>
        <v>1596</v>
      </c>
      <c r="O105" s="1" t="str">
        <f t="shared" si="0"/>
        <v>Sleep - 1596</v>
      </c>
      <c r="P105" s="1" t="s">
        <v>213</v>
      </c>
      <c r="Q105" s="1">
        <v>2</v>
      </c>
      <c r="V105" s="1">
        <f t="shared" si="1"/>
        <v>104</v>
      </c>
      <c r="W105" s="1">
        <f t="shared" si="2"/>
        <v>0.20040080160320642</v>
      </c>
    </row>
    <row r="106" spans="1:23" x14ac:dyDescent="0.2">
      <c r="A106" s="1">
        <v>105</v>
      </c>
      <c r="B106" s="1" t="s">
        <v>1211</v>
      </c>
      <c r="C106" s="1" t="s">
        <v>800</v>
      </c>
      <c r="D106" s="1" t="s">
        <v>596</v>
      </c>
      <c r="E106" s="1" t="s">
        <v>1160</v>
      </c>
      <c r="F106" s="1" t="s">
        <v>184</v>
      </c>
      <c r="G106" s="1">
        <f>IF(ISNA(VLOOKUP(F106,Monster!B:E,4,FALSE)),0,VLOOKUP(F106,Monster!B:E,4,FALSE))</f>
        <v>23</v>
      </c>
      <c r="I106" s="1" t="s">
        <v>1211</v>
      </c>
      <c r="J106" s="1">
        <v>1764</v>
      </c>
      <c r="K106" s="1">
        <v>0</v>
      </c>
      <c r="L106" s="1">
        <v>0</v>
      </c>
      <c r="M106" s="1" t="s">
        <v>107</v>
      </c>
      <c r="N106" s="1">
        <f>((NOT(ISNA(VLOOKUP(M106,Monster!$H$2:$I$6,2,FALSE)))*L106)+J106)*(1+K106/100*0.25)</f>
        <v>1764</v>
      </c>
      <c r="O106" s="1" t="str">
        <f t="shared" si="0"/>
        <v>No Element - 1764</v>
      </c>
      <c r="P106" s="1" t="s">
        <v>306</v>
      </c>
      <c r="Q106" s="1">
        <v>2</v>
      </c>
      <c r="V106" s="1">
        <f t="shared" si="1"/>
        <v>105</v>
      </c>
      <c r="W106" s="1">
        <f t="shared" si="2"/>
        <v>0</v>
      </c>
    </row>
    <row r="107" spans="1:23" x14ac:dyDescent="0.2">
      <c r="A107" s="1">
        <v>106</v>
      </c>
      <c r="B107" s="1" t="s">
        <v>1214</v>
      </c>
      <c r="C107" s="1" t="s">
        <v>803</v>
      </c>
      <c r="D107" s="1" t="s">
        <v>596</v>
      </c>
      <c r="E107" s="1" t="s">
        <v>1160</v>
      </c>
      <c r="F107" s="1" t="s">
        <v>190</v>
      </c>
      <c r="G107" s="1">
        <f>IF(ISNA(VLOOKUP(F107,Monster!B:E,4,FALSE)),0,VLOOKUP(F107,Monster!B:E,4,FALSE))</f>
        <v>24</v>
      </c>
      <c r="I107" s="1" t="s">
        <v>1215</v>
      </c>
      <c r="J107" s="1">
        <v>1191</v>
      </c>
      <c r="K107" s="1">
        <v>20</v>
      </c>
      <c r="L107" s="1">
        <v>910</v>
      </c>
      <c r="M107" s="1" t="s">
        <v>66</v>
      </c>
      <c r="N107" s="1">
        <f>((NOT(ISNA(VLOOKUP(M107,Monster!$H$2:$I$6,2,FALSE)))*L107)+J107)*(1+K107/100*0.25)</f>
        <v>2206.0500000000002</v>
      </c>
      <c r="O107" s="1" t="str">
        <f t="shared" si="0"/>
        <v>Ice - 2206.05</v>
      </c>
      <c r="P107" s="1" t="s">
        <v>253</v>
      </c>
      <c r="Q107" s="1">
        <v>1</v>
      </c>
      <c r="V107" s="1">
        <f t="shared" si="1"/>
        <v>106</v>
      </c>
      <c r="W107" s="1">
        <f t="shared" si="2"/>
        <v>0.43312708234174202</v>
      </c>
    </row>
    <row r="108" spans="1:23" x14ac:dyDescent="0.2">
      <c r="A108" s="1">
        <v>107</v>
      </c>
      <c r="B108" s="1" t="s">
        <v>1218</v>
      </c>
      <c r="C108" s="1" t="s">
        <v>807</v>
      </c>
      <c r="D108" s="1" t="s">
        <v>596</v>
      </c>
      <c r="E108" s="1" t="s">
        <v>1160</v>
      </c>
      <c r="F108" s="1" t="s">
        <v>193</v>
      </c>
      <c r="G108" s="1">
        <f>IF(ISNA(VLOOKUP(F108,Monster!B:E,4,FALSE)),0,VLOOKUP(F108,Monster!B:E,4,FALSE))</f>
        <v>25</v>
      </c>
      <c r="I108" s="1" t="s">
        <v>1218</v>
      </c>
      <c r="J108" s="1">
        <v>1221</v>
      </c>
      <c r="K108" s="1">
        <v>0</v>
      </c>
      <c r="L108" s="1">
        <v>1142</v>
      </c>
      <c r="M108" s="1" t="s">
        <v>58</v>
      </c>
      <c r="N108" s="1">
        <f>((NOT(ISNA(VLOOKUP(M108,Monster!$H$2:$I$6,2,FALSE)))*L108)+J108)*(1+K108/100*0.25)</f>
        <v>2363</v>
      </c>
      <c r="O108" s="1" t="str">
        <f t="shared" si="0"/>
        <v>Thunder - 2363</v>
      </c>
      <c r="P108" s="1" t="s">
        <v>38</v>
      </c>
      <c r="Q108" s="1">
        <v>1</v>
      </c>
      <c r="V108" s="1">
        <f t="shared" si="1"/>
        <v>107</v>
      </c>
      <c r="W108" s="1">
        <f t="shared" si="2"/>
        <v>0.48328396106644095</v>
      </c>
    </row>
    <row r="109" spans="1:23" x14ac:dyDescent="0.2">
      <c r="A109" s="1">
        <v>108</v>
      </c>
      <c r="B109" s="1" t="s">
        <v>1221</v>
      </c>
      <c r="C109" s="1" t="s">
        <v>821</v>
      </c>
      <c r="D109" s="1" t="s">
        <v>596</v>
      </c>
      <c r="E109" s="1" t="s">
        <v>1160</v>
      </c>
      <c r="F109" s="1" t="s">
        <v>216</v>
      </c>
      <c r="G109" s="1">
        <f>IF(ISNA(VLOOKUP(F109,Monster!B:E,4,FALSE)),0,VLOOKUP(F109,Monster!B:E,4,FALSE))</f>
        <v>29</v>
      </c>
      <c r="I109" s="1" t="s">
        <v>1222</v>
      </c>
      <c r="J109" s="1">
        <v>1318</v>
      </c>
      <c r="K109" s="1">
        <v>-30</v>
      </c>
      <c r="L109" s="1">
        <v>1261</v>
      </c>
      <c r="M109" s="1" t="s">
        <v>71</v>
      </c>
      <c r="N109" s="1">
        <f>((NOT(ISNA(VLOOKUP(M109,Monster!$H$2:$I$6,2,FALSE)))*L109)+J109)*(1+K109/100*0.25)</f>
        <v>2385.5750000000003</v>
      </c>
      <c r="O109" s="1" t="str">
        <f t="shared" si="0"/>
        <v>Dragon - 2385.575</v>
      </c>
      <c r="P109" s="1" t="s">
        <v>583</v>
      </c>
      <c r="Q109" s="1">
        <v>1</v>
      </c>
      <c r="V109" s="1">
        <f t="shared" si="1"/>
        <v>108</v>
      </c>
      <c r="W109" s="1">
        <f t="shared" si="2"/>
        <v>0.4889492051182629</v>
      </c>
    </row>
    <row r="110" spans="1:23" x14ac:dyDescent="0.2">
      <c r="A110" s="1">
        <v>109</v>
      </c>
      <c r="B110" s="1" t="s">
        <v>1224</v>
      </c>
      <c r="C110" s="1" t="s">
        <v>829</v>
      </c>
      <c r="D110" s="1" t="s">
        <v>596</v>
      </c>
      <c r="E110" s="1" t="s">
        <v>1160</v>
      </c>
      <c r="F110" s="1" t="s">
        <v>229</v>
      </c>
      <c r="G110" s="1">
        <f>IF(ISNA(VLOOKUP(F110,Monster!B:E,4,FALSE)),0,VLOOKUP(F110,Monster!B:E,4,FALSE))</f>
        <v>31</v>
      </c>
      <c r="I110" s="1" t="s">
        <v>1224</v>
      </c>
      <c r="J110" s="1">
        <v>1194</v>
      </c>
      <c r="K110" s="1">
        <v>20</v>
      </c>
      <c r="L110" s="1">
        <v>913</v>
      </c>
      <c r="M110" s="1" t="s">
        <v>58</v>
      </c>
      <c r="N110" s="1">
        <f>((NOT(ISNA(VLOOKUP(M110,Monster!$H$2:$I$6,2,FALSE)))*L110)+J110)*(1+K110/100*0.25)</f>
        <v>2212.35</v>
      </c>
      <c r="O110" s="1" t="str">
        <f t="shared" si="0"/>
        <v>Thunder - 2212.35</v>
      </c>
      <c r="P110" s="1" t="s">
        <v>470</v>
      </c>
      <c r="Q110" s="1">
        <v>1</v>
      </c>
      <c r="V110" s="1">
        <f t="shared" si="1"/>
        <v>109</v>
      </c>
      <c r="W110" s="1">
        <f t="shared" si="2"/>
        <v>0.43331751305173233</v>
      </c>
    </row>
    <row r="111" spans="1:23" x14ac:dyDescent="0.2">
      <c r="A111" s="1">
        <v>110</v>
      </c>
      <c r="B111" s="1" t="s">
        <v>1226</v>
      </c>
      <c r="C111" s="1" t="s">
        <v>834</v>
      </c>
      <c r="D111" s="1" t="s">
        <v>596</v>
      </c>
      <c r="E111" s="1" t="s">
        <v>1160</v>
      </c>
      <c r="F111" s="1" t="s">
        <v>234</v>
      </c>
      <c r="G111" s="1">
        <f>IF(ISNA(VLOOKUP(F111,Monster!B:E,4,FALSE)),0,VLOOKUP(F111,Monster!B:E,4,FALSE))</f>
        <v>32</v>
      </c>
      <c r="I111" s="1" t="s">
        <v>1226</v>
      </c>
      <c r="J111" s="1">
        <v>1553</v>
      </c>
      <c r="K111" s="1">
        <v>0</v>
      </c>
      <c r="L111" s="1">
        <v>974</v>
      </c>
      <c r="M111" s="1" t="s">
        <v>66</v>
      </c>
      <c r="N111" s="1">
        <f>((NOT(ISNA(VLOOKUP(M111,Monster!$H$2:$I$6,2,FALSE)))*L111)+J111)*(1+K111/100*0.25)</f>
        <v>2527</v>
      </c>
      <c r="O111" s="1" t="str">
        <f t="shared" si="0"/>
        <v>Ice - 2527</v>
      </c>
      <c r="P111" s="1" t="s">
        <v>528</v>
      </c>
      <c r="Q111" s="1">
        <v>2</v>
      </c>
      <c r="V111" s="1">
        <f t="shared" si="1"/>
        <v>110</v>
      </c>
      <c r="W111" s="1">
        <f t="shared" si="2"/>
        <v>0.38543727740403638</v>
      </c>
    </row>
    <row r="112" spans="1:23" x14ac:dyDescent="0.2">
      <c r="A112" s="1">
        <v>111</v>
      </c>
      <c r="B112" s="1" t="s">
        <v>1228</v>
      </c>
      <c r="C112" s="1" t="s">
        <v>839</v>
      </c>
      <c r="D112" s="1" t="s">
        <v>596</v>
      </c>
      <c r="E112" s="1" t="s">
        <v>1160</v>
      </c>
      <c r="F112" s="1" t="s">
        <v>239</v>
      </c>
      <c r="G112" s="1">
        <f>IF(ISNA(VLOOKUP(F112,Monster!B:E,4,FALSE)),0,VLOOKUP(F112,Monster!B:E,4,FALSE))</f>
        <v>33</v>
      </c>
      <c r="I112" s="1" t="s">
        <v>1230</v>
      </c>
      <c r="J112" s="1">
        <v>1138</v>
      </c>
      <c r="K112" s="1">
        <v>20</v>
      </c>
      <c r="L112" s="1">
        <v>1156</v>
      </c>
      <c r="M112" s="1" t="s">
        <v>50</v>
      </c>
      <c r="N112" s="1">
        <f>((NOT(ISNA(VLOOKUP(M112,Monster!$H$2:$I$6,2,FALSE)))*L112)+J112)*(1+K112/100*0.25)</f>
        <v>2408.7000000000003</v>
      </c>
      <c r="O112" s="1" t="str">
        <f t="shared" si="0"/>
        <v>Water - 2408.7</v>
      </c>
      <c r="P112" s="1" t="s">
        <v>38</v>
      </c>
      <c r="Q112" s="1">
        <v>1</v>
      </c>
      <c r="V112" s="1">
        <f t="shared" si="1"/>
        <v>111</v>
      </c>
      <c r="W112" s="1">
        <f t="shared" si="2"/>
        <v>0.50392327811682647</v>
      </c>
    </row>
    <row r="113" spans="1:23" x14ac:dyDescent="0.2">
      <c r="A113" s="1">
        <v>112</v>
      </c>
      <c r="B113" s="1" t="s">
        <v>1231</v>
      </c>
      <c r="C113" s="1" t="s">
        <v>845</v>
      </c>
      <c r="D113" s="1" t="s">
        <v>596</v>
      </c>
      <c r="E113" s="1" t="s">
        <v>1160</v>
      </c>
      <c r="F113" s="1" t="s">
        <v>245</v>
      </c>
      <c r="G113" s="1">
        <f>IF(ISNA(VLOOKUP(F113,Monster!B:E,4,FALSE)),0,VLOOKUP(F113,Monster!B:E,4,FALSE))</f>
        <v>34</v>
      </c>
      <c r="I113" s="1" t="s">
        <v>1231</v>
      </c>
      <c r="J113" s="1">
        <v>1684</v>
      </c>
      <c r="K113" s="1">
        <v>0</v>
      </c>
      <c r="L113" s="1">
        <v>502</v>
      </c>
      <c r="M113" s="1" t="s">
        <v>100</v>
      </c>
      <c r="N113" s="1">
        <f>((NOT(ISNA(VLOOKUP(M113,Monster!$H$2:$I$6,2,FALSE)))*L113)+J113)*(1+K113/100*0.25)</f>
        <v>1684</v>
      </c>
      <c r="O113" s="1" t="str">
        <f t="shared" si="0"/>
        <v>Blast - 1684</v>
      </c>
      <c r="P113" s="1" t="s">
        <v>364</v>
      </c>
      <c r="Q113" s="1">
        <v>2</v>
      </c>
      <c r="V113" s="1">
        <f t="shared" si="1"/>
        <v>112</v>
      </c>
      <c r="W113" s="1">
        <f t="shared" si="2"/>
        <v>0.22964318389752975</v>
      </c>
    </row>
    <row r="114" spans="1:23" x14ac:dyDescent="0.2">
      <c r="A114" s="1">
        <v>113</v>
      </c>
      <c r="B114" s="1" t="s">
        <v>1233</v>
      </c>
      <c r="C114" s="1" t="s">
        <v>849</v>
      </c>
      <c r="D114" s="1" t="s">
        <v>596</v>
      </c>
      <c r="E114" s="1" t="s">
        <v>1160</v>
      </c>
      <c r="F114" s="1" t="s">
        <v>251</v>
      </c>
      <c r="G114" s="1">
        <f>IF(ISNA(VLOOKUP(F114,Monster!B:E,4,FALSE)),0,VLOOKUP(F114,Monster!B:E,4,FALSE))</f>
        <v>35</v>
      </c>
      <c r="I114" s="1" t="s">
        <v>1234</v>
      </c>
      <c r="J114" s="1">
        <v>1588</v>
      </c>
      <c r="K114" s="1">
        <v>0</v>
      </c>
      <c r="L114" s="1">
        <v>632</v>
      </c>
      <c r="M114" s="1" t="s">
        <v>41</v>
      </c>
      <c r="N114" s="1">
        <f>((NOT(ISNA(VLOOKUP(M114,Monster!$H$2:$I$6,2,FALSE)))*L114)+J114)*(1+K114/100*0.25)</f>
        <v>2220</v>
      </c>
      <c r="O114" s="1" t="str">
        <f t="shared" si="0"/>
        <v>Fire - 2220</v>
      </c>
      <c r="P114" s="1" t="s">
        <v>412</v>
      </c>
      <c r="Q114" s="1">
        <v>1</v>
      </c>
      <c r="V114" s="1">
        <f t="shared" si="1"/>
        <v>113</v>
      </c>
      <c r="W114" s="1">
        <f t="shared" si="2"/>
        <v>0.28468468468468466</v>
      </c>
    </row>
    <row r="115" spans="1:23" x14ac:dyDescent="0.2">
      <c r="A115" s="1">
        <v>114</v>
      </c>
      <c r="B115" s="1" t="s">
        <v>1235</v>
      </c>
      <c r="C115" s="1" t="s">
        <v>853</v>
      </c>
      <c r="D115" s="1" t="s">
        <v>596</v>
      </c>
      <c r="E115" s="1" t="s">
        <v>1160</v>
      </c>
      <c r="F115" s="1" t="s">
        <v>256</v>
      </c>
      <c r="G115" s="1">
        <f>IF(ISNA(VLOOKUP(F115,Monster!B:E,4,FALSE)),0,VLOOKUP(F115,Monster!B:E,4,FALSE))</f>
        <v>36</v>
      </c>
      <c r="I115" s="1" t="s">
        <v>1237</v>
      </c>
      <c r="J115" s="1">
        <v>1516</v>
      </c>
      <c r="K115" s="1">
        <v>0</v>
      </c>
      <c r="L115" s="1">
        <v>496</v>
      </c>
      <c r="M115" s="1" t="s">
        <v>100</v>
      </c>
      <c r="N115" s="1">
        <f>((NOT(ISNA(VLOOKUP(M115,Monster!$H$2:$I$6,2,FALSE)))*L115)+J115)*(1+K115/100*0.25)</f>
        <v>1516</v>
      </c>
      <c r="O115" s="1" t="str">
        <f t="shared" si="0"/>
        <v>Blast - 1516</v>
      </c>
      <c r="P115" s="1" t="s">
        <v>463</v>
      </c>
      <c r="Q115" s="1">
        <v>1</v>
      </c>
      <c r="V115" s="1">
        <f t="shared" si="1"/>
        <v>114</v>
      </c>
      <c r="W115" s="1">
        <f t="shared" si="2"/>
        <v>0.24652087475149106</v>
      </c>
    </row>
    <row r="116" spans="1:23" x14ac:dyDescent="0.2">
      <c r="A116" s="1">
        <v>115</v>
      </c>
      <c r="B116" s="1" t="s">
        <v>1238</v>
      </c>
      <c r="C116" s="1" t="s">
        <v>857</v>
      </c>
      <c r="D116" s="1" t="s">
        <v>596</v>
      </c>
      <c r="E116" s="1" t="s">
        <v>1160</v>
      </c>
      <c r="F116" s="1" t="s">
        <v>263</v>
      </c>
      <c r="G116" s="1">
        <f>IF(ISNA(VLOOKUP(F116,Monster!B:E,4,FALSE)),0,VLOOKUP(F116,Monster!B:E,4,FALSE))</f>
        <v>37</v>
      </c>
      <c r="I116" s="1" t="s">
        <v>1240</v>
      </c>
      <c r="J116" s="1">
        <v>1318</v>
      </c>
      <c r="K116" s="1">
        <v>-30</v>
      </c>
      <c r="L116" s="1">
        <v>1261</v>
      </c>
      <c r="M116" s="1" t="s">
        <v>58</v>
      </c>
      <c r="N116" s="1">
        <f>((NOT(ISNA(VLOOKUP(M116,Monster!$H$2:$I$6,2,FALSE)))*L116)+J116)*(1+K116/100*0.25)</f>
        <v>2385.5750000000003</v>
      </c>
      <c r="O116" s="1" t="str">
        <f t="shared" si="0"/>
        <v>Thunder - 2385.575</v>
      </c>
      <c r="P116" s="1" t="s">
        <v>463</v>
      </c>
      <c r="Q116" s="1">
        <v>1</v>
      </c>
      <c r="V116" s="1">
        <f t="shared" si="1"/>
        <v>115</v>
      </c>
      <c r="W116" s="1">
        <f t="shared" si="2"/>
        <v>0.4889492051182629</v>
      </c>
    </row>
    <row r="117" spans="1:23" x14ac:dyDescent="0.2">
      <c r="A117" s="1">
        <v>116</v>
      </c>
      <c r="B117" s="1" t="s">
        <v>1241</v>
      </c>
      <c r="C117" s="1" t="s">
        <v>863</v>
      </c>
      <c r="D117" s="1" t="s">
        <v>596</v>
      </c>
      <c r="E117" s="1" t="s">
        <v>1160</v>
      </c>
      <c r="F117" s="1" t="s">
        <v>268</v>
      </c>
      <c r="G117" s="1">
        <f>IF(ISNA(VLOOKUP(F117,Monster!B:E,4,FALSE)),0,VLOOKUP(F117,Monster!B:E,4,FALSE))</f>
        <v>38</v>
      </c>
      <c r="I117" s="1" t="s">
        <v>1241</v>
      </c>
      <c r="J117" s="1">
        <v>1553</v>
      </c>
      <c r="K117" s="1">
        <v>0</v>
      </c>
      <c r="L117" s="1">
        <v>974</v>
      </c>
      <c r="M117" s="1" t="s">
        <v>71</v>
      </c>
      <c r="N117" s="1">
        <f>((NOT(ISNA(VLOOKUP(M117,Monster!$H$2:$I$6,2,FALSE)))*L117)+J117)*(1+K117/100*0.25)</f>
        <v>2527</v>
      </c>
      <c r="O117" s="1" t="str">
        <f t="shared" si="0"/>
        <v>Dragon - 2527</v>
      </c>
      <c r="P117" s="1" t="s">
        <v>463</v>
      </c>
      <c r="Q117" s="1">
        <v>2</v>
      </c>
      <c r="V117" s="1">
        <f t="shared" si="1"/>
        <v>116</v>
      </c>
      <c r="W117" s="1">
        <f t="shared" si="2"/>
        <v>0.38543727740403638</v>
      </c>
    </row>
    <row r="118" spans="1:23" x14ac:dyDescent="0.2">
      <c r="A118" s="1">
        <v>117</v>
      </c>
      <c r="B118" s="1" t="s">
        <v>1243</v>
      </c>
      <c r="C118" s="1" t="s">
        <v>866</v>
      </c>
      <c r="D118" s="1" t="s">
        <v>596</v>
      </c>
      <c r="E118" s="1" t="s">
        <v>1160</v>
      </c>
      <c r="F118" s="1" t="s">
        <v>273</v>
      </c>
      <c r="G118" s="1">
        <f>IF(ISNA(VLOOKUP(F118,Monster!B:E,4,FALSE)),0,VLOOKUP(F118,Monster!B:E,4,FALSE))</f>
        <v>39</v>
      </c>
      <c r="I118" s="1" t="s">
        <v>1244</v>
      </c>
      <c r="J118" s="1">
        <v>1588</v>
      </c>
      <c r="K118" s="1">
        <v>0</v>
      </c>
      <c r="L118" s="1">
        <v>632</v>
      </c>
      <c r="M118" s="1" t="s">
        <v>66</v>
      </c>
      <c r="N118" s="1">
        <f>((NOT(ISNA(VLOOKUP(M118,Monster!$H$2:$I$6,2,FALSE)))*L118)+J118)*(1+K118/100*0.25)</f>
        <v>2220</v>
      </c>
      <c r="O118" s="1" t="str">
        <f t="shared" si="0"/>
        <v>Ice - 2220</v>
      </c>
      <c r="P118" s="1" t="s">
        <v>412</v>
      </c>
      <c r="Q118" s="1">
        <v>1</v>
      </c>
      <c r="V118" s="1">
        <f t="shared" si="1"/>
        <v>117</v>
      </c>
      <c r="W118" s="1">
        <f t="shared" si="2"/>
        <v>0.28468468468468466</v>
      </c>
    </row>
    <row r="119" spans="1:23" x14ac:dyDescent="0.2">
      <c r="A119" s="1">
        <v>118</v>
      </c>
      <c r="B119" s="1" t="s">
        <v>1247</v>
      </c>
      <c r="C119" s="1" t="s">
        <v>872</v>
      </c>
      <c r="D119" s="1" t="s">
        <v>596</v>
      </c>
      <c r="E119" s="1" t="s">
        <v>1160</v>
      </c>
      <c r="F119" s="1" t="s">
        <v>288</v>
      </c>
      <c r="G119" s="1">
        <f>IF(ISNA(VLOOKUP(F119,Monster!B:E,4,FALSE)),0,VLOOKUP(F119,Monster!B:E,4,FALSE))</f>
        <v>41</v>
      </c>
      <c r="I119" s="1" t="s">
        <v>1248</v>
      </c>
      <c r="J119" s="1">
        <v>1567</v>
      </c>
      <c r="K119" s="1">
        <v>-15</v>
      </c>
      <c r="L119" s="1">
        <v>496</v>
      </c>
      <c r="M119" s="1" t="s">
        <v>95</v>
      </c>
      <c r="N119" s="1">
        <f>((NOT(ISNA(VLOOKUP(M119,Monster!$H$2:$I$6,2,FALSE)))*L119)+J119)*(1+K119/100*0.25)</f>
        <v>1508.2375</v>
      </c>
      <c r="O119" s="1" t="str">
        <f t="shared" si="0"/>
        <v>Sleep - 1508.2375</v>
      </c>
      <c r="P119" s="1" t="s">
        <v>253</v>
      </c>
      <c r="Q119" s="1">
        <v>1</v>
      </c>
      <c r="V119" s="1">
        <f t="shared" si="1"/>
        <v>118</v>
      </c>
      <c r="W119" s="1">
        <f t="shared" si="2"/>
        <v>0.24042656325739215</v>
      </c>
    </row>
    <row r="120" spans="1:23" x14ac:dyDescent="0.2">
      <c r="A120" s="1">
        <v>119</v>
      </c>
      <c r="B120" s="1" t="s">
        <v>1250</v>
      </c>
      <c r="C120" s="1" t="s">
        <v>875</v>
      </c>
      <c r="D120" s="1" t="s">
        <v>596</v>
      </c>
      <c r="E120" s="1" t="s">
        <v>1160</v>
      </c>
      <c r="F120" s="1" t="s">
        <v>293</v>
      </c>
      <c r="G120" s="1">
        <f>IF(ISNA(VLOOKUP(F120,Monster!B:E,4,FALSE)),0,VLOOKUP(F120,Monster!B:E,4,FALSE))</f>
        <v>42</v>
      </c>
      <c r="I120" s="1" t="s">
        <v>1251</v>
      </c>
      <c r="J120" s="1">
        <v>2198</v>
      </c>
      <c r="K120" s="1">
        <v>-40</v>
      </c>
      <c r="L120" s="1">
        <v>0</v>
      </c>
      <c r="M120" s="1" t="s">
        <v>107</v>
      </c>
      <c r="N120" s="1">
        <f>((NOT(ISNA(VLOOKUP(M120,Monster!$H$2:$I$6,2,FALSE)))*L120)+J120)*(1+K120/100*0.25)</f>
        <v>1978.2</v>
      </c>
      <c r="O120" s="1" t="str">
        <f t="shared" si="0"/>
        <v>No Element - 1978.2</v>
      </c>
      <c r="P120" s="1" t="s">
        <v>194</v>
      </c>
      <c r="Q120" s="1">
        <v>1</v>
      </c>
      <c r="V120" s="1">
        <f t="shared" si="1"/>
        <v>119</v>
      </c>
      <c r="W120" s="1">
        <f t="shared" si="2"/>
        <v>0</v>
      </c>
    </row>
    <row r="121" spans="1:23" x14ac:dyDescent="0.2">
      <c r="A121" s="1">
        <v>120</v>
      </c>
      <c r="B121" s="1" t="s">
        <v>1252</v>
      </c>
      <c r="C121" s="1" t="s">
        <v>880</v>
      </c>
      <c r="D121" s="1" t="s">
        <v>596</v>
      </c>
      <c r="E121" s="1" t="s">
        <v>1160</v>
      </c>
      <c r="F121" s="1" t="s">
        <v>298</v>
      </c>
      <c r="G121" s="1">
        <f>IF(ISNA(VLOOKUP(F121,Monster!B:E,4,FALSE)),0,VLOOKUP(F121,Monster!B:E,4,FALSE))</f>
        <v>43</v>
      </c>
      <c r="I121" s="1" t="s">
        <v>1255</v>
      </c>
      <c r="J121" s="1">
        <v>2198</v>
      </c>
      <c r="K121" s="1">
        <v>-10</v>
      </c>
      <c r="L121" s="1">
        <v>0</v>
      </c>
      <c r="M121" s="1" t="s">
        <v>107</v>
      </c>
      <c r="N121" s="1">
        <f>((NOT(ISNA(VLOOKUP(M121,Monster!$H$2:$I$6,2,FALSE)))*L121)+J121)*(1+K121/100*0.25)</f>
        <v>2143.0499999999997</v>
      </c>
      <c r="O121" s="1" t="str">
        <f t="shared" si="0"/>
        <v>No Element - 2143.05</v>
      </c>
      <c r="P121" s="1" t="s">
        <v>28</v>
      </c>
      <c r="Q121" s="1">
        <v>5</v>
      </c>
      <c r="V121" s="1">
        <f t="shared" si="1"/>
        <v>120</v>
      </c>
      <c r="W121" s="1">
        <f t="shared" si="2"/>
        <v>0</v>
      </c>
    </row>
    <row r="122" spans="1:23" x14ac:dyDescent="0.2">
      <c r="A122" s="1">
        <v>121</v>
      </c>
      <c r="B122" s="1" t="s">
        <v>1256</v>
      </c>
      <c r="C122" s="1" t="s">
        <v>885</v>
      </c>
      <c r="D122" s="1" t="s">
        <v>596</v>
      </c>
      <c r="E122" s="1" t="s">
        <v>1160</v>
      </c>
      <c r="F122" s="1" t="s">
        <v>302</v>
      </c>
      <c r="G122" s="1">
        <f>IF(ISNA(VLOOKUP(F122,Monster!B:E,4,FALSE)),0,VLOOKUP(F122,Monster!B:E,4,FALSE))</f>
        <v>44</v>
      </c>
      <c r="I122" s="1" t="s">
        <v>1256</v>
      </c>
      <c r="J122" s="1">
        <v>1205</v>
      </c>
      <c r="K122" s="1">
        <v>0</v>
      </c>
      <c r="L122" s="1">
        <v>1305</v>
      </c>
      <c r="M122" s="1" t="s">
        <v>58</v>
      </c>
      <c r="N122" s="1">
        <f>((NOT(ISNA(VLOOKUP(M122,Monster!$H$2:$I$6,2,FALSE)))*L122)+J122)*(1+K122/100*0.25)</f>
        <v>2510</v>
      </c>
      <c r="O122" s="1" t="str">
        <f t="shared" si="0"/>
        <v>Thunder - 2510</v>
      </c>
      <c r="P122" s="1" t="s">
        <v>400</v>
      </c>
      <c r="Q122" s="1">
        <v>1</v>
      </c>
      <c r="V122" s="1">
        <f t="shared" si="1"/>
        <v>121</v>
      </c>
      <c r="W122" s="1">
        <f t="shared" si="2"/>
        <v>0.51992031872509958</v>
      </c>
    </row>
    <row r="123" spans="1:23" x14ac:dyDescent="0.2">
      <c r="A123" s="1">
        <v>122</v>
      </c>
      <c r="B123" s="1" t="s">
        <v>1264</v>
      </c>
      <c r="C123" s="1" t="s">
        <v>900</v>
      </c>
      <c r="D123" s="1" t="s">
        <v>596</v>
      </c>
      <c r="E123" s="1" t="s">
        <v>1160</v>
      </c>
      <c r="F123" s="1" t="s">
        <v>320</v>
      </c>
      <c r="G123" s="1">
        <f>IF(ISNA(VLOOKUP(F123,Monster!B:E,4,FALSE)),0,VLOOKUP(F123,Monster!B:E,4,FALSE))</f>
        <v>48</v>
      </c>
      <c r="I123" s="1" t="s">
        <v>1264</v>
      </c>
      <c r="J123" s="1">
        <v>1318</v>
      </c>
      <c r="K123" s="1">
        <v>-30</v>
      </c>
      <c r="L123" s="1">
        <v>1261</v>
      </c>
      <c r="M123" s="1" t="s">
        <v>41</v>
      </c>
      <c r="N123" s="1">
        <f>((NOT(ISNA(VLOOKUP(M123,Monster!$H$2:$I$6,2,FALSE)))*L123)+J123)*(1+K123/100*0.25)</f>
        <v>2385.5750000000003</v>
      </c>
      <c r="O123" s="1" t="str">
        <f t="shared" si="0"/>
        <v>Fire - 2385.575</v>
      </c>
      <c r="P123" s="1" t="s">
        <v>194</v>
      </c>
      <c r="Q123" s="1">
        <v>1</v>
      </c>
      <c r="V123" s="1">
        <f t="shared" si="1"/>
        <v>122</v>
      </c>
      <c r="W123" s="1">
        <f t="shared" si="2"/>
        <v>0.4889492051182629</v>
      </c>
    </row>
    <row r="124" spans="1:23" x14ac:dyDescent="0.2">
      <c r="A124" s="1">
        <v>123</v>
      </c>
      <c r="B124" s="1" t="s">
        <v>1266</v>
      </c>
      <c r="C124" s="1" t="s">
        <v>904</v>
      </c>
      <c r="D124" s="1" t="s">
        <v>596</v>
      </c>
      <c r="E124" s="1" t="s">
        <v>1160</v>
      </c>
      <c r="F124" s="1" t="s">
        <v>328</v>
      </c>
      <c r="G124" s="1">
        <f>IF(ISNA(VLOOKUP(F124,Monster!B:E,4,FALSE)),0,VLOOKUP(F124,Monster!B:E,4,FALSE))</f>
        <v>49</v>
      </c>
      <c r="I124" s="1" t="s">
        <v>1266</v>
      </c>
      <c r="J124" s="1">
        <v>1741</v>
      </c>
      <c r="K124" s="1">
        <v>0</v>
      </c>
      <c r="L124" s="1">
        <v>505</v>
      </c>
      <c r="M124" s="1" t="s">
        <v>79</v>
      </c>
      <c r="N124" s="1">
        <f>((NOT(ISNA(VLOOKUP(M124,Monster!$H$2:$I$6,2,FALSE)))*L124)+J124)*(1+K124/100*0.25)</f>
        <v>1741</v>
      </c>
      <c r="O124" s="1" t="str">
        <f t="shared" si="0"/>
        <v>Poison - 1741</v>
      </c>
      <c r="P124" s="1" t="s">
        <v>624</v>
      </c>
      <c r="Q124" s="1">
        <v>2</v>
      </c>
      <c r="V124" s="1">
        <f t="shared" si="1"/>
        <v>123</v>
      </c>
      <c r="W124" s="1">
        <f t="shared" si="2"/>
        <v>0.22484416740872662</v>
      </c>
    </row>
    <row r="125" spans="1:23" x14ac:dyDescent="0.2">
      <c r="A125" s="1">
        <v>124</v>
      </c>
      <c r="B125" s="1" t="s">
        <v>1269</v>
      </c>
      <c r="C125" s="1" t="s">
        <v>917</v>
      </c>
      <c r="D125" s="1" t="s">
        <v>596</v>
      </c>
      <c r="E125" s="1" t="s">
        <v>1160</v>
      </c>
      <c r="F125" s="1" t="s">
        <v>343</v>
      </c>
      <c r="G125" s="1">
        <f>IF(ISNA(VLOOKUP(F125,Monster!B:E,4,FALSE)),0,VLOOKUP(F125,Monster!B:E,4,FALSE))</f>
        <v>52</v>
      </c>
      <c r="I125" s="1" t="s">
        <v>1269</v>
      </c>
      <c r="J125" s="1">
        <v>1293</v>
      </c>
      <c r="K125" s="1">
        <v>0</v>
      </c>
      <c r="L125" s="1">
        <v>910</v>
      </c>
      <c r="M125" s="1" t="s">
        <v>66</v>
      </c>
      <c r="N125" s="1">
        <f>((NOT(ISNA(VLOOKUP(M125,Monster!$H$2:$I$6,2,FALSE)))*L125)+J125)*(1+K125/100*0.25)</f>
        <v>2203</v>
      </c>
      <c r="O125" s="1" t="str">
        <f t="shared" si="0"/>
        <v>Ice - 2203</v>
      </c>
      <c r="P125" s="1" t="s">
        <v>648</v>
      </c>
      <c r="Q125" s="1">
        <v>1</v>
      </c>
      <c r="V125" s="1">
        <f t="shared" si="1"/>
        <v>124</v>
      </c>
      <c r="W125" s="1">
        <f t="shared" si="2"/>
        <v>0.41307308216068994</v>
      </c>
    </row>
    <row r="126" spans="1:23" x14ac:dyDescent="0.2">
      <c r="A126" s="1">
        <v>125</v>
      </c>
      <c r="B126" s="1" t="s">
        <v>1271</v>
      </c>
      <c r="C126" s="1" t="s">
        <v>922</v>
      </c>
      <c r="D126" s="1" t="s">
        <v>596</v>
      </c>
      <c r="E126" s="1" t="s">
        <v>1160</v>
      </c>
      <c r="F126" s="1" t="s">
        <v>349</v>
      </c>
      <c r="G126" s="1">
        <f>IF(ISNA(VLOOKUP(F126,Monster!B:E,4,FALSE)),0,VLOOKUP(F126,Monster!B:E,4,FALSE))</f>
        <v>53</v>
      </c>
      <c r="I126" s="1" t="s">
        <v>1271</v>
      </c>
      <c r="J126" s="1">
        <v>1738</v>
      </c>
      <c r="K126" s="1">
        <v>40</v>
      </c>
      <c r="L126" s="1">
        <v>0</v>
      </c>
      <c r="M126" s="1" t="s">
        <v>107</v>
      </c>
      <c r="N126" s="1">
        <f>((NOT(ISNA(VLOOKUP(M126,Monster!$H$2:$I$6,2,FALSE)))*L126)+J126)*(1+K126/100*0.25)</f>
        <v>1911.8000000000002</v>
      </c>
      <c r="O126" s="1" t="str">
        <f t="shared" si="0"/>
        <v>No Element - 1911.8</v>
      </c>
      <c r="P126" s="1" t="s">
        <v>535</v>
      </c>
      <c r="Q126" s="1">
        <v>2</v>
      </c>
      <c r="V126" s="1">
        <f t="shared" si="1"/>
        <v>125</v>
      </c>
      <c r="W126" s="1">
        <f t="shared" si="2"/>
        <v>0</v>
      </c>
    </row>
    <row r="127" spans="1:23" x14ac:dyDescent="0.2">
      <c r="A127" s="1">
        <v>126</v>
      </c>
      <c r="B127" s="1" t="s">
        <v>1276</v>
      </c>
      <c r="C127" s="1" t="s">
        <v>930</v>
      </c>
      <c r="D127" s="1" t="s">
        <v>596</v>
      </c>
      <c r="E127" s="1" t="s">
        <v>1160</v>
      </c>
      <c r="F127" s="1" t="s">
        <v>360</v>
      </c>
      <c r="G127" s="1">
        <f>IF(ISNA(VLOOKUP(F127,Monster!B:E,4,FALSE)),0,VLOOKUP(F127,Monster!B:E,4,FALSE))</f>
        <v>55</v>
      </c>
      <c r="I127" s="1" t="s">
        <v>1277</v>
      </c>
      <c r="J127" s="1">
        <v>1979</v>
      </c>
      <c r="K127" s="1">
        <v>0</v>
      </c>
      <c r="L127" s="1">
        <v>0</v>
      </c>
      <c r="M127" s="1" t="s">
        <v>107</v>
      </c>
      <c r="N127" s="1">
        <f>((NOT(ISNA(VLOOKUP(M127,Monster!$H$2:$I$6,2,FALSE)))*L127)+J127)*(1+K127/100*0.25)</f>
        <v>1979</v>
      </c>
      <c r="O127" s="1" t="str">
        <f t="shared" si="0"/>
        <v>No Element - 1979</v>
      </c>
      <c r="P127" s="1" t="s">
        <v>515</v>
      </c>
      <c r="Q127" s="1">
        <v>1</v>
      </c>
      <c r="V127" s="1">
        <f t="shared" si="1"/>
        <v>126</v>
      </c>
      <c r="W127" s="1">
        <f t="shared" si="2"/>
        <v>0</v>
      </c>
    </row>
    <row r="128" spans="1:23" x14ac:dyDescent="0.2">
      <c r="A128" s="1">
        <v>127</v>
      </c>
      <c r="B128" s="1" t="s">
        <v>1281</v>
      </c>
      <c r="C128" s="1" t="s">
        <v>934</v>
      </c>
      <c r="D128" s="1" t="s">
        <v>596</v>
      </c>
      <c r="E128" s="1" t="s">
        <v>1160</v>
      </c>
      <c r="F128" s="1" t="s">
        <v>365</v>
      </c>
      <c r="G128" s="1">
        <f>IF(ISNA(VLOOKUP(F128,Monster!B:E,4,FALSE)),0,VLOOKUP(F128,Monster!B:E,4,FALSE))</f>
        <v>56</v>
      </c>
      <c r="I128" s="1" t="s">
        <v>1285</v>
      </c>
      <c r="J128" s="1">
        <v>1020</v>
      </c>
      <c r="K128" s="1">
        <v>0</v>
      </c>
      <c r="L128" s="1">
        <v>1173</v>
      </c>
      <c r="M128" s="1" t="s">
        <v>66</v>
      </c>
      <c r="N128" s="1">
        <f>((NOT(ISNA(VLOOKUP(M128,Monster!$H$2:$I$6,2,FALSE)))*L128)+J128)*(1+K128/100*0.25)</f>
        <v>2193</v>
      </c>
      <c r="O128" s="1" t="str">
        <f t="shared" si="0"/>
        <v>Ice - 2193</v>
      </c>
      <c r="P128" s="1" t="s">
        <v>659</v>
      </c>
      <c r="Q128" s="1">
        <v>1</v>
      </c>
      <c r="V128" s="1">
        <f t="shared" si="1"/>
        <v>127</v>
      </c>
      <c r="W128" s="1">
        <f t="shared" si="2"/>
        <v>0.53488372093023251</v>
      </c>
    </row>
    <row r="129" spans="1:37" x14ac:dyDescent="0.2">
      <c r="A129" s="1">
        <v>128</v>
      </c>
      <c r="B129" s="1" t="s">
        <v>1287</v>
      </c>
      <c r="C129" s="1" t="s">
        <v>939</v>
      </c>
      <c r="D129" s="1" t="s">
        <v>596</v>
      </c>
      <c r="E129" s="1" t="s">
        <v>1160</v>
      </c>
      <c r="F129" s="1" t="s">
        <v>370</v>
      </c>
      <c r="G129" s="1">
        <f>IF(ISNA(VLOOKUP(F129,Monster!B:E,4,FALSE)),0,VLOOKUP(F129,Monster!B:E,4,FALSE))</f>
        <v>57</v>
      </c>
      <c r="I129" s="1" t="s">
        <v>1288</v>
      </c>
      <c r="J129" s="1">
        <v>1197</v>
      </c>
      <c r="K129" s="1">
        <v>20</v>
      </c>
      <c r="L129" s="1">
        <v>1154</v>
      </c>
      <c r="M129" s="1" t="s">
        <v>41</v>
      </c>
      <c r="N129" s="1">
        <f>((NOT(ISNA(VLOOKUP(M129,Monster!$H$2:$I$6,2,FALSE)))*L129)+J129)*(1+K129/100*0.25)</f>
        <v>2468.5500000000002</v>
      </c>
      <c r="O129" s="1" t="str">
        <f t="shared" si="0"/>
        <v>Fire - 2468.55</v>
      </c>
      <c r="P129" s="1" t="s">
        <v>615</v>
      </c>
      <c r="Q129" s="1">
        <v>2</v>
      </c>
      <c r="V129" s="1">
        <f t="shared" si="1"/>
        <v>128</v>
      </c>
      <c r="W129" s="1">
        <f t="shared" si="2"/>
        <v>0.49085495533815399</v>
      </c>
    </row>
    <row r="130" spans="1:37" x14ac:dyDescent="0.2">
      <c r="A130" s="1">
        <v>129</v>
      </c>
      <c r="B130" s="3" t="s">
        <v>1292</v>
      </c>
      <c r="C130" s="3" t="s">
        <v>943</v>
      </c>
      <c r="D130" s="3" t="s">
        <v>596</v>
      </c>
      <c r="E130" s="1" t="s">
        <v>1160</v>
      </c>
      <c r="F130" s="3" t="s">
        <v>374</v>
      </c>
      <c r="G130" s="4">
        <f>IF(ISNA(VLOOKUP(F130,Monster!B:E,4,FALSE)),0,VLOOKUP(F130,Monster!B:E,4,FALSE))</f>
        <v>58</v>
      </c>
      <c r="H130" s="3"/>
      <c r="I130" s="3" t="s">
        <v>1292</v>
      </c>
      <c r="J130" s="4">
        <v>1205</v>
      </c>
      <c r="K130" s="4">
        <v>0</v>
      </c>
      <c r="L130" s="4">
        <v>1305</v>
      </c>
      <c r="M130" s="3" t="s">
        <v>71</v>
      </c>
      <c r="N130" s="4">
        <f>((NOT(ISNA(VLOOKUP(M130,Monster!$H$2:$I$6,2,FALSE)))*L130)+J130)*(1+K130/100*0.25)</f>
        <v>2510</v>
      </c>
      <c r="O130" s="1" t="str">
        <f t="shared" si="0"/>
        <v>Dragon - 2510</v>
      </c>
      <c r="P130" s="3" t="s">
        <v>689</v>
      </c>
      <c r="Q130" s="4">
        <v>1</v>
      </c>
      <c r="R130" s="3" t="s">
        <v>372</v>
      </c>
      <c r="S130" s="3"/>
      <c r="T130" s="3"/>
      <c r="U130" s="3"/>
      <c r="V130" s="1">
        <f t="shared" si="1"/>
        <v>129</v>
      </c>
      <c r="W130" s="1">
        <f t="shared" si="2"/>
        <v>0.51992031872509958</v>
      </c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</row>
    <row r="131" spans="1:37" x14ac:dyDescent="0.2">
      <c r="A131" s="1">
        <v>130</v>
      </c>
      <c r="B131" s="1" t="s">
        <v>1297</v>
      </c>
      <c r="C131" s="1" t="s">
        <v>949</v>
      </c>
      <c r="D131" s="1" t="s">
        <v>596</v>
      </c>
      <c r="E131" s="1" t="s">
        <v>1160</v>
      </c>
      <c r="F131" s="1"/>
      <c r="G131" s="1">
        <f>IF(ISNA(VLOOKUP(F131,Monster!B:E,4,FALSE)),0,VLOOKUP(F131,Monster!B:E,4,FALSE))</f>
        <v>0</v>
      </c>
      <c r="I131" s="1" t="s">
        <v>1298</v>
      </c>
      <c r="J131" s="1">
        <v>1596</v>
      </c>
      <c r="K131" s="1">
        <v>0</v>
      </c>
      <c r="L131" s="1">
        <v>0</v>
      </c>
      <c r="M131" s="1" t="s">
        <v>107</v>
      </c>
      <c r="N131" s="1">
        <f>((NOT(ISNA(VLOOKUP(M131,Monster!$H$2:$I$6,2,FALSE)))*L131)+J131)*(1+K131/100*0.25)</f>
        <v>1596</v>
      </c>
      <c r="O131" s="1" t="str">
        <f t="shared" si="0"/>
        <v>No Element - 1596</v>
      </c>
      <c r="P131" s="1" t="s">
        <v>158</v>
      </c>
      <c r="Q131" s="1">
        <v>1</v>
      </c>
      <c r="V131" s="1">
        <f t="shared" si="1"/>
        <v>130</v>
      </c>
      <c r="W131" s="1">
        <f t="shared" si="2"/>
        <v>0</v>
      </c>
    </row>
    <row r="132" spans="1:37" x14ac:dyDescent="0.2">
      <c r="A132" s="1">
        <v>131</v>
      </c>
      <c r="B132" s="1" t="s">
        <v>1299</v>
      </c>
      <c r="C132" s="1" t="s">
        <v>958</v>
      </c>
      <c r="D132" s="1" t="s">
        <v>596</v>
      </c>
      <c r="E132" s="1" t="s">
        <v>1160</v>
      </c>
      <c r="F132" s="1"/>
      <c r="G132" s="1">
        <f>IF(ISNA(VLOOKUP(F132,Monster!B:E,4,FALSE)),0,VLOOKUP(F132,Monster!B:E,4,FALSE))</f>
        <v>0</v>
      </c>
      <c r="I132" s="1" t="s">
        <v>1300</v>
      </c>
      <c r="J132" s="1">
        <v>1878</v>
      </c>
      <c r="K132" s="1">
        <v>0</v>
      </c>
      <c r="L132" s="1">
        <v>0</v>
      </c>
      <c r="M132" s="1" t="s">
        <v>107</v>
      </c>
      <c r="N132" s="1">
        <f>((NOT(ISNA(VLOOKUP(M132,Monster!$H$2:$I$6,2,FALSE)))*L132)+J132)*(1+K132/100*0.25)</f>
        <v>1878</v>
      </c>
      <c r="O132" s="1" t="str">
        <f t="shared" si="0"/>
        <v>No Element - 1878</v>
      </c>
      <c r="P132" s="1" t="s">
        <v>412</v>
      </c>
      <c r="Q132" s="1">
        <v>1</v>
      </c>
      <c r="V132" s="1">
        <f t="shared" si="1"/>
        <v>131</v>
      </c>
      <c r="W132" s="1">
        <f t="shared" si="2"/>
        <v>0</v>
      </c>
    </row>
    <row r="133" spans="1:37" x14ac:dyDescent="0.2">
      <c r="A133" s="1">
        <v>132</v>
      </c>
      <c r="B133" s="1" t="s">
        <v>1301</v>
      </c>
      <c r="C133" s="1" t="s">
        <v>1302</v>
      </c>
      <c r="D133" s="1" t="s">
        <v>596</v>
      </c>
      <c r="E133" s="1" t="s">
        <v>1160</v>
      </c>
      <c r="F133" s="1"/>
      <c r="G133" s="1">
        <f>IF(ISNA(VLOOKUP(F133,Monster!B:E,4,FALSE)),0,VLOOKUP(F133,Monster!B:E,4,FALSE))</f>
        <v>0</v>
      </c>
      <c r="I133" s="1" t="s">
        <v>1301</v>
      </c>
      <c r="J133" s="1">
        <v>1893</v>
      </c>
      <c r="K133" s="1">
        <v>0</v>
      </c>
      <c r="L133" s="1">
        <v>0</v>
      </c>
      <c r="M133" s="1" t="s">
        <v>107</v>
      </c>
      <c r="N133" s="1">
        <f>((NOT(ISNA(VLOOKUP(M133,Monster!$H$2:$I$6,2,FALSE)))*L133)+J133)*(1+K133/100*0.25)</f>
        <v>1893</v>
      </c>
      <c r="O133" s="1" t="str">
        <f t="shared" si="0"/>
        <v>No Element - 1893</v>
      </c>
      <c r="P133" s="1" t="s">
        <v>77</v>
      </c>
      <c r="Q133" s="1">
        <v>1</v>
      </c>
      <c r="V133" s="1">
        <f t="shared" si="1"/>
        <v>132</v>
      </c>
      <c r="W133" s="1">
        <f t="shared" si="2"/>
        <v>0</v>
      </c>
    </row>
    <row r="134" spans="1:37" x14ac:dyDescent="0.2">
      <c r="A134" s="1">
        <v>133</v>
      </c>
      <c r="B134" s="1" t="s">
        <v>1303</v>
      </c>
      <c r="C134" s="1" t="s">
        <v>34</v>
      </c>
      <c r="D134" s="1" t="s">
        <v>596</v>
      </c>
      <c r="E134" s="1" t="s">
        <v>1304</v>
      </c>
      <c r="F134" s="1"/>
      <c r="G134" s="1">
        <f>IF(ISNA(VLOOKUP(F134,Monster!B:E,4,FALSE)),0,VLOOKUP(F134,Monster!B:E,4,FALSE))</f>
        <v>0</v>
      </c>
      <c r="I134" s="1" t="s">
        <v>1305</v>
      </c>
      <c r="J134" s="1">
        <v>1596</v>
      </c>
      <c r="K134" s="1">
        <v>0</v>
      </c>
      <c r="L134" s="1">
        <v>0</v>
      </c>
      <c r="M134" s="1" t="s">
        <v>107</v>
      </c>
      <c r="N134" s="1">
        <f>((NOT(ISNA(VLOOKUP(M134,Monster!$H$2:$I$6,2,FALSE)))*L134)+J134)*(1+K134/100*0.25)</f>
        <v>1596</v>
      </c>
      <c r="O134" s="1" t="str">
        <f t="shared" si="0"/>
        <v>No Element - 1596</v>
      </c>
      <c r="P134" s="1" t="s">
        <v>410</v>
      </c>
      <c r="Q134" s="1">
        <v>2</v>
      </c>
      <c r="V134" s="1">
        <f t="shared" si="1"/>
        <v>133</v>
      </c>
      <c r="W134" s="1">
        <f t="shared" si="2"/>
        <v>0</v>
      </c>
    </row>
    <row r="135" spans="1:37" x14ac:dyDescent="0.2">
      <c r="A135" s="1">
        <v>134</v>
      </c>
      <c r="B135" s="1" t="s">
        <v>1306</v>
      </c>
      <c r="C135" s="1" t="s">
        <v>439</v>
      </c>
      <c r="D135" s="1" t="s">
        <v>596</v>
      </c>
      <c r="E135" s="1" t="s">
        <v>1304</v>
      </c>
      <c r="F135" s="1" t="s">
        <v>47</v>
      </c>
      <c r="G135" s="1">
        <f>IF(ISNA(VLOOKUP(F135,Monster!B:E,4,FALSE)),0,VLOOKUP(F135,Monster!B:E,4,FALSE))</f>
        <v>2</v>
      </c>
      <c r="I135" s="1" t="s">
        <v>1307</v>
      </c>
      <c r="J135" s="1">
        <v>1596</v>
      </c>
      <c r="K135" s="1">
        <v>30</v>
      </c>
      <c r="L135" s="1">
        <v>0</v>
      </c>
      <c r="M135" s="1" t="s">
        <v>107</v>
      </c>
      <c r="N135" s="1">
        <f>((NOT(ISNA(VLOOKUP(M135,Monster!$H$2:$I$6,2,FALSE)))*L135)+J135)*(1+K135/100*0.25)</f>
        <v>1715.6999999999998</v>
      </c>
      <c r="O135" s="1" t="str">
        <f t="shared" si="0"/>
        <v>No Element - 1715.7</v>
      </c>
      <c r="P135" s="1" t="s">
        <v>319</v>
      </c>
      <c r="Q135" s="1">
        <v>2</v>
      </c>
      <c r="V135" s="1">
        <f t="shared" si="1"/>
        <v>134</v>
      </c>
      <c r="W135" s="1">
        <f t="shared" si="2"/>
        <v>0</v>
      </c>
    </row>
    <row r="136" spans="1:37" x14ac:dyDescent="0.2">
      <c r="A136" s="1">
        <v>135</v>
      </c>
      <c r="B136" s="1" t="s">
        <v>1308</v>
      </c>
      <c r="C136" s="1" t="s">
        <v>729</v>
      </c>
      <c r="D136" s="1" t="s">
        <v>596</v>
      </c>
      <c r="E136" s="1" t="s">
        <v>1304</v>
      </c>
      <c r="F136" s="1" t="s">
        <v>81</v>
      </c>
      <c r="G136" s="1">
        <f>IF(ISNA(VLOOKUP(F136,Monster!B:E,4,FALSE)),0,VLOOKUP(F136,Monster!B:E,4,FALSE))</f>
        <v>7</v>
      </c>
      <c r="I136" s="1" t="s">
        <v>1309</v>
      </c>
      <c r="J136" s="1">
        <v>1293</v>
      </c>
      <c r="K136" s="1">
        <v>0</v>
      </c>
      <c r="L136" s="1">
        <v>910</v>
      </c>
      <c r="M136" s="1" t="s">
        <v>58</v>
      </c>
      <c r="N136" s="1">
        <f>((NOT(ISNA(VLOOKUP(M136,Monster!$H$2:$I$6,2,FALSE)))*L136)+J136)*(1+K136/100*0.25)</f>
        <v>2203</v>
      </c>
      <c r="O136" s="1" t="str">
        <f t="shared" si="0"/>
        <v>Thunder - 2203</v>
      </c>
      <c r="P136" s="1" t="s">
        <v>253</v>
      </c>
      <c r="Q136" s="1">
        <v>1</v>
      </c>
      <c r="V136" s="1">
        <f t="shared" si="1"/>
        <v>135</v>
      </c>
      <c r="W136" s="1">
        <f t="shared" si="2"/>
        <v>0.41307308216068994</v>
      </c>
    </row>
    <row r="137" spans="1:37" x14ac:dyDescent="0.2">
      <c r="A137" s="1">
        <v>136</v>
      </c>
      <c r="B137" s="1" t="s">
        <v>1310</v>
      </c>
      <c r="C137" s="1" t="s">
        <v>745</v>
      </c>
      <c r="D137" s="1" t="s">
        <v>596</v>
      </c>
      <c r="E137" s="1" t="s">
        <v>1304</v>
      </c>
      <c r="F137" s="1" t="s">
        <v>102</v>
      </c>
      <c r="G137" s="1">
        <f>IF(ISNA(VLOOKUP(F137,Monster!B:E,4,FALSE)),0,VLOOKUP(F137,Monster!B:E,4,FALSE))</f>
        <v>10</v>
      </c>
      <c r="I137" s="1" t="s">
        <v>1311</v>
      </c>
      <c r="J137" s="1">
        <v>1293</v>
      </c>
      <c r="K137" s="1">
        <v>0</v>
      </c>
      <c r="L137" s="1">
        <v>910</v>
      </c>
      <c r="M137" s="1" t="s">
        <v>50</v>
      </c>
      <c r="N137" s="1">
        <f>((NOT(ISNA(VLOOKUP(M137,Monster!$H$2:$I$6,2,FALSE)))*L137)+J137)*(1+K137/100*0.25)</f>
        <v>2203</v>
      </c>
      <c r="O137" s="1" t="str">
        <f t="shared" si="0"/>
        <v>Water - 2203</v>
      </c>
      <c r="P137" s="1" t="s">
        <v>394</v>
      </c>
      <c r="Q137" s="1">
        <v>1</v>
      </c>
      <c r="V137" s="1">
        <f t="shared" si="1"/>
        <v>136</v>
      </c>
      <c r="W137" s="1">
        <f t="shared" si="2"/>
        <v>0.41307308216068994</v>
      </c>
    </row>
    <row r="138" spans="1:37" x14ac:dyDescent="0.2">
      <c r="A138" s="1">
        <v>137</v>
      </c>
      <c r="B138" s="1" t="s">
        <v>1312</v>
      </c>
      <c r="C138" s="1" t="s">
        <v>750</v>
      </c>
      <c r="D138" s="1" t="s">
        <v>596</v>
      </c>
      <c r="E138" s="1" t="s">
        <v>1304</v>
      </c>
      <c r="F138" s="1" t="s">
        <v>109</v>
      </c>
      <c r="G138" s="1">
        <f>IF(ISNA(VLOOKUP(F138,Monster!B:E,4,FALSE)),0,VLOOKUP(F138,Monster!B:E,4,FALSE))</f>
        <v>11</v>
      </c>
      <c r="I138" s="1" t="s">
        <v>1313</v>
      </c>
      <c r="J138" s="1">
        <v>1293</v>
      </c>
      <c r="K138" s="1">
        <v>0</v>
      </c>
      <c r="L138" s="1">
        <v>910</v>
      </c>
      <c r="M138" s="1" t="s">
        <v>41</v>
      </c>
      <c r="N138" s="1">
        <f>((NOT(ISNA(VLOOKUP(M138,Monster!$H$2:$I$6,2,FALSE)))*L138)+J138)*(1+K138/100*0.25)</f>
        <v>2203</v>
      </c>
      <c r="O138" s="1" t="str">
        <f t="shared" si="0"/>
        <v>Fire - 2203</v>
      </c>
      <c r="P138" s="1" t="s">
        <v>543</v>
      </c>
      <c r="Q138" s="1">
        <v>1</v>
      </c>
      <c r="V138" s="1">
        <f t="shared" si="1"/>
        <v>137</v>
      </c>
      <c r="W138" s="1">
        <f t="shared" si="2"/>
        <v>0.41307308216068994</v>
      </c>
    </row>
    <row r="139" spans="1:37" x14ac:dyDescent="0.2">
      <c r="A139" s="1">
        <v>138</v>
      </c>
      <c r="B139" s="1" t="s">
        <v>1314</v>
      </c>
      <c r="C139" s="1" t="s">
        <v>756</v>
      </c>
      <c r="D139" s="1" t="s">
        <v>596</v>
      </c>
      <c r="E139" s="1" t="s">
        <v>1304</v>
      </c>
      <c r="F139" s="1" t="s">
        <v>119</v>
      </c>
      <c r="G139" s="1">
        <f>IF(ISNA(VLOOKUP(F139,Monster!B:E,4,FALSE)),0,VLOOKUP(F139,Monster!B:E,4,FALSE))</f>
        <v>12</v>
      </c>
      <c r="I139" s="1" t="s">
        <v>1314</v>
      </c>
      <c r="J139" s="1">
        <v>1197</v>
      </c>
      <c r="K139" s="1">
        <v>20</v>
      </c>
      <c r="L139" s="1">
        <v>1154</v>
      </c>
      <c r="M139" s="1" t="s">
        <v>58</v>
      </c>
      <c r="N139" s="1">
        <f>((NOT(ISNA(VLOOKUP(M139,Monster!$H$2:$I$6,2,FALSE)))*L139)+J139)*(1+K139/100*0.25)</f>
        <v>2468.5500000000002</v>
      </c>
      <c r="O139" s="1" t="str">
        <f t="shared" si="0"/>
        <v>Thunder - 2468.55</v>
      </c>
      <c r="P139" s="1" t="s">
        <v>175</v>
      </c>
      <c r="Q139" s="1">
        <v>1</v>
      </c>
      <c r="V139" s="1">
        <f t="shared" si="1"/>
        <v>138</v>
      </c>
      <c r="W139" s="1">
        <f t="shared" si="2"/>
        <v>0.49085495533815399</v>
      </c>
    </row>
    <row r="140" spans="1:37" x14ac:dyDescent="0.2">
      <c r="A140" s="1">
        <v>139</v>
      </c>
      <c r="B140" s="1" t="s">
        <v>1315</v>
      </c>
      <c r="C140" s="1" t="s">
        <v>761</v>
      </c>
      <c r="D140" s="1" t="s">
        <v>596</v>
      </c>
      <c r="E140" s="1" t="s">
        <v>1304</v>
      </c>
      <c r="F140" s="1" t="s">
        <v>125</v>
      </c>
      <c r="G140" s="1">
        <f>IF(ISNA(VLOOKUP(F140,Monster!B:E,4,FALSE)),0,VLOOKUP(F140,Monster!B:E,4,FALSE))</f>
        <v>13</v>
      </c>
      <c r="I140" s="1" t="s">
        <v>1316</v>
      </c>
      <c r="J140" s="1">
        <v>1516</v>
      </c>
      <c r="K140" s="1">
        <v>0</v>
      </c>
      <c r="L140" s="1">
        <v>496</v>
      </c>
      <c r="M140" s="1" t="s">
        <v>79</v>
      </c>
      <c r="N140" s="1">
        <f>((NOT(ISNA(VLOOKUP(M140,Monster!$H$2:$I$6,2,FALSE)))*L140)+J140)*(1+K140/100*0.25)</f>
        <v>1516</v>
      </c>
      <c r="O140" s="1" t="str">
        <f t="shared" si="0"/>
        <v>Poison - 1516</v>
      </c>
      <c r="P140" s="1" t="s">
        <v>348</v>
      </c>
      <c r="Q140" s="1">
        <v>2</v>
      </c>
      <c r="V140" s="1">
        <f t="shared" si="1"/>
        <v>139</v>
      </c>
      <c r="W140" s="1">
        <f t="shared" si="2"/>
        <v>0.24652087475149106</v>
      </c>
    </row>
    <row r="141" spans="1:37" x14ac:dyDescent="0.2">
      <c r="A141" s="1">
        <v>140</v>
      </c>
      <c r="B141" s="1" t="s">
        <v>1317</v>
      </c>
      <c r="C141" s="1" t="s">
        <v>766</v>
      </c>
      <c r="D141" s="1" t="s">
        <v>596</v>
      </c>
      <c r="E141" s="1" t="s">
        <v>1304</v>
      </c>
      <c r="F141" s="1" t="s">
        <v>131</v>
      </c>
      <c r="G141" s="1">
        <f>IF(ISNA(VLOOKUP(F141,Monster!B:E,4,FALSE)),0,VLOOKUP(F141,Monster!B:E,4,FALSE))</f>
        <v>14</v>
      </c>
      <c r="I141" s="1" t="s">
        <v>1318</v>
      </c>
      <c r="J141" s="1">
        <v>1756</v>
      </c>
      <c r="K141" s="1">
        <v>0</v>
      </c>
      <c r="L141" s="1">
        <v>300</v>
      </c>
      <c r="M141" s="1" t="s">
        <v>79</v>
      </c>
      <c r="N141" s="1">
        <f>((NOT(ISNA(VLOOKUP(M141,Monster!$H$2:$I$6,2,FALSE)))*L141)+J141)*(1+K141/100*0.25)</f>
        <v>1756</v>
      </c>
      <c r="O141" s="1" t="str">
        <f t="shared" si="0"/>
        <v>Poison - 1756</v>
      </c>
      <c r="P141" s="1" t="s">
        <v>253</v>
      </c>
      <c r="Q141" s="1">
        <v>1</v>
      </c>
      <c r="V141" s="1">
        <f t="shared" si="1"/>
        <v>140</v>
      </c>
      <c r="W141" s="1">
        <f t="shared" si="2"/>
        <v>0.14591439688715954</v>
      </c>
    </row>
    <row r="142" spans="1:37" x14ac:dyDescent="0.2">
      <c r="A142" s="1">
        <v>141</v>
      </c>
      <c r="B142" s="1" t="s">
        <v>1319</v>
      </c>
      <c r="C142" s="1" t="s">
        <v>771</v>
      </c>
      <c r="D142" s="1" t="s">
        <v>596</v>
      </c>
      <c r="E142" s="1" t="s">
        <v>1304</v>
      </c>
      <c r="F142" s="1" t="s">
        <v>137</v>
      </c>
      <c r="G142" s="1">
        <f>IF(ISNA(VLOOKUP(F142,Monster!B:E,4,FALSE)),0,VLOOKUP(F142,Monster!B:E,4,FALSE))</f>
        <v>15</v>
      </c>
      <c r="I142" s="1" t="s">
        <v>1319</v>
      </c>
      <c r="J142" s="1">
        <v>1675</v>
      </c>
      <c r="K142" s="1">
        <v>30</v>
      </c>
      <c r="L142" s="1">
        <v>399</v>
      </c>
      <c r="M142" s="1" t="s">
        <v>79</v>
      </c>
      <c r="N142" s="1">
        <f>((NOT(ISNA(VLOOKUP(M142,Monster!$H$2:$I$6,2,FALSE)))*L142)+J142)*(1+K142/100*0.25)</f>
        <v>1800.625</v>
      </c>
      <c r="O142" s="1" t="str">
        <f t="shared" si="0"/>
        <v>Poison - 1800.625</v>
      </c>
      <c r="P142" s="1" t="s">
        <v>483</v>
      </c>
      <c r="Q142" s="1">
        <v>2</v>
      </c>
      <c r="V142" s="1">
        <f t="shared" si="1"/>
        <v>141</v>
      </c>
      <c r="W142" s="1">
        <f t="shared" si="2"/>
        <v>0.19238187078109933</v>
      </c>
    </row>
    <row r="143" spans="1:37" x14ac:dyDescent="0.2">
      <c r="A143" s="1">
        <v>142</v>
      </c>
      <c r="B143" s="1" t="s">
        <v>1320</v>
      </c>
      <c r="C143" s="1" t="s">
        <v>775</v>
      </c>
      <c r="D143" s="1" t="s">
        <v>596</v>
      </c>
      <c r="E143" s="1" t="s">
        <v>1304</v>
      </c>
      <c r="F143" s="1" t="s">
        <v>146</v>
      </c>
      <c r="G143" s="1">
        <f>IF(ISNA(VLOOKUP(F143,Monster!B:E,4,FALSE)),0,VLOOKUP(F143,Monster!B:E,4,FALSE))</f>
        <v>16</v>
      </c>
      <c r="I143" s="1" t="s">
        <v>1321</v>
      </c>
      <c r="J143" s="1">
        <v>1221</v>
      </c>
      <c r="K143" s="1">
        <v>0</v>
      </c>
      <c r="L143" s="1">
        <v>1142</v>
      </c>
      <c r="M143" s="1" t="s">
        <v>66</v>
      </c>
      <c r="N143" s="1">
        <f>((NOT(ISNA(VLOOKUP(M143,Monster!$H$2:$I$6,2,FALSE)))*L143)+J143)*(1+K143/100*0.25)</f>
        <v>2363</v>
      </c>
      <c r="O143" s="1" t="str">
        <f t="shared" si="0"/>
        <v>Ice - 2363</v>
      </c>
      <c r="P143" s="1" t="s">
        <v>228</v>
      </c>
      <c r="Q143" s="1">
        <v>2</v>
      </c>
      <c r="V143" s="1">
        <f t="shared" si="1"/>
        <v>142</v>
      </c>
      <c r="W143" s="1">
        <f t="shared" si="2"/>
        <v>0.48328396106644095</v>
      </c>
    </row>
    <row r="144" spans="1:37" x14ac:dyDescent="0.2">
      <c r="A144" s="1">
        <v>143</v>
      </c>
      <c r="B144" s="1" t="s">
        <v>1322</v>
      </c>
      <c r="C144" s="1" t="s">
        <v>786</v>
      </c>
      <c r="D144" s="1" t="s">
        <v>596</v>
      </c>
      <c r="E144" s="1" t="s">
        <v>1304</v>
      </c>
      <c r="F144" s="1" t="s">
        <v>160</v>
      </c>
      <c r="G144" s="1">
        <f>IF(ISNA(VLOOKUP(F144,Monster!B:E,4,FALSE)),0,VLOOKUP(F144,Monster!B:E,4,FALSE))</f>
        <v>19</v>
      </c>
      <c r="I144" s="1" t="s">
        <v>1323</v>
      </c>
      <c r="J144" s="1">
        <v>1221</v>
      </c>
      <c r="K144" s="1">
        <v>0</v>
      </c>
      <c r="L144" s="1">
        <v>1142</v>
      </c>
      <c r="M144" s="1" t="s">
        <v>41</v>
      </c>
      <c r="N144" s="1">
        <f>((NOT(ISNA(VLOOKUP(M144,Monster!$H$2:$I$6,2,FALSE)))*L144)+J144)*(1+K144/100*0.25)</f>
        <v>2363</v>
      </c>
      <c r="O144" s="1" t="str">
        <f t="shared" si="0"/>
        <v>Fire - 2363</v>
      </c>
      <c r="P144" s="1" t="s">
        <v>244</v>
      </c>
      <c r="Q144" s="1">
        <v>1</v>
      </c>
      <c r="V144" s="1">
        <f t="shared" si="1"/>
        <v>143</v>
      </c>
      <c r="W144" s="1">
        <f t="shared" si="2"/>
        <v>0.48328396106644095</v>
      </c>
    </row>
    <row r="145" spans="1:23" x14ac:dyDescent="0.2">
      <c r="A145" s="1">
        <v>144</v>
      </c>
      <c r="B145" s="1" t="s">
        <v>1324</v>
      </c>
      <c r="C145" s="1" t="s">
        <v>790</v>
      </c>
      <c r="D145" s="1" t="s">
        <v>596</v>
      </c>
      <c r="E145" s="1" t="s">
        <v>1304</v>
      </c>
      <c r="F145" s="1" t="s">
        <v>165</v>
      </c>
      <c r="G145" s="1">
        <f>IF(ISNA(VLOOKUP(F145,Monster!B:E,4,FALSE)),0,VLOOKUP(F145,Monster!B:E,4,FALSE))</f>
        <v>20</v>
      </c>
      <c r="I145" s="1" t="s">
        <v>1325</v>
      </c>
      <c r="J145" s="1">
        <v>1682</v>
      </c>
      <c r="K145" s="1">
        <v>0</v>
      </c>
      <c r="L145" s="1">
        <v>605</v>
      </c>
      <c r="M145" s="1" t="s">
        <v>41</v>
      </c>
      <c r="N145" s="1">
        <f>((NOT(ISNA(VLOOKUP(M145,Monster!$H$2:$I$6,2,FALSE)))*L145)+J145)*(1+K145/100*0.25)</f>
        <v>2287</v>
      </c>
      <c r="O145" s="1" t="str">
        <f t="shared" si="0"/>
        <v>Fire - 2287</v>
      </c>
      <c r="P145" s="1" t="s">
        <v>602</v>
      </c>
      <c r="Q145" s="1">
        <v>1</v>
      </c>
      <c r="V145" s="1">
        <f t="shared" si="1"/>
        <v>144</v>
      </c>
      <c r="W145" s="1">
        <f t="shared" si="2"/>
        <v>0.26453869698294707</v>
      </c>
    </row>
    <row r="146" spans="1:23" x14ac:dyDescent="0.2">
      <c r="A146" s="1">
        <v>145</v>
      </c>
      <c r="B146" s="1" t="s">
        <v>1326</v>
      </c>
      <c r="C146" s="1" t="s">
        <v>794</v>
      </c>
      <c r="D146" s="1" t="s">
        <v>596</v>
      </c>
      <c r="E146" s="1" t="s">
        <v>1304</v>
      </c>
      <c r="F146" s="1" t="s">
        <v>171</v>
      </c>
      <c r="G146" s="1">
        <f>IF(ISNA(VLOOKUP(F146,Monster!B:E,4,FALSE)),0,VLOOKUP(F146,Monster!B:E,4,FALSE))</f>
        <v>21</v>
      </c>
      <c r="I146" s="1" t="s">
        <v>1326</v>
      </c>
      <c r="J146" s="1">
        <v>1258</v>
      </c>
      <c r="K146" s="1">
        <v>30</v>
      </c>
      <c r="L146" s="1">
        <v>1082</v>
      </c>
      <c r="M146" s="1" t="s">
        <v>41</v>
      </c>
      <c r="N146" s="1">
        <f>((NOT(ISNA(VLOOKUP(M146,Monster!$H$2:$I$6,2,FALSE)))*L146)+J146)*(1+K146/100*0.25)</f>
        <v>2515.5</v>
      </c>
      <c r="O146" s="1" t="str">
        <f t="shared" si="0"/>
        <v>Fire - 2515.5</v>
      </c>
      <c r="P146" s="1" t="s">
        <v>175</v>
      </c>
      <c r="Q146" s="1">
        <v>2</v>
      </c>
      <c r="V146" s="1">
        <f t="shared" si="1"/>
        <v>145</v>
      </c>
      <c r="W146" s="1">
        <f t="shared" si="2"/>
        <v>0.46239316239316242</v>
      </c>
    </row>
    <row r="147" spans="1:23" x14ac:dyDescent="0.2">
      <c r="A147" s="1">
        <v>146</v>
      </c>
      <c r="B147" s="1" t="s">
        <v>1327</v>
      </c>
      <c r="C147" s="1" t="s">
        <v>800</v>
      </c>
      <c r="D147" s="1" t="s">
        <v>596</v>
      </c>
      <c r="E147" s="1" t="s">
        <v>1304</v>
      </c>
      <c r="F147" s="1" t="s">
        <v>184</v>
      </c>
      <c r="G147" s="1">
        <f>IF(ISNA(VLOOKUP(F147,Monster!B:E,4,FALSE)),0,VLOOKUP(F147,Monster!B:E,4,FALSE))</f>
        <v>23</v>
      </c>
      <c r="I147" s="1" t="s">
        <v>1327</v>
      </c>
      <c r="J147" s="1">
        <v>1764</v>
      </c>
      <c r="K147" s="1">
        <v>0</v>
      </c>
      <c r="L147" s="1">
        <v>0</v>
      </c>
      <c r="M147" s="1" t="s">
        <v>107</v>
      </c>
      <c r="N147" s="1">
        <f>((NOT(ISNA(VLOOKUP(M147,Monster!$H$2:$I$6,2,FALSE)))*L147)+J147)*(1+K147/100*0.25)</f>
        <v>1764</v>
      </c>
      <c r="O147" s="1" t="str">
        <f t="shared" si="0"/>
        <v>No Element - 1764</v>
      </c>
      <c r="P147" s="1" t="s">
        <v>306</v>
      </c>
      <c r="Q147" s="1">
        <v>2</v>
      </c>
      <c r="V147" s="1">
        <f t="shared" si="1"/>
        <v>146</v>
      </c>
      <c r="W147" s="1">
        <f t="shared" si="2"/>
        <v>0</v>
      </c>
    </row>
    <row r="148" spans="1:23" x14ac:dyDescent="0.2">
      <c r="A148" s="1">
        <v>147</v>
      </c>
      <c r="B148" s="1" t="s">
        <v>1328</v>
      </c>
      <c r="C148" s="1" t="s">
        <v>803</v>
      </c>
      <c r="D148" s="1" t="s">
        <v>596</v>
      </c>
      <c r="E148" s="1" t="s">
        <v>1304</v>
      </c>
      <c r="F148" s="1" t="s">
        <v>190</v>
      </c>
      <c r="G148" s="1">
        <f>IF(ISNA(VLOOKUP(F148,Monster!B:E,4,FALSE)),0,VLOOKUP(F148,Monster!B:E,4,FALSE))</f>
        <v>24</v>
      </c>
      <c r="I148" s="1" t="s">
        <v>1328</v>
      </c>
      <c r="J148" s="1">
        <v>1191</v>
      </c>
      <c r="K148" s="1">
        <v>20</v>
      </c>
      <c r="L148" s="1">
        <v>910</v>
      </c>
      <c r="M148" s="1" t="s">
        <v>66</v>
      </c>
      <c r="N148" s="1">
        <f>((NOT(ISNA(VLOOKUP(M148,Monster!$H$2:$I$6,2,FALSE)))*L148)+J148)*(1+K148/100*0.25)</f>
        <v>2206.0500000000002</v>
      </c>
      <c r="O148" s="1" t="str">
        <f t="shared" si="0"/>
        <v>Ice - 2206.05</v>
      </c>
      <c r="P148" s="1" t="s">
        <v>253</v>
      </c>
      <c r="Q148" s="1">
        <v>1</v>
      </c>
      <c r="V148" s="1">
        <f t="shared" si="1"/>
        <v>147</v>
      </c>
      <c r="W148" s="1">
        <f t="shared" si="2"/>
        <v>0.43312708234174202</v>
      </c>
    </row>
    <row r="149" spans="1:23" x14ac:dyDescent="0.2">
      <c r="A149" s="1">
        <v>148</v>
      </c>
      <c r="B149" s="1" t="s">
        <v>1329</v>
      </c>
      <c r="C149" s="1" t="s">
        <v>807</v>
      </c>
      <c r="D149" s="1" t="s">
        <v>596</v>
      </c>
      <c r="E149" s="1" t="s">
        <v>1304</v>
      </c>
      <c r="F149" s="1" t="s">
        <v>193</v>
      </c>
      <c r="G149" s="1">
        <f>IF(ISNA(VLOOKUP(F149,Monster!B:E,4,FALSE)),0,VLOOKUP(F149,Monster!B:E,4,FALSE))</f>
        <v>25</v>
      </c>
      <c r="I149" s="1" t="s">
        <v>1330</v>
      </c>
      <c r="J149" s="1">
        <v>1221</v>
      </c>
      <c r="K149" s="1">
        <v>0</v>
      </c>
      <c r="L149" s="1">
        <v>1142</v>
      </c>
      <c r="M149" s="1" t="s">
        <v>58</v>
      </c>
      <c r="N149" s="1">
        <f>((NOT(ISNA(VLOOKUP(M149,Monster!$H$2:$I$6,2,FALSE)))*L149)+J149)*(1+K149/100*0.25)</f>
        <v>2363</v>
      </c>
      <c r="O149" s="1" t="str">
        <f t="shared" si="0"/>
        <v>Thunder - 2363</v>
      </c>
      <c r="P149" s="1" t="s">
        <v>38</v>
      </c>
      <c r="Q149" s="1">
        <v>1</v>
      </c>
      <c r="V149" s="1">
        <f t="shared" si="1"/>
        <v>148</v>
      </c>
      <c r="W149" s="1">
        <f t="shared" si="2"/>
        <v>0.48328396106644095</v>
      </c>
    </row>
    <row r="150" spans="1:23" x14ac:dyDescent="0.2">
      <c r="A150" s="1">
        <v>149</v>
      </c>
      <c r="B150" s="1" t="s">
        <v>1331</v>
      </c>
      <c r="C150" s="1" t="s">
        <v>810</v>
      </c>
      <c r="D150" s="1" t="s">
        <v>596</v>
      </c>
      <c r="E150" s="1" t="s">
        <v>1304</v>
      </c>
      <c r="F150" s="1" t="s">
        <v>197</v>
      </c>
      <c r="G150" s="1">
        <f>IF(ISNA(VLOOKUP(F150,Monster!B:E,4,FALSE)),0,VLOOKUP(F150,Monster!B:E,4,FALSE))</f>
        <v>26</v>
      </c>
      <c r="I150" s="1" t="s">
        <v>1332</v>
      </c>
      <c r="J150" s="1">
        <v>1588</v>
      </c>
      <c r="K150" s="1">
        <v>0</v>
      </c>
      <c r="L150" s="1">
        <v>632</v>
      </c>
      <c r="M150" s="1" t="s">
        <v>58</v>
      </c>
      <c r="N150" s="1">
        <f>((NOT(ISNA(VLOOKUP(M150,Monster!$H$2:$I$6,2,FALSE)))*L150)+J150)*(1+K150/100*0.25)</f>
        <v>2220</v>
      </c>
      <c r="O150" s="1" t="str">
        <f t="shared" si="0"/>
        <v>Thunder - 2220</v>
      </c>
      <c r="P150" s="1" t="s">
        <v>412</v>
      </c>
      <c r="Q150" s="1">
        <v>1</v>
      </c>
      <c r="V150" s="1">
        <f t="shared" si="1"/>
        <v>149</v>
      </c>
      <c r="W150" s="1">
        <f t="shared" si="2"/>
        <v>0.28468468468468466</v>
      </c>
    </row>
    <row r="151" spans="1:23" x14ac:dyDescent="0.2">
      <c r="A151" s="1">
        <v>150</v>
      </c>
      <c r="B151" s="1" t="s">
        <v>1333</v>
      </c>
      <c r="C151" s="1" t="s">
        <v>821</v>
      </c>
      <c r="D151" s="1" t="s">
        <v>596</v>
      </c>
      <c r="E151" s="1" t="s">
        <v>1304</v>
      </c>
      <c r="F151" s="1" t="s">
        <v>216</v>
      </c>
      <c r="G151" s="1">
        <f>IF(ISNA(VLOOKUP(F151,Monster!B:E,4,FALSE)),0,VLOOKUP(F151,Monster!B:E,4,FALSE))</f>
        <v>29</v>
      </c>
      <c r="I151" s="1" t="s">
        <v>1334</v>
      </c>
      <c r="J151" s="1">
        <v>1318</v>
      </c>
      <c r="K151" s="1">
        <v>-30</v>
      </c>
      <c r="L151" s="1">
        <v>1261</v>
      </c>
      <c r="M151" s="1" t="s">
        <v>71</v>
      </c>
      <c r="N151" s="1">
        <f>((NOT(ISNA(VLOOKUP(M151,Monster!$H$2:$I$6,2,FALSE)))*L151)+J151)*(1+K151/100*0.25)</f>
        <v>2385.5750000000003</v>
      </c>
      <c r="O151" s="1" t="str">
        <f t="shared" si="0"/>
        <v>Dragon - 2385.575</v>
      </c>
      <c r="P151" s="1" t="s">
        <v>583</v>
      </c>
      <c r="Q151" s="1">
        <v>1</v>
      </c>
      <c r="V151" s="1">
        <f t="shared" si="1"/>
        <v>150</v>
      </c>
      <c r="W151" s="1">
        <f t="shared" si="2"/>
        <v>0.4889492051182629</v>
      </c>
    </row>
    <row r="152" spans="1:23" x14ac:dyDescent="0.2">
      <c r="A152" s="1">
        <v>151</v>
      </c>
      <c r="B152" s="1" t="s">
        <v>1335</v>
      </c>
      <c r="C152" s="1" t="s">
        <v>825</v>
      </c>
      <c r="D152" s="1" t="s">
        <v>596</v>
      </c>
      <c r="E152" s="1" t="s">
        <v>1304</v>
      </c>
      <c r="F152" s="1" t="s">
        <v>223</v>
      </c>
      <c r="G152" s="1">
        <f>IF(ISNA(VLOOKUP(F152,Monster!B:E,4,FALSE)),0,VLOOKUP(F152,Monster!B:E,4,FALSE))</f>
        <v>30</v>
      </c>
      <c r="I152" s="1" t="s">
        <v>1336</v>
      </c>
      <c r="J152" s="1">
        <v>1666</v>
      </c>
      <c r="K152" s="1">
        <v>-15</v>
      </c>
      <c r="L152" s="1">
        <v>527</v>
      </c>
      <c r="M152" s="1" t="s">
        <v>41</v>
      </c>
      <c r="N152" s="1">
        <f>((NOT(ISNA(VLOOKUP(M152,Monster!$H$2:$I$6,2,FALSE)))*L152)+J152)*(1+K152/100*0.25)</f>
        <v>2110.7625000000003</v>
      </c>
      <c r="O152" s="1" t="str">
        <f t="shared" si="0"/>
        <v>Fire - 2110.7625</v>
      </c>
      <c r="P152" s="1" t="s">
        <v>364</v>
      </c>
      <c r="Q152" s="1">
        <v>1</v>
      </c>
      <c r="V152" s="1">
        <f t="shared" si="1"/>
        <v>151</v>
      </c>
      <c r="W152" s="1">
        <f t="shared" si="2"/>
        <v>0.24031007751937986</v>
      </c>
    </row>
    <row r="153" spans="1:23" x14ac:dyDescent="0.2">
      <c r="A153" s="1">
        <v>152</v>
      </c>
      <c r="B153" s="1" t="s">
        <v>1337</v>
      </c>
      <c r="C153" s="1" t="s">
        <v>834</v>
      </c>
      <c r="D153" s="1" t="s">
        <v>596</v>
      </c>
      <c r="E153" s="1" t="s">
        <v>1304</v>
      </c>
      <c r="F153" s="1" t="s">
        <v>234</v>
      </c>
      <c r="G153" s="1">
        <f>IF(ISNA(VLOOKUP(F153,Monster!B:E,4,FALSE)),0,VLOOKUP(F153,Monster!B:E,4,FALSE))</f>
        <v>32</v>
      </c>
      <c r="I153" s="1" t="s">
        <v>1337</v>
      </c>
      <c r="J153" s="1">
        <v>1553</v>
      </c>
      <c r="K153" s="1">
        <v>0</v>
      </c>
      <c r="L153" s="1">
        <v>974</v>
      </c>
      <c r="M153" s="1" t="s">
        <v>66</v>
      </c>
      <c r="N153" s="1">
        <f>((NOT(ISNA(VLOOKUP(M153,Monster!$H$2:$I$6,2,FALSE)))*L153)+J153)*(1+K153/100*0.25)</f>
        <v>2527</v>
      </c>
      <c r="O153" s="1" t="str">
        <f t="shared" si="0"/>
        <v>Ice - 2527</v>
      </c>
      <c r="P153" s="1" t="s">
        <v>528</v>
      </c>
      <c r="Q153" s="1">
        <v>2</v>
      </c>
      <c r="V153" s="1">
        <f t="shared" si="1"/>
        <v>152</v>
      </c>
      <c r="W153" s="1">
        <f t="shared" si="2"/>
        <v>0.38543727740403638</v>
      </c>
    </row>
    <row r="154" spans="1:23" x14ac:dyDescent="0.2">
      <c r="A154" s="1">
        <v>153</v>
      </c>
      <c r="B154" s="1" t="s">
        <v>1338</v>
      </c>
      <c r="C154" s="1" t="s">
        <v>839</v>
      </c>
      <c r="D154" s="1" t="s">
        <v>596</v>
      </c>
      <c r="E154" s="1" t="s">
        <v>1304</v>
      </c>
      <c r="F154" s="1" t="s">
        <v>239</v>
      </c>
      <c r="G154" s="1">
        <f>IF(ISNA(VLOOKUP(F154,Monster!B:E,4,FALSE)),0,VLOOKUP(F154,Monster!B:E,4,FALSE))</f>
        <v>33</v>
      </c>
      <c r="I154" s="1" t="s">
        <v>1339</v>
      </c>
      <c r="J154" s="1">
        <v>1138</v>
      </c>
      <c r="K154" s="1">
        <v>20</v>
      </c>
      <c r="L154" s="1">
        <v>1156</v>
      </c>
      <c r="M154" s="1" t="s">
        <v>50</v>
      </c>
      <c r="N154" s="1">
        <f>((NOT(ISNA(VLOOKUP(M154,Monster!$H$2:$I$6,2,FALSE)))*L154)+J154)*(1+K154/100*0.25)</f>
        <v>2408.7000000000003</v>
      </c>
      <c r="O154" s="1" t="str">
        <f t="shared" si="0"/>
        <v>Water - 2408.7</v>
      </c>
      <c r="P154" s="1" t="s">
        <v>38</v>
      </c>
      <c r="Q154" s="1">
        <v>1</v>
      </c>
      <c r="V154" s="1">
        <f t="shared" si="1"/>
        <v>153</v>
      </c>
      <c r="W154" s="1">
        <f t="shared" si="2"/>
        <v>0.50392327811682647</v>
      </c>
    </row>
    <row r="155" spans="1:23" x14ac:dyDescent="0.2">
      <c r="A155" s="1">
        <v>154</v>
      </c>
      <c r="B155" s="1" t="s">
        <v>1340</v>
      </c>
      <c r="C155" s="1" t="s">
        <v>845</v>
      </c>
      <c r="D155" s="1" t="s">
        <v>596</v>
      </c>
      <c r="E155" s="1" t="s">
        <v>1304</v>
      </c>
      <c r="F155" s="1" t="s">
        <v>245</v>
      </c>
      <c r="G155" s="1">
        <f>IF(ISNA(VLOOKUP(F155,Monster!B:E,4,FALSE)),0,VLOOKUP(F155,Monster!B:E,4,FALSE))</f>
        <v>34</v>
      </c>
      <c r="I155" s="1" t="s">
        <v>1340</v>
      </c>
      <c r="J155" s="1">
        <v>1684</v>
      </c>
      <c r="K155" s="1">
        <v>0</v>
      </c>
      <c r="L155" s="1">
        <v>502</v>
      </c>
      <c r="M155" s="1" t="s">
        <v>100</v>
      </c>
      <c r="N155" s="1">
        <f>((NOT(ISNA(VLOOKUP(M155,Monster!$H$2:$I$6,2,FALSE)))*L155)+J155)*(1+K155/100*0.25)</f>
        <v>1684</v>
      </c>
      <c r="O155" s="1" t="str">
        <f t="shared" si="0"/>
        <v>Blast - 1684</v>
      </c>
      <c r="P155" s="1" t="s">
        <v>364</v>
      </c>
      <c r="Q155" s="1">
        <v>2</v>
      </c>
      <c r="V155" s="1">
        <f t="shared" si="1"/>
        <v>154</v>
      </c>
      <c r="W155" s="1">
        <f t="shared" si="2"/>
        <v>0.22964318389752975</v>
      </c>
    </row>
    <row r="156" spans="1:23" x14ac:dyDescent="0.2">
      <c r="A156" s="1">
        <v>155</v>
      </c>
      <c r="B156" s="1" t="s">
        <v>1341</v>
      </c>
      <c r="C156" s="1" t="s">
        <v>849</v>
      </c>
      <c r="D156" s="1" t="s">
        <v>596</v>
      </c>
      <c r="E156" s="1" t="s">
        <v>1304</v>
      </c>
      <c r="F156" s="1" t="s">
        <v>251</v>
      </c>
      <c r="G156" s="1">
        <f>IF(ISNA(VLOOKUP(F156,Monster!B:E,4,FALSE)),0,VLOOKUP(F156,Monster!B:E,4,FALSE))</f>
        <v>35</v>
      </c>
      <c r="I156" s="1" t="s">
        <v>1342</v>
      </c>
      <c r="J156" s="1">
        <v>1588</v>
      </c>
      <c r="K156" s="1">
        <v>0</v>
      </c>
      <c r="L156" s="1">
        <v>632</v>
      </c>
      <c r="M156" s="1" t="s">
        <v>41</v>
      </c>
      <c r="N156" s="1">
        <f>((NOT(ISNA(VLOOKUP(M156,Monster!$H$2:$I$6,2,FALSE)))*L156)+J156)*(1+K156/100*0.25)</f>
        <v>2220</v>
      </c>
      <c r="O156" s="1" t="str">
        <f t="shared" si="0"/>
        <v>Fire - 2220</v>
      </c>
      <c r="P156" s="1" t="s">
        <v>412</v>
      </c>
      <c r="Q156" s="1">
        <v>1</v>
      </c>
      <c r="V156" s="1">
        <f t="shared" si="1"/>
        <v>155</v>
      </c>
      <c r="W156" s="1">
        <f t="shared" si="2"/>
        <v>0.28468468468468466</v>
      </c>
    </row>
    <row r="157" spans="1:23" x14ac:dyDescent="0.2">
      <c r="A157" s="1">
        <v>156</v>
      </c>
      <c r="B157" s="1" t="s">
        <v>1343</v>
      </c>
      <c r="C157" s="1" t="s">
        <v>853</v>
      </c>
      <c r="D157" s="1" t="s">
        <v>596</v>
      </c>
      <c r="E157" s="1" t="s">
        <v>1304</v>
      </c>
      <c r="F157" s="1" t="s">
        <v>256</v>
      </c>
      <c r="G157" s="1">
        <f>IF(ISNA(VLOOKUP(F157,Monster!B:E,4,FALSE)),0,VLOOKUP(F157,Monster!B:E,4,FALSE))</f>
        <v>36</v>
      </c>
      <c r="I157" s="1" t="s">
        <v>1344</v>
      </c>
      <c r="J157" s="1">
        <v>1516</v>
      </c>
      <c r="K157" s="1">
        <v>0</v>
      </c>
      <c r="L157" s="1">
        <v>496</v>
      </c>
      <c r="M157" s="1" t="s">
        <v>100</v>
      </c>
      <c r="N157" s="1">
        <f>((NOT(ISNA(VLOOKUP(M157,Monster!$H$2:$I$6,2,FALSE)))*L157)+J157)*(1+K157/100*0.25)</f>
        <v>1516</v>
      </c>
      <c r="O157" s="1" t="str">
        <f t="shared" si="0"/>
        <v>Blast - 1516</v>
      </c>
      <c r="P157" s="1" t="s">
        <v>463</v>
      </c>
      <c r="Q157" s="1">
        <v>1</v>
      </c>
      <c r="V157" s="1">
        <f t="shared" si="1"/>
        <v>156</v>
      </c>
      <c r="W157" s="1">
        <f t="shared" si="2"/>
        <v>0.24652087475149106</v>
      </c>
    </row>
    <row r="158" spans="1:23" x14ac:dyDescent="0.2">
      <c r="A158" s="1">
        <v>157</v>
      </c>
      <c r="B158" s="1" t="s">
        <v>1345</v>
      </c>
      <c r="C158" s="1" t="s">
        <v>857</v>
      </c>
      <c r="D158" s="1" t="s">
        <v>596</v>
      </c>
      <c r="E158" s="1" t="s">
        <v>1304</v>
      </c>
      <c r="F158" s="1" t="s">
        <v>263</v>
      </c>
      <c r="G158" s="1">
        <f>IF(ISNA(VLOOKUP(F158,Monster!B:E,4,FALSE)),0,VLOOKUP(F158,Monster!B:E,4,FALSE))</f>
        <v>37</v>
      </c>
      <c r="I158" s="1" t="s">
        <v>1346</v>
      </c>
      <c r="J158" s="1">
        <v>1318</v>
      </c>
      <c r="K158" s="1">
        <v>-30</v>
      </c>
      <c r="L158" s="1">
        <v>1261</v>
      </c>
      <c r="M158" s="1" t="s">
        <v>58</v>
      </c>
      <c r="N158" s="1">
        <f>((NOT(ISNA(VLOOKUP(M158,Monster!$H$2:$I$6,2,FALSE)))*L158)+J158)*(1+K158/100*0.25)</f>
        <v>2385.5750000000003</v>
      </c>
      <c r="O158" s="1" t="str">
        <f t="shared" si="0"/>
        <v>Thunder - 2385.575</v>
      </c>
      <c r="P158" s="1" t="s">
        <v>463</v>
      </c>
      <c r="Q158" s="1">
        <v>1</v>
      </c>
      <c r="V158" s="1">
        <f t="shared" si="1"/>
        <v>157</v>
      </c>
      <c r="W158" s="1">
        <f t="shared" si="2"/>
        <v>0.4889492051182629</v>
      </c>
    </row>
    <row r="159" spans="1:23" x14ac:dyDescent="0.2">
      <c r="A159" s="1">
        <v>158</v>
      </c>
      <c r="B159" s="1" t="s">
        <v>1347</v>
      </c>
      <c r="C159" s="1" t="s">
        <v>863</v>
      </c>
      <c r="D159" s="1" t="s">
        <v>596</v>
      </c>
      <c r="E159" s="1" t="s">
        <v>1304</v>
      </c>
      <c r="F159" s="1" t="s">
        <v>268</v>
      </c>
      <c r="G159" s="1">
        <f>IF(ISNA(VLOOKUP(F159,Monster!B:E,4,FALSE)),0,VLOOKUP(F159,Monster!B:E,4,FALSE))</f>
        <v>38</v>
      </c>
      <c r="I159" s="1" t="s">
        <v>1347</v>
      </c>
      <c r="J159" s="1">
        <v>1553</v>
      </c>
      <c r="K159" s="1">
        <v>0</v>
      </c>
      <c r="L159" s="1">
        <v>974</v>
      </c>
      <c r="M159" s="1" t="s">
        <v>71</v>
      </c>
      <c r="N159" s="1">
        <f>((NOT(ISNA(VLOOKUP(M159,Monster!$H$2:$I$6,2,FALSE)))*L159)+J159)*(1+K159/100*0.25)</f>
        <v>2527</v>
      </c>
      <c r="O159" s="1" t="str">
        <f t="shared" si="0"/>
        <v>Dragon - 2527</v>
      </c>
      <c r="P159" s="1" t="s">
        <v>463</v>
      </c>
      <c r="Q159" s="1">
        <v>2</v>
      </c>
      <c r="V159" s="1">
        <f t="shared" si="1"/>
        <v>158</v>
      </c>
      <c r="W159" s="1">
        <f t="shared" si="2"/>
        <v>0.38543727740403638</v>
      </c>
    </row>
    <row r="160" spans="1:23" x14ac:dyDescent="0.2">
      <c r="A160" s="1">
        <v>159</v>
      </c>
      <c r="B160" s="1" t="s">
        <v>1348</v>
      </c>
      <c r="C160" s="1" t="s">
        <v>866</v>
      </c>
      <c r="D160" s="1" t="s">
        <v>596</v>
      </c>
      <c r="E160" s="1" t="s">
        <v>1304</v>
      </c>
      <c r="F160" s="1" t="s">
        <v>273</v>
      </c>
      <c r="G160" s="1">
        <f>IF(ISNA(VLOOKUP(F160,Monster!B:E,4,FALSE)),0,VLOOKUP(F160,Monster!B:E,4,FALSE))</f>
        <v>39</v>
      </c>
      <c r="I160" s="1" t="s">
        <v>1349</v>
      </c>
      <c r="J160" s="1">
        <v>1588</v>
      </c>
      <c r="K160" s="1">
        <v>0</v>
      </c>
      <c r="L160" s="1">
        <v>632</v>
      </c>
      <c r="M160" s="1" t="s">
        <v>66</v>
      </c>
      <c r="N160" s="1">
        <f>((NOT(ISNA(VLOOKUP(M160,Monster!$H$2:$I$6,2,FALSE)))*L160)+J160)*(1+K160/100*0.25)</f>
        <v>2220</v>
      </c>
      <c r="O160" s="1" t="str">
        <f t="shared" si="0"/>
        <v>Ice - 2220</v>
      </c>
      <c r="P160" s="1" t="s">
        <v>412</v>
      </c>
      <c r="Q160" s="1">
        <v>1</v>
      </c>
      <c r="V160" s="1">
        <f t="shared" si="1"/>
        <v>159</v>
      </c>
      <c r="W160" s="1">
        <f t="shared" si="2"/>
        <v>0.28468468468468466</v>
      </c>
    </row>
    <row r="161" spans="1:37" x14ac:dyDescent="0.2">
      <c r="A161" s="1">
        <v>160</v>
      </c>
      <c r="B161" s="1" t="s">
        <v>1350</v>
      </c>
      <c r="C161" s="1" t="s">
        <v>872</v>
      </c>
      <c r="D161" s="1" t="s">
        <v>596</v>
      </c>
      <c r="E161" s="1" t="s">
        <v>1304</v>
      </c>
      <c r="F161" s="1" t="s">
        <v>288</v>
      </c>
      <c r="G161" s="1">
        <f>IF(ISNA(VLOOKUP(F161,Monster!B:E,4,FALSE)),0,VLOOKUP(F161,Monster!B:E,4,FALSE))</f>
        <v>41</v>
      </c>
      <c r="I161" s="1" t="s">
        <v>1351</v>
      </c>
      <c r="J161" s="1">
        <v>1567</v>
      </c>
      <c r="K161" s="1">
        <v>-15</v>
      </c>
      <c r="L161" s="1">
        <v>496</v>
      </c>
      <c r="M161" s="1" t="s">
        <v>95</v>
      </c>
      <c r="N161" s="1">
        <f>((NOT(ISNA(VLOOKUP(M161,Monster!$H$2:$I$6,2,FALSE)))*L161)+J161)*(1+K161/100*0.25)</f>
        <v>1508.2375</v>
      </c>
      <c r="O161" s="1" t="str">
        <f t="shared" si="0"/>
        <v>Sleep - 1508.2375</v>
      </c>
      <c r="P161" s="1" t="s">
        <v>253</v>
      </c>
      <c r="Q161" s="1">
        <v>1</v>
      </c>
      <c r="V161" s="1">
        <f t="shared" si="1"/>
        <v>160</v>
      </c>
      <c r="W161" s="1">
        <f t="shared" si="2"/>
        <v>0.24042656325739215</v>
      </c>
    </row>
    <row r="162" spans="1:37" x14ac:dyDescent="0.2">
      <c r="A162" s="1">
        <v>161</v>
      </c>
      <c r="B162" s="1" t="s">
        <v>1352</v>
      </c>
      <c r="C162" s="1" t="s">
        <v>875</v>
      </c>
      <c r="D162" s="1" t="s">
        <v>596</v>
      </c>
      <c r="E162" s="1" t="s">
        <v>1304</v>
      </c>
      <c r="F162" s="1" t="s">
        <v>293</v>
      </c>
      <c r="G162" s="1">
        <f>IF(ISNA(VLOOKUP(F162,Monster!B:E,4,FALSE)),0,VLOOKUP(F162,Monster!B:E,4,FALSE))</f>
        <v>42</v>
      </c>
      <c r="I162" s="1" t="s">
        <v>1353</v>
      </c>
      <c r="J162" s="1">
        <v>2198</v>
      </c>
      <c r="K162" s="1">
        <v>-40</v>
      </c>
      <c r="L162" s="1">
        <v>0</v>
      </c>
      <c r="M162" s="1" t="s">
        <v>107</v>
      </c>
      <c r="N162" s="1">
        <f>((NOT(ISNA(VLOOKUP(M162,Monster!$H$2:$I$6,2,FALSE)))*L162)+J162)*(1+K162/100*0.25)</f>
        <v>1978.2</v>
      </c>
      <c r="O162" s="1" t="str">
        <f t="shared" si="0"/>
        <v>No Element - 1978.2</v>
      </c>
      <c r="P162" s="1" t="s">
        <v>194</v>
      </c>
      <c r="Q162" s="1">
        <v>1</v>
      </c>
      <c r="V162" s="1">
        <f t="shared" si="1"/>
        <v>161</v>
      </c>
      <c r="W162" s="1">
        <f t="shared" si="2"/>
        <v>0</v>
      </c>
    </row>
    <row r="163" spans="1:37" x14ac:dyDescent="0.2">
      <c r="A163" s="1">
        <v>162</v>
      </c>
      <c r="B163" s="1" t="s">
        <v>1354</v>
      </c>
      <c r="C163" s="1" t="s">
        <v>880</v>
      </c>
      <c r="D163" s="1" t="s">
        <v>596</v>
      </c>
      <c r="E163" s="1" t="s">
        <v>1304</v>
      </c>
      <c r="F163" s="1" t="s">
        <v>298</v>
      </c>
      <c r="G163" s="1">
        <f>IF(ISNA(VLOOKUP(F163,Monster!B:E,4,FALSE)),0,VLOOKUP(F163,Monster!B:E,4,FALSE))</f>
        <v>43</v>
      </c>
      <c r="I163" s="1" t="s">
        <v>1355</v>
      </c>
      <c r="J163" s="1">
        <v>2198</v>
      </c>
      <c r="K163" s="1">
        <v>-10</v>
      </c>
      <c r="L163" s="1">
        <v>0</v>
      </c>
      <c r="M163" s="1" t="s">
        <v>107</v>
      </c>
      <c r="N163" s="1">
        <f>((NOT(ISNA(VLOOKUP(M163,Monster!$H$2:$I$6,2,FALSE)))*L163)+J163)*(1+K163/100*0.25)</f>
        <v>2143.0499999999997</v>
      </c>
      <c r="O163" s="1" t="str">
        <f t="shared" si="0"/>
        <v>No Element - 2143.05</v>
      </c>
      <c r="P163" s="1" t="s">
        <v>28</v>
      </c>
      <c r="Q163" s="1">
        <v>5</v>
      </c>
      <c r="V163" s="1">
        <f t="shared" si="1"/>
        <v>162</v>
      </c>
      <c r="W163" s="1">
        <f t="shared" si="2"/>
        <v>0</v>
      </c>
    </row>
    <row r="164" spans="1:37" x14ac:dyDescent="0.2">
      <c r="A164" s="1">
        <v>163</v>
      </c>
      <c r="B164" s="1" t="s">
        <v>1356</v>
      </c>
      <c r="C164" s="1" t="s">
        <v>888</v>
      </c>
      <c r="D164" s="1" t="s">
        <v>596</v>
      </c>
      <c r="E164" s="1" t="s">
        <v>1304</v>
      </c>
      <c r="F164" s="1" t="s">
        <v>305</v>
      </c>
      <c r="G164" s="1">
        <f>IF(ISNA(VLOOKUP(F164,Monster!B:E,4,FALSE)),0,VLOOKUP(F164,Monster!B:E,4,FALSE))</f>
        <v>45</v>
      </c>
      <c r="I164" s="1" t="s">
        <v>1357</v>
      </c>
      <c r="J164" s="1">
        <v>1942</v>
      </c>
      <c r="K164" s="1">
        <v>-30</v>
      </c>
      <c r="L164" s="1">
        <v>297</v>
      </c>
      <c r="M164" s="1" t="s">
        <v>100</v>
      </c>
      <c r="N164" s="1">
        <f>((NOT(ISNA(VLOOKUP(M164,Monster!$H$2:$I$6,2,FALSE)))*L164)+J164)*(1+K164/100*0.25)</f>
        <v>1796.3500000000001</v>
      </c>
      <c r="O164" s="1" t="str">
        <f t="shared" si="0"/>
        <v>Blast - 1796.35</v>
      </c>
      <c r="P164" s="1" t="s">
        <v>194</v>
      </c>
      <c r="Q164" s="1">
        <v>1</v>
      </c>
      <c r="V164" s="1">
        <f t="shared" si="1"/>
        <v>163</v>
      </c>
      <c r="W164" s="1">
        <f t="shared" si="2"/>
        <v>0.13264850379633766</v>
      </c>
    </row>
    <row r="165" spans="1:37" x14ac:dyDescent="0.2">
      <c r="A165" s="1">
        <v>164</v>
      </c>
      <c r="B165" s="1" t="s">
        <v>1358</v>
      </c>
      <c r="C165" s="1" t="s">
        <v>896</v>
      </c>
      <c r="D165" s="1" t="s">
        <v>596</v>
      </c>
      <c r="E165" s="1" t="s">
        <v>1304</v>
      </c>
      <c r="F165" s="1" t="s">
        <v>316</v>
      </c>
      <c r="G165" s="1">
        <f>IF(ISNA(VLOOKUP(F165,Monster!B:E,4,FALSE)),0,VLOOKUP(F165,Monster!B:E,4,FALSE))</f>
        <v>47</v>
      </c>
      <c r="I165" s="1" t="s">
        <v>1359</v>
      </c>
      <c r="J165" s="1">
        <v>1971</v>
      </c>
      <c r="K165" s="1">
        <v>-20</v>
      </c>
      <c r="L165" s="1">
        <v>0</v>
      </c>
      <c r="M165" s="1" t="s">
        <v>107</v>
      </c>
      <c r="N165" s="1">
        <f>((NOT(ISNA(VLOOKUP(M165,Monster!$H$2:$I$6,2,FALSE)))*L165)+J165)*(1+K165/100*0.25)</f>
        <v>1872.4499999999998</v>
      </c>
      <c r="O165" s="1" t="str">
        <f t="shared" si="0"/>
        <v>No Element - 1872.45</v>
      </c>
      <c r="P165" s="1" t="s">
        <v>602</v>
      </c>
      <c r="Q165" s="1">
        <v>2</v>
      </c>
      <c r="V165" s="1">
        <f t="shared" si="1"/>
        <v>164</v>
      </c>
      <c r="W165" s="1">
        <f t="shared" si="2"/>
        <v>0</v>
      </c>
    </row>
    <row r="166" spans="1:37" x14ac:dyDescent="0.2">
      <c r="A166" s="1">
        <v>165</v>
      </c>
      <c r="B166" s="1" t="s">
        <v>1360</v>
      </c>
      <c r="C166" s="1" t="s">
        <v>900</v>
      </c>
      <c r="D166" s="1" t="s">
        <v>596</v>
      </c>
      <c r="E166" s="1" t="s">
        <v>1304</v>
      </c>
      <c r="F166" s="1" t="s">
        <v>320</v>
      </c>
      <c r="G166" s="1">
        <f>IF(ISNA(VLOOKUP(F166,Monster!B:E,4,FALSE)),0,VLOOKUP(F166,Monster!B:E,4,FALSE))</f>
        <v>48</v>
      </c>
      <c r="I166" s="1" t="s">
        <v>1360</v>
      </c>
      <c r="J166" s="1">
        <v>1318</v>
      </c>
      <c r="K166" s="1">
        <v>-30</v>
      </c>
      <c r="L166" s="1">
        <v>1261</v>
      </c>
      <c r="M166" s="1" t="s">
        <v>41</v>
      </c>
      <c r="N166" s="1">
        <f>((NOT(ISNA(VLOOKUP(M166,Monster!$H$2:$I$6,2,FALSE)))*L166)+J166)*(1+K166/100*0.25)</f>
        <v>2385.5750000000003</v>
      </c>
      <c r="O166" s="1" t="str">
        <f t="shared" si="0"/>
        <v>Fire - 2385.575</v>
      </c>
      <c r="P166" s="1" t="s">
        <v>194</v>
      </c>
      <c r="Q166" s="1">
        <v>1</v>
      </c>
      <c r="V166" s="1">
        <f t="shared" si="1"/>
        <v>165</v>
      </c>
      <c r="W166" s="1">
        <f t="shared" si="2"/>
        <v>0.4889492051182629</v>
      </c>
    </row>
    <row r="167" spans="1:37" x14ac:dyDescent="0.2">
      <c r="A167" s="1">
        <v>166</v>
      </c>
      <c r="B167" s="1" t="s">
        <v>1361</v>
      </c>
      <c r="C167" s="1" t="s">
        <v>904</v>
      </c>
      <c r="D167" s="1" t="s">
        <v>596</v>
      </c>
      <c r="E167" s="1" t="s">
        <v>1304</v>
      </c>
      <c r="F167" s="1" t="s">
        <v>328</v>
      </c>
      <c r="G167" s="1">
        <f>IF(ISNA(VLOOKUP(F167,Monster!B:E,4,FALSE)),0,VLOOKUP(F167,Monster!B:E,4,FALSE))</f>
        <v>49</v>
      </c>
      <c r="I167" s="1" t="s">
        <v>1361</v>
      </c>
      <c r="J167" s="1">
        <v>1741</v>
      </c>
      <c r="K167" s="1">
        <v>0</v>
      </c>
      <c r="L167" s="1">
        <v>505</v>
      </c>
      <c r="M167" s="1" t="s">
        <v>79</v>
      </c>
      <c r="N167" s="1">
        <f>((NOT(ISNA(VLOOKUP(M167,Monster!$H$2:$I$6,2,FALSE)))*L167)+J167)*(1+K167/100*0.25)</f>
        <v>1741</v>
      </c>
      <c r="O167" s="1" t="str">
        <f t="shared" si="0"/>
        <v>Poison - 1741</v>
      </c>
      <c r="P167" s="1" t="s">
        <v>624</v>
      </c>
      <c r="Q167" s="1">
        <v>2</v>
      </c>
      <c r="V167" s="1">
        <f t="shared" si="1"/>
        <v>166</v>
      </c>
      <c r="W167" s="1">
        <f t="shared" si="2"/>
        <v>0.22484416740872662</v>
      </c>
    </row>
    <row r="168" spans="1:37" x14ac:dyDescent="0.2">
      <c r="A168" s="1">
        <v>167</v>
      </c>
      <c r="B168" s="1" t="s">
        <v>1362</v>
      </c>
      <c r="C168" s="1" t="s">
        <v>908</v>
      </c>
      <c r="D168" s="1" t="s">
        <v>596</v>
      </c>
      <c r="E168" s="1" t="s">
        <v>1304</v>
      </c>
      <c r="F168" s="1" t="s">
        <v>334</v>
      </c>
      <c r="G168" s="1">
        <f>IF(ISNA(VLOOKUP(F168,Monster!B:E,4,FALSE)),0,VLOOKUP(F168,Monster!B:E,4,FALSE))</f>
        <v>50</v>
      </c>
      <c r="I168" s="1" t="s">
        <v>1363</v>
      </c>
      <c r="J168" s="1">
        <v>1647</v>
      </c>
      <c r="K168" s="1">
        <v>10</v>
      </c>
      <c r="L168" s="1">
        <v>307</v>
      </c>
      <c r="M168" s="1" t="s">
        <v>79</v>
      </c>
      <c r="N168" s="1">
        <f>((NOT(ISNA(VLOOKUP(M168,Monster!$H$2:$I$6,2,FALSE)))*L168)+J168)*(1+K168/100*0.25)</f>
        <v>1688.175</v>
      </c>
      <c r="O168" s="1" t="str">
        <f t="shared" si="0"/>
        <v>Poison - 1688.175</v>
      </c>
      <c r="P168" s="1" t="s">
        <v>412</v>
      </c>
      <c r="Q168" s="1">
        <v>1</v>
      </c>
      <c r="V168" s="1">
        <f t="shared" si="1"/>
        <v>167</v>
      </c>
      <c r="W168" s="1">
        <f t="shared" si="2"/>
        <v>0.1571136131013306</v>
      </c>
    </row>
    <row r="169" spans="1:37" x14ac:dyDescent="0.2">
      <c r="A169" s="1">
        <v>168</v>
      </c>
      <c r="B169" s="1" t="s">
        <v>1364</v>
      </c>
      <c r="C169" s="1" t="s">
        <v>922</v>
      </c>
      <c r="D169" s="1" t="s">
        <v>596</v>
      </c>
      <c r="E169" s="1" t="s">
        <v>1304</v>
      </c>
      <c r="F169" s="1" t="s">
        <v>349</v>
      </c>
      <c r="G169" s="1">
        <f>IF(ISNA(VLOOKUP(F169,Monster!B:E,4,FALSE)),0,VLOOKUP(F169,Monster!B:E,4,FALSE))</f>
        <v>53</v>
      </c>
      <c r="I169" s="1" t="s">
        <v>1365</v>
      </c>
      <c r="J169" s="1">
        <v>1738</v>
      </c>
      <c r="K169" s="1">
        <v>40</v>
      </c>
      <c r="L169" s="1">
        <v>0</v>
      </c>
      <c r="M169" s="1" t="s">
        <v>107</v>
      </c>
      <c r="N169" s="1">
        <f>((NOT(ISNA(VLOOKUP(M169,Monster!$H$2:$I$6,2,FALSE)))*L169)+J169)*(1+K169/100*0.25)</f>
        <v>1911.8000000000002</v>
      </c>
      <c r="O169" s="1" t="str">
        <f t="shared" si="0"/>
        <v>No Element - 1911.8</v>
      </c>
      <c r="P169" s="1" t="s">
        <v>535</v>
      </c>
      <c r="Q169" s="1">
        <v>2</v>
      </c>
      <c r="V169" s="1">
        <f t="shared" si="1"/>
        <v>168</v>
      </c>
      <c r="W169" s="1">
        <f t="shared" si="2"/>
        <v>0</v>
      </c>
    </row>
    <row r="170" spans="1:37" x14ac:dyDescent="0.2">
      <c r="A170" s="1">
        <v>169</v>
      </c>
      <c r="B170" s="1" t="s">
        <v>1366</v>
      </c>
      <c r="C170" s="1" t="s">
        <v>926</v>
      </c>
      <c r="D170" s="1" t="s">
        <v>596</v>
      </c>
      <c r="E170" s="1" t="s">
        <v>1304</v>
      </c>
      <c r="F170" s="1" t="s">
        <v>354</v>
      </c>
      <c r="G170" s="1">
        <f>IF(ISNA(VLOOKUP(F170,Monster!B:E,4,FALSE)),0,VLOOKUP(F170,Monster!B:E,4,FALSE))</f>
        <v>54</v>
      </c>
      <c r="I170" s="1" t="s">
        <v>1366</v>
      </c>
      <c r="J170" s="1">
        <v>1328</v>
      </c>
      <c r="K170" s="1">
        <v>20</v>
      </c>
      <c r="L170" s="1">
        <v>1074</v>
      </c>
      <c r="M170" s="1" t="s">
        <v>50</v>
      </c>
      <c r="N170" s="1">
        <f>((NOT(ISNA(VLOOKUP(M170,Monster!$H$2:$I$6,2,FALSE)))*L170)+J170)*(1+K170/100*0.25)</f>
        <v>2522.1</v>
      </c>
      <c r="O170" s="1" t="str">
        <f t="shared" si="0"/>
        <v>Water - 2522.1</v>
      </c>
      <c r="P170" s="1" t="s">
        <v>677</v>
      </c>
      <c r="Q170" s="1">
        <v>1</v>
      </c>
      <c r="V170" s="1">
        <f t="shared" si="1"/>
        <v>169</v>
      </c>
      <c r="W170" s="1">
        <f t="shared" si="2"/>
        <v>0.44712739383846795</v>
      </c>
    </row>
    <row r="171" spans="1:37" x14ac:dyDescent="0.2">
      <c r="A171" s="1">
        <v>170</v>
      </c>
      <c r="B171" s="1" t="s">
        <v>1367</v>
      </c>
      <c r="C171" s="1" t="s">
        <v>930</v>
      </c>
      <c r="D171" s="1" t="s">
        <v>596</v>
      </c>
      <c r="E171" s="1" t="s">
        <v>1304</v>
      </c>
      <c r="F171" s="1" t="s">
        <v>360</v>
      </c>
      <c r="G171" s="1">
        <f>IF(ISNA(VLOOKUP(F171,Monster!B:E,4,FALSE)),0,VLOOKUP(F171,Monster!B:E,4,FALSE))</f>
        <v>55</v>
      </c>
      <c r="I171" s="1" t="s">
        <v>1368</v>
      </c>
      <c r="J171" s="1">
        <v>1979</v>
      </c>
      <c r="K171" s="1">
        <v>0</v>
      </c>
      <c r="L171" s="1">
        <v>0</v>
      </c>
      <c r="M171" s="1" t="s">
        <v>107</v>
      </c>
      <c r="N171" s="1">
        <f>((NOT(ISNA(VLOOKUP(M171,Monster!$H$2:$I$6,2,FALSE)))*L171)+J171)*(1+K171/100*0.25)</f>
        <v>1979</v>
      </c>
      <c r="O171" s="1" t="str">
        <f t="shared" si="0"/>
        <v>No Element - 1979</v>
      </c>
      <c r="P171" s="1" t="s">
        <v>515</v>
      </c>
      <c r="Q171" s="1">
        <v>1</v>
      </c>
      <c r="V171" s="1">
        <f t="shared" si="1"/>
        <v>170</v>
      </c>
      <c r="W171" s="1">
        <f t="shared" si="2"/>
        <v>0</v>
      </c>
    </row>
    <row r="172" spans="1:37" x14ac:dyDescent="0.2">
      <c r="A172" s="1">
        <v>171</v>
      </c>
      <c r="B172" s="1" t="s">
        <v>1369</v>
      </c>
      <c r="C172" s="1" t="s">
        <v>934</v>
      </c>
      <c r="D172" s="1" t="s">
        <v>596</v>
      </c>
      <c r="E172" s="1" t="s">
        <v>1304</v>
      </c>
      <c r="F172" s="1" t="s">
        <v>365</v>
      </c>
      <c r="G172" s="1">
        <f>IF(ISNA(VLOOKUP(F172,Monster!B:E,4,FALSE)),0,VLOOKUP(F172,Monster!B:E,4,FALSE))</f>
        <v>56</v>
      </c>
      <c r="I172" s="1" t="s">
        <v>1370</v>
      </c>
      <c r="J172" s="1">
        <v>1020</v>
      </c>
      <c r="K172" s="1">
        <v>0</v>
      </c>
      <c r="L172" s="1">
        <v>1173</v>
      </c>
      <c r="M172" s="1" t="s">
        <v>66</v>
      </c>
      <c r="N172" s="1">
        <f>((NOT(ISNA(VLOOKUP(M172,Monster!$H$2:$I$6,2,FALSE)))*L172)+J172)*(1+K172/100*0.25)</f>
        <v>2193</v>
      </c>
      <c r="O172" s="1" t="str">
        <f t="shared" si="0"/>
        <v>Ice - 2193</v>
      </c>
      <c r="P172" s="1" t="s">
        <v>659</v>
      </c>
      <c r="Q172" s="1">
        <v>1</v>
      </c>
      <c r="V172" s="1">
        <f t="shared" si="1"/>
        <v>171</v>
      </c>
      <c r="W172" s="1">
        <f t="shared" si="2"/>
        <v>0.53488372093023251</v>
      </c>
    </row>
    <row r="173" spans="1:37" x14ac:dyDescent="0.2">
      <c r="A173" s="1">
        <v>172</v>
      </c>
      <c r="B173" s="1" t="s">
        <v>1371</v>
      </c>
      <c r="C173" s="1" t="s">
        <v>939</v>
      </c>
      <c r="D173" s="1" t="s">
        <v>596</v>
      </c>
      <c r="E173" s="1" t="s">
        <v>1304</v>
      </c>
      <c r="F173" s="1" t="s">
        <v>370</v>
      </c>
      <c r="G173" s="1">
        <f>IF(ISNA(VLOOKUP(F173,Monster!B:E,4,FALSE)),0,VLOOKUP(F173,Monster!B:E,4,FALSE))</f>
        <v>57</v>
      </c>
      <c r="I173" s="1" t="s">
        <v>1372</v>
      </c>
      <c r="J173" s="1">
        <v>1756</v>
      </c>
      <c r="K173" s="1">
        <v>20</v>
      </c>
      <c r="L173" s="1">
        <v>282</v>
      </c>
      <c r="M173" s="1" t="s">
        <v>79</v>
      </c>
      <c r="N173" s="1">
        <f>((NOT(ISNA(VLOOKUP(M173,Monster!$H$2:$I$6,2,FALSE)))*L173)+J173)*(1+K173/100*0.25)</f>
        <v>1843.8000000000002</v>
      </c>
      <c r="O173" s="1" t="str">
        <f t="shared" si="0"/>
        <v>Poison - 1843.8</v>
      </c>
      <c r="P173" s="1" t="s">
        <v>615</v>
      </c>
      <c r="Q173" s="1">
        <v>2</v>
      </c>
      <c r="V173" s="1">
        <f t="shared" si="1"/>
        <v>172</v>
      </c>
      <c r="W173" s="1">
        <f t="shared" si="2"/>
        <v>0.13837095191364082</v>
      </c>
    </row>
    <row r="174" spans="1:37" x14ac:dyDescent="0.2">
      <c r="A174" s="1">
        <v>173</v>
      </c>
      <c r="B174" s="3" t="s">
        <v>1373</v>
      </c>
      <c r="C174" s="3" t="s">
        <v>943</v>
      </c>
      <c r="D174" s="3" t="s">
        <v>596</v>
      </c>
      <c r="E174" s="1" t="s">
        <v>1304</v>
      </c>
      <c r="F174" s="3" t="s">
        <v>374</v>
      </c>
      <c r="G174" s="4">
        <f>IF(ISNA(VLOOKUP(F174,Monster!B:E,4,FALSE)),0,VLOOKUP(F174,Monster!B:E,4,FALSE))</f>
        <v>58</v>
      </c>
      <c r="H174" s="3"/>
      <c r="I174" s="3" t="s">
        <v>1373</v>
      </c>
      <c r="J174" s="4">
        <v>1205</v>
      </c>
      <c r="K174" s="4">
        <v>0</v>
      </c>
      <c r="L174" s="4">
        <v>1305</v>
      </c>
      <c r="M174" s="3" t="s">
        <v>71</v>
      </c>
      <c r="N174" s="4">
        <f>((NOT(ISNA(VLOOKUP(M174,Monster!$H$2:$I$6,2,FALSE)))*L174)+J174)*(1+K174/100*0.25)</f>
        <v>2510</v>
      </c>
      <c r="O174" s="1" t="str">
        <f t="shared" si="0"/>
        <v>Dragon - 2510</v>
      </c>
      <c r="P174" s="3" t="s">
        <v>689</v>
      </c>
      <c r="Q174" s="4">
        <v>1</v>
      </c>
      <c r="R174" s="3" t="s">
        <v>372</v>
      </c>
      <c r="S174" s="3"/>
      <c r="T174" s="3"/>
      <c r="U174" s="3"/>
      <c r="V174" s="1">
        <f t="shared" si="1"/>
        <v>173</v>
      </c>
      <c r="W174" s="1">
        <f t="shared" si="2"/>
        <v>0.51992031872509958</v>
      </c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</row>
    <row r="175" spans="1:37" x14ac:dyDescent="0.2">
      <c r="A175" s="1">
        <v>174</v>
      </c>
      <c r="B175" s="1" t="s">
        <v>1374</v>
      </c>
      <c r="C175" s="1" t="s">
        <v>949</v>
      </c>
      <c r="D175" s="1" t="s">
        <v>596</v>
      </c>
      <c r="E175" s="1" t="s">
        <v>1304</v>
      </c>
      <c r="F175" s="1"/>
      <c r="G175" s="1">
        <f>IF(ISNA(VLOOKUP(F175,Monster!B:E,4,FALSE)),0,VLOOKUP(F175,Monster!B:E,4,FALSE))</f>
        <v>0</v>
      </c>
      <c r="I175" s="1" t="s">
        <v>1375</v>
      </c>
      <c r="J175" s="1">
        <v>1596</v>
      </c>
      <c r="K175" s="1">
        <v>0</v>
      </c>
      <c r="L175" s="1">
        <v>0</v>
      </c>
      <c r="M175" s="1" t="s">
        <v>107</v>
      </c>
      <c r="N175" s="1">
        <f>((NOT(ISNA(VLOOKUP(M175,Monster!$H$2:$I$6,2,FALSE)))*L175)+J175)*(1+K175/100*0.25)</f>
        <v>1596</v>
      </c>
      <c r="O175" s="1" t="str">
        <f t="shared" si="0"/>
        <v>No Element - 1596</v>
      </c>
      <c r="P175" s="1" t="s">
        <v>158</v>
      </c>
      <c r="Q175" s="1">
        <v>1</v>
      </c>
      <c r="V175" s="1">
        <f t="shared" si="1"/>
        <v>174</v>
      </c>
      <c r="W175" s="1">
        <f t="shared" si="2"/>
        <v>0</v>
      </c>
    </row>
    <row r="176" spans="1:37" x14ac:dyDescent="0.2">
      <c r="A176" s="1">
        <v>175</v>
      </c>
      <c r="B176" s="1" t="s">
        <v>1376</v>
      </c>
      <c r="C176" s="1" t="s">
        <v>1274</v>
      </c>
      <c r="D176" s="1" t="s">
        <v>596</v>
      </c>
      <c r="E176" s="1" t="s">
        <v>1304</v>
      </c>
      <c r="F176" s="1" t="s">
        <v>251</v>
      </c>
      <c r="G176" s="1">
        <f>IF(ISNA(VLOOKUP(F176,Monster!B:E,4,FALSE)),0,VLOOKUP(F176,Monster!B:E,4,FALSE))</f>
        <v>35</v>
      </c>
      <c r="I176" s="1" t="s">
        <v>1377</v>
      </c>
      <c r="J176" s="1">
        <v>1221</v>
      </c>
      <c r="K176" s="1">
        <v>0</v>
      </c>
      <c r="L176" s="1">
        <v>1142</v>
      </c>
      <c r="M176" s="1" t="s">
        <v>71</v>
      </c>
      <c r="N176" s="1">
        <f>((NOT(ISNA(VLOOKUP(M176,Monster!$H$2:$I$6,2,FALSE)))*L176)+J176)*(1+K176/100*0.25)</f>
        <v>2363</v>
      </c>
      <c r="O176" s="1" t="str">
        <f t="shared" si="0"/>
        <v>Dragon - 2363</v>
      </c>
      <c r="P176" s="1" t="s">
        <v>492</v>
      </c>
      <c r="Q176" s="1">
        <v>2</v>
      </c>
      <c r="V176" s="1">
        <f t="shared" si="1"/>
        <v>175</v>
      </c>
      <c r="W176" s="1">
        <f t="shared" si="2"/>
        <v>0.48328396106644095</v>
      </c>
    </row>
    <row r="177" spans="1:23" x14ac:dyDescent="0.2">
      <c r="A177" s="1">
        <v>176</v>
      </c>
      <c r="B177" s="1" t="s">
        <v>1378</v>
      </c>
      <c r="C177" s="1" t="s">
        <v>958</v>
      </c>
      <c r="D177" s="1" t="s">
        <v>596</v>
      </c>
      <c r="E177" s="1" t="s">
        <v>1304</v>
      </c>
      <c r="F177" s="1"/>
      <c r="G177" s="1">
        <f>IF(ISNA(VLOOKUP(F177,Monster!B:E,4,FALSE)),0,VLOOKUP(F177,Monster!B:E,4,FALSE))</f>
        <v>0</v>
      </c>
      <c r="I177" s="1" t="s">
        <v>1379</v>
      </c>
      <c r="J177" s="1">
        <v>1878</v>
      </c>
      <c r="K177" s="1">
        <v>0</v>
      </c>
      <c r="L177" s="1">
        <v>0</v>
      </c>
      <c r="M177" s="1" t="s">
        <v>107</v>
      </c>
      <c r="N177" s="1">
        <f>((NOT(ISNA(VLOOKUP(M177,Monster!$H$2:$I$6,2,FALSE)))*L177)+J177)*(1+K177/100*0.25)</f>
        <v>1878</v>
      </c>
      <c r="O177" s="1" t="str">
        <f t="shared" si="0"/>
        <v>No Element - 1878</v>
      </c>
      <c r="P177" s="1" t="s">
        <v>412</v>
      </c>
      <c r="Q177" s="1">
        <v>1</v>
      </c>
      <c r="V177" s="1">
        <f t="shared" si="1"/>
        <v>176</v>
      </c>
      <c r="W177" s="1">
        <f t="shared" si="2"/>
        <v>0</v>
      </c>
    </row>
    <row r="178" spans="1:23" x14ac:dyDescent="0.2">
      <c r="A178" s="1">
        <v>177</v>
      </c>
      <c r="B178" s="1" t="s">
        <v>1380</v>
      </c>
      <c r="C178" s="1" t="s">
        <v>34</v>
      </c>
      <c r="D178" s="1" t="s">
        <v>596</v>
      </c>
      <c r="E178" s="1" t="s">
        <v>1381</v>
      </c>
      <c r="F178" s="1"/>
      <c r="G178" s="1">
        <f>IF(ISNA(VLOOKUP(F178,Monster!B:E,4,FALSE)),0,VLOOKUP(F178,Monster!B:E,4,FALSE))</f>
        <v>0</v>
      </c>
      <c r="I178" s="1" t="s">
        <v>1382</v>
      </c>
      <c r="J178" s="1">
        <v>1596</v>
      </c>
      <c r="K178" s="1">
        <v>0</v>
      </c>
      <c r="L178" s="1">
        <v>0</v>
      </c>
      <c r="M178" s="1" t="s">
        <v>107</v>
      </c>
      <c r="N178" s="1">
        <f>((NOT(ISNA(VLOOKUP(M178,Monster!$H$2:$I$6,2,FALSE)))*L178)+J178)*(1+K178/100*0.25)</f>
        <v>1596</v>
      </c>
      <c r="O178" s="1" t="str">
        <f t="shared" si="0"/>
        <v>No Element - 1596</v>
      </c>
      <c r="P178" s="1" t="s">
        <v>410</v>
      </c>
      <c r="Q178" s="1">
        <v>2</v>
      </c>
      <c r="V178" s="1">
        <f t="shared" si="1"/>
        <v>177</v>
      </c>
      <c r="W178" s="1">
        <f t="shared" si="2"/>
        <v>0</v>
      </c>
    </row>
    <row r="179" spans="1:23" x14ac:dyDescent="0.2">
      <c r="A179" s="1">
        <v>178</v>
      </c>
      <c r="B179" s="1" t="s">
        <v>1383</v>
      </c>
      <c r="C179" s="1" t="s">
        <v>439</v>
      </c>
      <c r="D179" s="1" t="s">
        <v>596</v>
      </c>
      <c r="E179" s="1" t="s">
        <v>1381</v>
      </c>
      <c r="F179" s="1" t="s">
        <v>47</v>
      </c>
      <c r="G179" s="1">
        <f>IF(ISNA(VLOOKUP(F179,Monster!B:E,4,FALSE)),0,VLOOKUP(F179,Monster!B:E,4,FALSE))</f>
        <v>2</v>
      </c>
      <c r="I179" s="1" t="s">
        <v>1384</v>
      </c>
      <c r="J179" s="1">
        <v>1596</v>
      </c>
      <c r="K179" s="1">
        <v>30</v>
      </c>
      <c r="L179" s="1">
        <v>0</v>
      </c>
      <c r="M179" s="1" t="s">
        <v>107</v>
      </c>
      <c r="N179" s="1">
        <f>((NOT(ISNA(VLOOKUP(M179,Monster!$H$2:$I$6,2,FALSE)))*L179)+J179)*(1+K179/100*0.25)</f>
        <v>1715.6999999999998</v>
      </c>
      <c r="O179" s="1" t="str">
        <f t="shared" si="0"/>
        <v>No Element - 1715.7</v>
      </c>
      <c r="P179" s="1" t="s">
        <v>319</v>
      </c>
      <c r="Q179" s="1">
        <v>2</v>
      </c>
      <c r="V179" s="1">
        <f t="shared" si="1"/>
        <v>178</v>
      </c>
      <c r="W179" s="1">
        <f t="shared" si="2"/>
        <v>0</v>
      </c>
    </row>
    <row r="180" spans="1:23" x14ac:dyDescent="0.2">
      <c r="A180" s="1">
        <v>179</v>
      </c>
      <c r="B180" s="1" t="s">
        <v>1385</v>
      </c>
      <c r="C180" s="1" t="s">
        <v>541</v>
      </c>
      <c r="D180" s="1" t="s">
        <v>596</v>
      </c>
      <c r="E180" s="1" t="s">
        <v>1381</v>
      </c>
      <c r="F180" s="1" t="s">
        <v>52</v>
      </c>
      <c r="G180" s="1">
        <f>IF(ISNA(VLOOKUP(F180,Monster!B:E,4,FALSE)),0,VLOOKUP(F180,Monster!B:E,4,FALSE))</f>
        <v>3</v>
      </c>
      <c r="I180" s="1" t="s">
        <v>1386</v>
      </c>
      <c r="J180" s="1">
        <v>1596</v>
      </c>
      <c r="K180" s="1">
        <v>0</v>
      </c>
      <c r="L180" s="1">
        <v>400</v>
      </c>
      <c r="M180" s="1" t="s">
        <v>79</v>
      </c>
      <c r="N180" s="1">
        <f>((NOT(ISNA(VLOOKUP(M180,Monster!$H$2:$I$6,2,FALSE)))*L180)+J180)*(1+K180/100*0.25)</f>
        <v>1596</v>
      </c>
      <c r="O180" s="1" t="str">
        <f t="shared" si="0"/>
        <v>Poison - 1596</v>
      </c>
      <c r="P180" s="1" t="s">
        <v>590</v>
      </c>
      <c r="Q180" s="1">
        <v>1</v>
      </c>
      <c r="V180" s="1">
        <f t="shared" si="1"/>
        <v>179</v>
      </c>
      <c r="W180" s="1">
        <f t="shared" si="2"/>
        <v>0.20040080160320642</v>
      </c>
    </row>
    <row r="181" spans="1:23" x14ac:dyDescent="0.2">
      <c r="A181" s="1">
        <v>180</v>
      </c>
      <c r="B181" s="1" t="s">
        <v>1387</v>
      </c>
      <c r="C181" s="1" t="s">
        <v>617</v>
      </c>
      <c r="D181" s="1" t="s">
        <v>596</v>
      </c>
      <c r="E181" s="1" t="s">
        <v>1381</v>
      </c>
      <c r="F181" s="1" t="s">
        <v>60</v>
      </c>
      <c r="G181" s="1">
        <f>IF(ISNA(VLOOKUP(F181,Monster!B:E,4,FALSE)),0,VLOOKUP(F181,Monster!B:E,4,FALSE))</f>
        <v>4</v>
      </c>
      <c r="I181" s="1" t="s">
        <v>1388</v>
      </c>
      <c r="J181" s="1">
        <v>1221</v>
      </c>
      <c r="K181" s="1">
        <v>0</v>
      </c>
      <c r="L181" s="1">
        <v>1142</v>
      </c>
      <c r="M181" s="1" t="s">
        <v>50</v>
      </c>
      <c r="N181" s="1">
        <f>((NOT(ISNA(VLOOKUP(M181,Monster!$H$2:$I$6,2,FALSE)))*L181)+J181)*(1+K181/100*0.25)</f>
        <v>2363</v>
      </c>
      <c r="O181" s="1" t="str">
        <f t="shared" si="0"/>
        <v>Water - 2363</v>
      </c>
      <c r="P181" s="1" t="s">
        <v>244</v>
      </c>
      <c r="Q181" s="1">
        <v>1</v>
      </c>
      <c r="V181" s="1">
        <f t="shared" si="1"/>
        <v>180</v>
      </c>
      <c r="W181" s="1">
        <f t="shared" si="2"/>
        <v>0.48328396106644095</v>
      </c>
    </row>
    <row r="182" spans="1:23" x14ac:dyDescent="0.2">
      <c r="A182" s="1">
        <v>181</v>
      </c>
      <c r="B182" s="1" t="s">
        <v>1389</v>
      </c>
      <c r="C182" s="1" t="s">
        <v>696</v>
      </c>
      <c r="D182" s="1" t="s">
        <v>596</v>
      </c>
      <c r="E182" s="1" t="s">
        <v>1381</v>
      </c>
      <c r="F182" s="1" t="s">
        <v>69</v>
      </c>
      <c r="G182" s="1">
        <f>IF(ISNA(VLOOKUP(F182,Monster!B:E,4,FALSE)),0,VLOOKUP(F182,Monster!B:E,4,FALSE))</f>
        <v>5</v>
      </c>
      <c r="I182" s="1" t="s">
        <v>1390</v>
      </c>
      <c r="J182" s="1">
        <v>1756</v>
      </c>
      <c r="K182" s="1">
        <v>0</v>
      </c>
      <c r="L182" s="1">
        <v>0</v>
      </c>
      <c r="M182" s="1" t="s">
        <v>107</v>
      </c>
      <c r="N182" s="1">
        <f>((NOT(ISNA(VLOOKUP(M182,Monster!$H$2:$I$6,2,FALSE)))*L182)+J182)*(1+K182/100*0.25)</f>
        <v>1756</v>
      </c>
      <c r="O182" s="1" t="str">
        <f t="shared" si="0"/>
        <v>No Element - 1756</v>
      </c>
      <c r="P182" s="1" t="s">
        <v>213</v>
      </c>
      <c r="Q182" s="1">
        <v>2</v>
      </c>
      <c r="V182" s="1">
        <f t="shared" si="1"/>
        <v>181</v>
      </c>
      <c r="W182" s="1">
        <f t="shared" si="2"/>
        <v>0</v>
      </c>
    </row>
    <row r="183" spans="1:23" x14ac:dyDescent="0.2">
      <c r="A183" s="1">
        <v>182</v>
      </c>
      <c r="B183" s="1" t="s">
        <v>1391</v>
      </c>
      <c r="C183" s="1" t="s">
        <v>719</v>
      </c>
      <c r="D183" s="1" t="s">
        <v>596</v>
      </c>
      <c r="E183" s="1" t="s">
        <v>1381</v>
      </c>
      <c r="F183" s="1" t="s">
        <v>75</v>
      </c>
      <c r="G183" s="1">
        <f>IF(ISNA(VLOOKUP(F183,Monster!B:E,4,FALSE)),0,VLOOKUP(F183,Monster!B:E,4,FALSE))</f>
        <v>6</v>
      </c>
      <c r="I183" s="1" t="s">
        <v>1392</v>
      </c>
      <c r="J183" s="1">
        <v>1596</v>
      </c>
      <c r="K183" s="1">
        <v>0</v>
      </c>
      <c r="L183" s="1">
        <v>400</v>
      </c>
      <c r="M183" s="1" t="s">
        <v>87</v>
      </c>
      <c r="N183" s="1">
        <f>((NOT(ISNA(VLOOKUP(M183,Monster!$H$2:$I$6,2,FALSE)))*L183)+J183)*(1+K183/100*0.25)</f>
        <v>1596</v>
      </c>
      <c r="O183" s="1" t="str">
        <f t="shared" si="0"/>
        <v>Paralysis - 1596</v>
      </c>
      <c r="P183" s="1" t="s">
        <v>590</v>
      </c>
      <c r="Q183" s="1">
        <v>1</v>
      </c>
      <c r="V183" s="1">
        <f t="shared" si="1"/>
        <v>182</v>
      </c>
      <c r="W183" s="1">
        <f t="shared" si="2"/>
        <v>0.20040080160320642</v>
      </c>
    </row>
    <row r="184" spans="1:23" x14ac:dyDescent="0.2">
      <c r="A184" s="1">
        <v>183</v>
      </c>
      <c r="B184" s="1" t="s">
        <v>1393</v>
      </c>
      <c r="C184" s="1" t="s">
        <v>729</v>
      </c>
      <c r="D184" s="1" t="s">
        <v>596</v>
      </c>
      <c r="E184" s="1" t="s">
        <v>1381</v>
      </c>
      <c r="F184" s="1" t="s">
        <v>81</v>
      </c>
      <c r="G184" s="1">
        <f>IF(ISNA(VLOOKUP(F184,Monster!B:E,4,FALSE)),0,VLOOKUP(F184,Monster!B:E,4,FALSE))</f>
        <v>7</v>
      </c>
      <c r="I184" s="1" t="s">
        <v>1394</v>
      </c>
      <c r="J184" s="1">
        <v>1293</v>
      </c>
      <c r="K184" s="1">
        <v>0</v>
      </c>
      <c r="L184" s="1">
        <v>910</v>
      </c>
      <c r="M184" s="1" t="s">
        <v>58</v>
      </c>
      <c r="N184" s="1">
        <f>((NOT(ISNA(VLOOKUP(M184,Monster!$H$2:$I$6,2,FALSE)))*L184)+J184)*(1+K184/100*0.25)</f>
        <v>2203</v>
      </c>
      <c r="O184" s="1" t="str">
        <f t="shared" si="0"/>
        <v>Thunder - 2203</v>
      </c>
      <c r="P184" s="1" t="s">
        <v>253</v>
      </c>
      <c r="Q184" s="1">
        <v>1</v>
      </c>
      <c r="V184" s="1">
        <f t="shared" si="1"/>
        <v>183</v>
      </c>
      <c r="W184" s="1">
        <f t="shared" si="2"/>
        <v>0.41307308216068994</v>
      </c>
    </row>
    <row r="185" spans="1:23" x14ac:dyDescent="0.2">
      <c r="A185" s="1">
        <v>184</v>
      </c>
      <c r="B185" s="1" t="s">
        <v>1395</v>
      </c>
      <c r="C185" s="1" t="s">
        <v>740</v>
      </c>
      <c r="D185" s="1" t="s">
        <v>596</v>
      </c>
      <c r="E185" s="1" t="s">
        <v>1381</v>
      </c>
      <c r="F185" s="1" t="s">
        <v>97</v>
      </c>
      <c r="G185" s="1">
        <f>IF(ISNA(VLOOKUP(F185,Monster!B:E,4,FALSE)),0,VLOOKUP(F185,Monster!B:E,4,FALSE))</f>
        <v>9</v>
      </c>
      <c r="I185" s="1" t="s">
        <v>1395</v>
      </c>
      <c r="J185" s="1">
        <v>1756</v>
      </c>
      <c r="K185" s="1">
        <v>0</v>
      </c>
      <c r="L185" s="1">
        <v>300</v>
      </c>
      <c r="M185" s="1" t="s">
        <v>95</v>
      </c>
      <c r="N185" s="1">
        <f>((NOT(ISNA(VLOOKUP(M185,Monster!$H$2:$I$6,2,FALSE)))*L185)+J185)*(1+K185/100*0.25)</f>
        <v>1756</v>
      </c>
      <c r="O185" s="1" t="str">
        <f t="shared" si="0"/>
        <v>Sleep - 1756</v>
      </c>
      <c r="P185" s="1" t="s">
        <v>590</v>
      </c>
      <c r="Q185" s="1">
        <v>1</v>
      </c>
      <c r="V185" s="1">
        <f t="shared" si="1"/>
        <v>184</v>
      </c>
      <c r="W185" s="1">
        <f t="shared" si="2"/>
        <v>0.14591439688715954</v>
      </c>
    </row>
    <row r="186" spans="1:23" x14ac:dyDescent="0.2">
      <c r="A186" s="1">
        <v>185</v>
      </c>
      <c r="B186" s="1" t="s">
        <v>1396</v>
      </c>
      <c r="C186" s="1" t="s">
        <v>745</v>
      </c>
      <c r="D186" s="1" t="s">
        <v>596</v>
      </c>
      <c r="E186" s="1" t="s">
        <v>1381</v>
      </c>
      <c r="F186" s="1" t="s">
        <v>102</v>
      </c>
      <c r="G186" s="1">
        <f>IF(ISNA(VLOOKUP(F186,Monster!B:E,4,FALSE)),0,VLOOKUP(F186,Monster!B:E,4,FALSE))</f>
        <v>10</v>
      </c>
      <c r="I186" s="1" t="s">
        <v>1397</v>
      </c>
      <c r="J186" s="1">
        <v>1293</v>
      </c>
      <c r="K186" s="1">
        <v>0</v>
      </c>
      <c r="L186" s="1">
        <v>910</v>
      </c>
      <c r="M186" s="1" t="s">
        <v>50</v>
      </c>
      <c r="N186" s="1">
        <f>((NOT(ISNA(VLOOKUP(M186,Monster!$H$2:$I$6,2,FALSE)))*L186)+J186)*(1+K186/100*0.25)</f>
        <v>2203</v>
      </c>
      <c r="O186" s="1" t="str">
        <f t="shared" si="0"/>
        <v>Water - 2203</v>
      </c>
      <c r="P186" s="1" t="s">
        <v>394</v>
      </c>
      <c r="Q186" s="1">
        <v>1</v>
      </c>
      <c r="V186" s="1">
        <f t="shared" si="1"/>
        <v>185</v>
      </c>
      <c r="W186" s="1">
        <f t="shared" si="2"/>
        <v>0.41307308216068994</v>
      </c>
    </row>
    <row r="187" spans="1:23" x14ac:dyDescent="0.2">
      <c r="A187" s="1">
        <v>186</v>
      </c>
      <c r="B187" s="1" t="s">
        <v>1398</v>
      </c>
      <c r="C187" s="1" t="s">
        <v>750</v>
      </c>
      <c r="D187" s="1" t="s">
        <v>596</v>
      </c>
      <c r="E187" s="1" t="s">
        <v>1381</v>
      </c>
      <c r="F187" s="1" t="s">
        <v>109</v>
      </c>
      <c r="G187" s="1">
        <f>IF(ISNA(VLOOKUP(F187,Monster!B:E,4,FALSE)),0,VLOOKUP(F187,Monster!B:E,4,FALSE))</f>
        <v>11</v>
      </c>
      <c r="I187" s="1" t="s">
        <v>1399</v>
      </c>
      <c r="J187" s="1">
        <v>1293</v>
      </c>
      <c r="K187" s="1">
        <v>0</v>
      </c>
      <c r="L187" s="1">
        <v>910</v>
      </c>
      <c r="M187" s="1" t="s">
        <v>41</v>
      </c>
      <c r="N187" s="1">
        <f>((NOT(ISNA(VLOOKUP(M187,Monster!$H$2:$I$6,2,FALSE)))*L187)+J187)*(1+K187/100*0.25)</f>
        <v>2203</v>
      </c>
      <c r="O187" s="1" t="str">
        <f t="shared" si="0"/>
        <v>Fire - 2203</v>
      </c>
      <c r="P187" s="1" t="s">
        <v>543</v>
      </c>
      <c r="Q187" s="1">
        <v>1</v>
      </c>
      <c r="V187" s="1">
        <f t="shared" si="1"/>
        <v>186</v>
      </c>
      <c r="W187" s="1">
        <f t="shared" si="2"/>
        <v>0.41307308216068994</v>
      </c>
    </row>
    <row r="188" spans="1:23" x14ac:dyDescent="0.2">
      <c r="A188" s="1">
        <v>187</v>
      </c>
      <c r="B188" s="1" t="s">
        <v>1400</v>
      </c>
      <c r="C188" s="1" t="s">
        <v>756</v>
      </c>
      <c r="D188" s="1" t="s">
        <v>596</v>
      </c>
      <c r="E188" s="1" t="s">
        <v>1381</v>
      </c>
      <c r="F188" s="1" t="s">
        <v>119</v>
      </c>
      <c r="G188" s="1">
        <f>IF(ISNA(VLOOKUP(F188,Monster!B:E,4,FALSE)),0,VLOOKUP(F188,Monster!B:E,4,FALSE))</f>
        <v>12</v>
      </c>
      <c r="I188" s="1" t="s">
        <v>1400</v>
      </c>
      <c r="J188" s="1">
        <v>1197</v>
      </c>
      <c r="K188" s="1">
        <v>20</v>
      </c>
      <c r="L188" s="1">
        <v>1154</v>
      </c>
      <c r="M188" s="1" t="s">
        <v>58</v>
      </c>
      <c r="N188" s="1">
        <f>((NOT(ISNA(VLOOKUP(M188,Monster!$H$2:$I$6,2,FALSE)))*L188)+J188)*(1+K188/100*0.25)</f>
        <v>2468.5500000000002</v>
      </c>
      <c r="O188" s="1" t="str">
        <f t="shared" si="0"/>
        <v>Thunder - 2468.55</v>
      </c>
      <c r="P188" s="1" t="s">
        <v>175</v>
      </c>
      <c r="Q188" s="1">
        <v>1</v>
      </c>
      <c r="V188" s="1">
        <f t="shared" si="1"/>
        <v>187</v>
      </c>
      <c r="W188" s="1">
        <f t="shared" si="2"/>
        <v>0.49085495533815399</v>
      </c>
    </row>
    <row r="189" spans="1:23" x14ac:dyDescent="0.2">
      <c r="A189" s="1">
        <v>188</v>
      </c>
      <c r="B189" s="1" t="s">
        <v>1401</v>
      </c>
      <c r="C189" s="1" t="s">
        <v>779</v>
      </c>
      <c r="D189" s="1" t="s">
        <v>596</v>
      </c>
      <c r="E189" s="1" t="s">
        <v>1381</v>
      </c>
      <c r="F189" s="1" t="s">
        <v>151</v>
      </c>
      <c r="G189" s="1">
        <f>IF(ISNA(VLOOKUP(F189,Monster!B:E,4,FALSE)),0,VLOOKUP(F189,Monster!B:E,4,FALSE))</f>
        <v>17</v>
      </c>
      <c r="I189" s="1" t="s">
        <v>1402</v>
      </c>
      <c r="J189" s="1">
        <v>1979</v>
      </c>
      <c r="K189" s="1">
        <v>0</v>
      </c>
      <c r="L189" s="1">
        <v>0</v>
      </c>
      <c r="M189" s="1" t="s">
        <v>107</v>
      </c>
      <c r="N189" s="1">
        <f>((NOT(ISNA(VLOOKUP(M189,Monster!$H$2:$I$6,2,FALSE)))*L189)+J189)*(1+K189/100*0.25)</f>
        <v>1979</v>
      </c>
      <c r="O189" s="1" t="str">
        <f t="shared" si="0"/>
        <v>No Element - 1979</v>
      </c>
      <c r="P189" s="1" t="s">
        <v>364</v>
      </c>
      <c r="Q189" s="1">
        <v>1</v>
      </c>
      <c r="V189" s="1">
        <f t="shared" si="1"/>
        <v>188</v>
      </c>
      <c r="W189" s="1">
        <f t="shared" si="2"/>
        <v>0</v>
      </c>
    </row>
    <row r="190" spans="1:23" x14ac:dyDescent="0.2">
      <c r="A190" s="1">
        <v>189</v>
      </c>
      <c r="B190" s="1" t="s">
        <v>1403</v>
      </c>
      <c r="C190" s="1" t="s">
        <v>782</v>
      </c>
      <c r="D190" s="1" t="s">
        <v>596</v>
      </c>
      <c r="E190" s="1" t="s">
        <v>1381</v>
      </c>
      <c r="F190" s="1" t="s">
        <v>155</v>
      </c>
      <c r="G190" s="1">
        <f>IF(ISNA(VLOOKUP(F190,Monster!B:E,4,FALSE)),0,VLOOKUP(F190,Monster!B:E,4,FALSE))</f>
        <v>18</v>
      </c>
      <c r="I190" s="1" t="s">
        <v>1403</v>
      </c>
      <c r="J190" s="1">
        <v>2218</v>
      </c>
      <c r="K190" s="1">
        <v>-30</v>
      </c>
      <c r="L190" s="1">
        <v>0</v>
      </c>
      <c r="M190" s="1" t="s">
        <v>107</v>
      </c>
      <c r="N190" s="1">
        <f>((NOT(ISNA(VLOOKUP(M190,Monster!$H$2:$I$6,2,FALSE)))*L190)+J190)*(1+K190/100*0.25)</f>
        <v>2051.65</v>
      </c>
      <c r="O190" s="1" t="str">
        <f t="shared" si="0"/>
        <v>No Element - 2051.65</v>
      </c>
      <c r="P190" s="1" t="s">
        <v>463</v>
      </c>
      <c r="Q190" s="1">
        <v>1</v>
      </c>
      <c r="V190" s="1">
        <f t="shared" si="1"/>
        <v>189</v>
      </c>
      <c r="W190" s="1">
        <f t="shared" si="2"/>
        <v>0</v>
      </c>
    </row>
    <row r="191" spans="1:23" x14ac:dyDescent="0.2">
      <c r="A191" s="1">
        <v>190</v>
      </c>
      <c r="B191" s="1" t="s">
        <v>1404</v>
      </c>
      <c r="C191" s="1" t="s">
        <v>786</v>
      </c>
      <c r="D191" s="1" t="s">
        <v>596</v>
      </c>
      <c r="E191" s="1" t="s">
        <v>1381</v>
      </c>
      <c r="F191" s="1" t="s">
        <v>160</v>
      </c>
      <c r="G191" s="1">
        <f>IF(ISNA(VLOOKUP(F191,Monster!B:E,4,FALSE)),0,VLOOKUP(F191,Monster!B:E,4,FALSE))</f>
        <v>19</v>
      </c>
      <c r="I191" s="1" t="s">
        <v>1405</v>
      </c>
      <c r="J191" s="1">
        <v>1221</v>
      </c>
      <c r="K191" s="1">
        <v>0</v>
      </c>
      <c r="L191" s="1">
        <v>1142</v>
      </c>
      <c r="M191" s="1" t="s">
        <v>41</v>
      </c>
      <c r="N191" s="1">
        <f>((NOT(ISNA(VLOOKUP(M191,Monster!$H$2:$I$6,2,FALSE)))*L191)+J191)*(1+K191/100*0.25)</f>
        <v>2363</v>
      </c>
      <c r="O191" s="1" t="str">
        <f t="shared" si="0"/>
        <v>Fire - 2363</v>
      </c>
      <c r="P191" s="1" t="s">
        <v>244</v>
      </c>
      <c r="Q191" s="1">
        <v>1</v>
      </c>
      <c r="V191" s="1">
        <f t="shared" si="1"/>
        <v>190</v>
      </c>
      <c r="W191" s="1">
        <f t="shared" si="2"/>
        <v>0.48328396106644095</v>
      </c>
    </row>
    <row r="192" spans="1:23" x14ac:dyDescent="0.2">
      <c r="A192" s="1">
        <v>191</v>
      </c>
      <c r="B192" s="1" t="s">
        <v>1406</v>
      </c>
      <c r="C192" s="1" t="s">
        <v>794</v>
      </c>
      <c r="D192" s="1" t="s">
        <v>596</v>
      </c>
      <c r="E192" s="1" t="s">
        <v>1381</v>
      </c>
      <c r="F192" s="1" t="s">
        <v>171</v>
      </c>
      <c r="G192" s="1">
        <f>IF(ISNA(VLOOKUP(F192,Monster!B:E,4,FALSE)),0,VLOOKUP(F192,Monster!B:E,4,FALSE))</f>
        <v>21</v>
      </c>
      <c r="I192" s="1" t="s">
        <v>1406</v>
      </c>
      <c r="J192" s="1">
        <v>1258</v>
      </c>
      <c r="K192" s="1">
        <v>30</v>
      </c>
      <c r="L192" s="1">
        <v>1082</v>
      </c>
      <c r="M192" s="1" t="s">
        <v>41</v>
      </c>
      <c r="N192" s="1">
        <f>((NOT(ISNA(VLOOKUP(M192,Monster!$H$2:$I$6,2,FALSE)))*L192)+J192)*(1+K192/100*0.25)</f>
        <v>2515.5</v>
      </c>
      <c r="O192" s="1" t="str">
        <f t="shared" si="0"/>
        <v>Fire - 2515.5</v>
      </c>
      <c r="P192" s="1" t="s">
        <v>175</v>
      </c>
      <c r="Q192" s="1">
        <v>2</v>
      </c>
      <c r="V192" s="1">
        <f t="shared" si="1"/>
        <v>191</v>
      </c>
      <c r="W192" s="1">
        <f t="shared" si="2"/>
        <v>0.46239316239316242</v>
      </c>
    </row>
    <row r="193" spans="1:23" x14ac:dyDescent="0.2">
      <c r="A193" s="1">
        <v>192</v>
      </c>
      <c r="B193" s="1" t="s">
        <v>1407</v>
      </c>
      <c r="C193" s="1" t="s">
        <v>797</v>
      </c>
      <c r="D193" s="1" t="s">
        <v>596</v>
      </c>
      <c r="E193" s="1" t="s">
        <v>1381</v>
      </c>
      <c r="F193" s="1" t="s">
        <v>176</v>
      </c>
      <c r="G193" s="1">
        <f>IF(ISNA(VLOOKUP(F193,Monster!B:E,4,FALSE)),0,VLOOKUP(F193,Monster!B:E,4,FALSE))</f>
        <v>22</v>
      </c>
      <c r="I193" s="1" t="s">
        <v>1408</v>
      </c>
      <c r="J193" s="1">
        <v>1596</v>
      </c>
      <c r="K193" s="1">
        <v>0</v>
      </c>
      <c r="L193" s="1">
        <v>400</v>
      </c>
      <c r="M193" s="1" t="s">
        <v>95</v>
      </c>
      <c r="N193" s="1">
        <f>((NOT(ISNA(VLOOKUP(M193,Monster!$H$2:$I$6,2,FALSE)))*L193)+J193)*(1+K193/100*0.25)</f>
        <v>1596</v>
      </c>
      <c r="O193" s="1" t="str">
        <f t="shared" si="0"/>
        <v>Sleep - 1596</v>
      </c>
      <c r="P193" s="1" t="s">
        <v>213</v>
      </c>
      <c r="Q193" s="1">
        <v>2</v>
      </c>
      <c r="V193" s="1">
        <f t="shared" si="1"/>
        <v>192</v>
      </c>
      <c r="W193" s="1">
        <f t="shared" si="2"/>
        <v>0.20040080160320642</v>
      </c>
    </row>
    <row r="194" spans="1:23" x14ac:dyDescent="0.2">
      <c r="A194" s="1">
        <v>193</v>
      </c>
      <c r="B194" s="1" t="s">
        <v>1409</v>
      </c>
      <c r="C194" s="1" t="s">
        <v>800</v>
      </c>
      <c r="D194" s="1" t="s">
        <v>596</v>
      </c>
      <c r="E194" s="1" t="s">
        <v>1381</v>
      </c>
      <c r="F194" s="1" t="s">
        <v>184</v>
      </c>
      <c r="G194" s="1">
        <f>IF(ISNA(VLOOKUP(F194,Monster!B:E,4,FALSE)),0,VLOOKUP(F194,Monster!B:E,4,FALSE))</f>
        <v>23</v>
      </c>
      <c r="I194" s="1" t="s">
        <v>1409</v>
      </c>
      <c r="J194" s="1">
        <v>1764</v>
      </c>
      <c r="K194" s="1">
        <v>0</v>
      </c>
      <c r="L194" s="1">
        <v>0</v>
      </c>
      <c r="M194" s="1" t="s">
        <v>107</v>
      </c>
      <c r="N194" s="1">
        <f>((NOT(ISNA(VLOOKUP(M194,Monster!$H$2:$I$6,2,FALSE)))*L194)+J194)*(1+K194/100*0.25)</f>
        <v>1764</v>
      </c>
      <c r="O194" s="1" t="str">
        <f t="shared" si="0"/>
        <v>No Element - 1764</v>
      </c>
      <c r="P194" s="1" t="s">
        <v>306</v>
      </c>
      <c r="Q194" s="1">
        <v>2</v>
      </c>
      <c r="V194" s="1">
        <f t="shared" si="1"/>
        <v>193</v>
      </c>
      <c r="W194" s="1">
        <f t="shared" si="2"/>
        <v>0</v>
      </c>
    </row>
    <row r="195" spans="1:23" x14ac:dyDescent="0.2">
      <c r="A195" s="1">
        <v>194</v>
      </c>
      <c r="B195" s="1" t="s">
        <v>1410</v>
      </c>
      <c r="C195" s="1" t="s">
        <v>803</v>
      </c>
      <c r="D195" s="1" t="s">
        <v>596</v>
      </c>
      <c r="E195" s="1" t="s">
        <v>1381</v>
      </c>
      <c r="F195" s="1" t="s">
        <v>190</v>
      </c>
      <c r="G195" s="1">
        <f>IF(ISNA(VLOOKUP(F195,Monster!B:E,4,FALSE)),0,VLOOKUP(F195,Monster!B:E,4,FALSE))</f>
        <v>24</v>
      </c>
      <c r="I195" s="1" t="s">
        <v>1410</v>
      </c>
      <c r="J195" s="1">
        <v>1191</v>
      </c>
      <c r="K195" s="1">
        <v>20</v>
      </c>
      <c r="L195" s="1">
        <v>910</v>
      </c>
      <c r="M195" s="1" t="s">
        <v>66</v>
      </c>
      <c r="N195" s="1">
        <f>((NOT(ISNA(VLOOKUP(M195,Monster!$H$2:$I$6,2,FALSE)))*L195)+J195)*(1+K195/100*0.25)</f>
        <v>2206.0500000000002</v>
      </c>
      <c r="O195" s="1" t="str">
        <f t="shared" si="0"/>
        <v>Ice - 2206.05</v>
      </c>
      <c r="P195" s="1" t="s">
        <v>253</v>
      </c>
      <c r="Q195" s="1">
        <v>1</v>
      </c>
      <c r="V195" s="1">
        <f t="shared" si="1"/>
        <v>194</v>
      </c>
      <c r="W195" s="1">
        <f t="shared" si="2"/>
        <v>0.43312708234174202</v>
      </c>
    </row>
    <row r="196" spans="1:23" x14ac:dyDescent="0.2">
      <c r="A196" s="1">
        <v>195</v>
      </c>
      <c r="B196" s="1" t="s">
        <v>1411</v>
      </c>
      <c r="C196" s="1" t="s">
        <v>807</v>
      </c>
      <c r="D196" s="1" t="s">
        <v>596</v>
      </c>
      <c r="E196" s="1" t="s">
        <v>1381</v>
      </c>
      <c r="F196" s="1" t="s">
        <v>193</v>
      </c>
      <c r="G196" s="1">
        <f>IF(ISNA(VLOOKUP(F196,Monster!B:E,4,FALSE)),0,VLOOKUP(F196,Monster!B:E,4,FALSE))</f>
        <v>25</v>
      </c>
      <c r="I196" s="1" t="s">
        <v>1412</v>
      </c>
      <c r="J196" s="1">
        <v>1221</v>
      </c>
      <c r="K196" s="1">
        <v>0</v>
      </c>
      <c r="L196" s="1">
        <v>1142</v>
      </c>
      <c r="M196" s="1" t="s">
        <v>58</v>
      </c>
      <c r="N196" s="1">
        <f>((NOT(ISNA(VLOOKUP(M196,Monster!$H$2:$I$6,2,FALSE)))*L196)+J196)*(1+K196/100*0.25)</f>
        <v>2363</v>
      </c>
      <c r="O196" s="1" t="str">
        <f t="shared" si="0"/>
        <v>Thunder - 2363</v>
      </c>
      <c r="P196" s="1" t="s">
        <v>38</v>
      </c>
      <c r="Q196" s="1">
        <v>1</v>
      </c>
      <c r="V196" s="1">
        <f t="shared" si="1"/>
        <v>195</v>
      </c>
      <c r="W196" s="1">
        <f t="shared" si="2"/>
        <v>0.48328396106644095</v>
      </c>
    </row>
    <row r="197" spans="1:23" x14ac:dyDescent="0.2">
      <c r="A197" s="1">
        <v>196</v>
      </c>
      <c r="B197" s="1" t="s">
        <v>1413</v>
      </c>
      <c r="C197" s="1" t="s">
        <v>821</v>
      </c>
      <c r="D197" s="1" t="s">
        <v>596</v>
      </c>
      <c r="E197" s="1" t="s">
        <v>1381</v>
      </c>
      <c r="F197" s="1" t="s">
        <v>216</v>
      </c>
      <c r="G197" s="1">
        <f>IF(ISNA(VLOOKUP(F197,Monster!B:E,4,FALSE)),0,VLOOKUP(F197,Monster!B:E,4,FALSE))</f>
        <v>29</v>
      </c>
      <c r="I197" s="1" t="s">
        <v>1414</v>
      </c>
      <c r="J197" s="1">
        <v>1318</v>
      </c>
      <c r="K197" s="1">
        <v>-30</v>
      </c>
      <c r="L197" s="1">
        <v>1261</v>
      </c>
      <c r="M197" s="1" t="s">
        <v>71</v>
      </c>
      <c r="N197" s="1">
        <f>((NOT(ISNA(VLOOKUP(M197,Monster!$H$2:$I$6,2,FALSE)))*L197)+J197)*(1+K197/100*0.25)</f>
        <v>2385.5750000000003</v>
      </c>
      <c r="O197" s="1" t="str">
        <f t="shared" si="0"/>
        <v>Dragon - 2385.575</v>
      </c>
      <c r="P197" s="1" t="s">
        <v>583</v>
      </c>
      <c r="Q197" s="1">
        <v>1</v>
      </c>
      <c r="V197" s="1">
        <f t="shared" si="1"/>
        <v>196</v>
      </c>
      <c r="W197" s="1">
        <f t="shared" si="2"/>
        <v>0.4889492051182629</v>
      </c>
    </row>
    <row r="198" spans="1:23" x14ac:dyDescent="0.2">
      <c r="A198" s="1">
        <v>197</v>
      </c>
      <c r="B198" s="1" t="s">
        <v>1415</v>
      </c>
      <c r="C198" s="1" t="s">
        <v>825</v>
      </c>
      <c r="D198" s="1" t="s">
        <v>596</v>
      </c>
      <c r="E198" s="1" t="s">
        <v>1381</v>
      </c>
      <c r="F198" s="1" t="s">
        <v>223</v>
      </c>
      <c r="G198" s="1">
        <f>IF(ISNA(VLOOKUP(F198,Monster!B:E,4,FALSE)),0,VLOOKUP(F198,Monster!B:E,4,FALSE))</f>
        <v>30</v>
      </c>
      <c r="I198" s="1" t="s">
        <v>1416</v>
      </c>
      <c r="J198" s="1">
        <v>1666</v>
      </c>
      <c r="K198" s="1">
        <v>-15</v>
      </c>
      <c r="L198" s="1">
        <v>527</v>
      </c>
      <c r="M198" s="1" t="s">
        <v>41</v>
      </c>
      <c r="N198" s="1">
        <f>((NOT(ISNA(VLOOKUP(M198,Monster!$H$2:$I$6,2,FALSE)))*L198)+J198)*(1+K198/100*0.25)</f>
        <v>2110.7625000000003</v>
      </c>
      <c r="O198" s="1" t="str">
        <f t="shared" si="0"/>
        <v>Fire - 2110.7625</v>
      </c>
      <c r="P198" s="1" t="s">
        <v>364</v>
      </c>
      <c r="Q198" s="1">
        <v>1</v>
      </c>
      <c r="V198" s="1">
        <f t="shared" si="1"/>
        <v>197</v>
      </c>
      <c r="W198" s="1">
        <f t="shared" si="2"/>
        <v>0.24031007751937986</v>
      </c>
    </row>
    <row r="199" spans="1:23" x14ac:dyDescent="0.2">
      <c r="A199" s="1">
        <v>198</v>
      </c>
      <c r="B199" s="1" t="s">
        <v>1417</v>
      </c>
      <c r="C199" s="1" t="s">
        <v>829</v>
      </c>
      <c r="D199" s="1" t="s">
        <v>596</v>
      </c>
      <c r="E199" s="1" t="s">
        <v>1381</v>
      </c>
      <c r="F199" s="1" t="s">
        <v>229</v>
      </c>
      <c r="G199" s="1">
        <f>IF(ISNA(VLOOKUP(F199,Monster!B:E,4,FALSE)),0,VLOOKUP(F199,Monster!B:E,4,FALSE))</f>
        <v>31</v>
      </c>
      <c r="I199" s="1" t="s">
        <v>1418</v>
      </c>
      <c r="J199" s="1">
        <v>1194</v>
      </c>
      <c r="K199" s="1">
        <v>20</v>
      </c>
      <c r="L199" s="1">
        <v>913</v>
      </c>
      <c r="M199" s="1" t="s">
        <v>58</v>
      </c>
      <c r="N199" s="1">
        <f>((NOT(ISNA(VLOOKUP(M199,Monster!$H$2:$I$6,2,FALSE)))*L199)+J199)*(1+K199/100*0.25)</f>
        <v>2212.35</v>
      </c>
      <c r="O199" s="1" t="str">
        <f t="shared" si="0"/>
        <v>Thunder - 2212.35</v>
      </c>
      <c r="P199" s="1" t="s">
        <v>470</v>
      </c>
      <c r="Q199" s="1">
        <v>1</v>
      </c>
      <c r="V199" s="1">
        <f t="shared" si="1"/>
        <v>198</v>
      </c>
      <c r="W199" s="1">
        <f t="shared" si="2"/>
        <v>0.43331751305173233</v>
      </c>
    </row>
    <row r="200" spans="1:23" x14ac:dyDescent="0.2">
      <c r="A200" s="1">
        <v>199</v>
      </c>
      <c r="B200" s="1" t="s">
        <v>1419</v>
      </c>
      <c r="C200" s="1" t="s">
        <v>834</v>
      </c>
      <c r="D200" s="1" t="s">
        <v>596</v>
      </c>
      <c r="E200" s="1" t="s">
        <v>1381</v>
      </c>
      <c r="F200" s="1" t="s">
        <v>234</v>
      </c>
      <c r="G200" s="1">
        <f>IF(ISNA(VLOOKUP(F200,Monster!B:E,4,FALSE)),0,VLOOKUP(F200,Monster!B:E,4,FALSE))</f>
        <v>32</v>
      </c>
      <c r="I200" s="1" t="s">
        <v>1419</v>
      </c>
      <c r="J200" s="1">
        <v>1553</v>
      </c>
      <c r="K200" s="1">
        <v>0</v>
      </c>
      <c r="L200" s="1">
        <v>974</v>
      </c>
      <c r="M200" s="1" t="s">
        <v>66</v>
      </c>
      <c r="N200" s="1">
        <f>((NOT(ISNA(VLOOKUP(M200,Monster!$H$2:$I$6,2,FALSE)))*L200)+J200)*(1+K200/100*0.25)</f>
        <v>2527</v>
      </c>
      <c r="O200" s="1" t="str">
        <f t="shared" si="0"/>
        <v>Ice - 2527</v>
      </c>
      <c r="P200" s="1" t="s">
        <v>528</v>
      </c>
      <c r="Q200" s="1">
        <v>2</v>
      </c>
      <c r="V200" s="1">
        <f t="shared" si="1"/>
        <v>199</v>
      </c>
      <c r="W200" s="1">
        <f t="shared" si="2"/>
        <v>0.38543727740403638</v>
      </c>
    </row>
    <row r="201" spans="1:23" x14ac:dyDescent="0.2">
      <c r="A201" s="1">
        <v>200</v>
      </c>
      <c r="B201" s="1" t="s">
        <v>1420</v>
      </c>
      <c r="C201" s="1" t="s">
        <v>839</v>
      </c>
      <c r="D201" s="1" t="s">
        <v>596</v>
      </c>
      <c r="E201" s="1" t="s">
        <v>1381</v>
      </c>
      <c r="F201" s="1" t="s">
        <v>239</v>
      </c>
      <c r="G201" s="1">
        <f>IF(ISNA(VLOOKUP(F201,Monster!B:E,4,FALSE)),0,VLOOKUP(F201,Monster!B:E,4,FALSE))</f>
        <v>33</v>
      </c>
      <c r="I201" s="1" t="s">
        <v>1421</v>
      </c>
      <c r="J201" s="1">
        <v>1138</v>
      </c>
      <c r="K201" s="1">
        <v>20</v>
      </c>
      <c r="L201" s="1">
        <v>1156</v>
      </c>
      <c r="M201" s="1" t="s">
        <v>50</v>
      </c>
      <c r="N201" s="1">
        <f>((NOT(ISNA(VLOOKUP(M201,Monster!$H$2:$I$6,2,FALSE)))*L201)+J201)*(1+K201/100*0.25)</f>
        <v>2408.7000000000003</v>
      </c>
      <c r="O201" s="1" t="str">
        <f t="shared" si="0"/>
        <v>Water - 2408.7</v>
      </c>
      <c r="P201" s="1" t="s">
        <v>38</v>
      </c>
      <c r="Q201" s="1">
        <v>1</v>
      </c>
      <c r="V201" s="1">
        <f t="shared" si="1"/>
        <v>200</v>
      </c>
      <c r="W201" s="1">
        <f t="shared" si="2"/>
        <v>0.50392327811682647</v>
      </c>
    </row>
    <row r="202" spans="1:23" x14ac:dyDescent="0.2">
      <c r="A202" s="1">
        <v>201</v>
      </c>
      <c r="B202" s="1" t="s">
        <v>1422</v>
      </c>
      <c r="C202" s="1" t="s">
        <v>845</v>
      </c>
      <c r="D202" s="1" t="s">
        <v>596</v>
      </c>
      <c r="E202" s="1" t="s">
        <v>1381</v>
      </c>
      <c r="F202" s="1" t="s">
        <v>245</v>
      </c>
      <c r="G202" s="1">
        <f>IF(ISNA(VLOOKUP(F202,Monster!B:E,4,FALSE)),0,VLOOKUP(F202,Monster!B:E,4,FALSE))</f>
        <v>34</v>
      </c>
      <c r="I202" s="1" t="s">
        <v>1422</v>
      </c>
      <c r="J202" s="1">
        <v>1684</v>
      </c>
      <c r="K202" s="1">
        <v>0</v>
      </c>
      <c r="L202" s="1">
        <v>502</v>
      </c>
      <c r="M202" s="1" t="s">
        <v>100</v>
      </c>
      <c r="N202" s="1">
        <f>((NOT(ISNA(VLOOKUP(M202,Monster!$H$2:$I$6,2,FALSE)))*L202)+J202)*(1+K202/100*0.25)</f>
        <v>1684</v>
      </c>
      <c r="O202" s="1" t="str">
        <f t="shared" si="0"/>
        <v>Blast - 1684</v>
      </c>
      <c r="P202" s="1" t="s">
        <v>364</v>
      </c>
      <c r="Q202" s="1">
        <v>2</v>
      </c>
      <c r="V202" s="1">
        <f t="shared" si="1"/>
        <v>201</v>
      </c>
      <c r="W202" s="1">
        <f t="shared" si="2"/>
        <v>0.22964318389752975</v>
      </c>
    </row>
    <row r="203" spans="1:23" x14ac:dyDescent="0.2">
      <c r="A203" s="1">
        <v>202</v>
      </c>
      <c r="B203" s="1" t="s">
        <v>1423</v>
      </c>
      <c r="C203" s="1" t="s">
        <v>853</v>
      </c>
      <c r="D203" s="1" t="s">
        <v>596</v>
      </c>
      <c r="E203" s="1" t="s">
        <v>1381</v>
      </c>
      <c r="F203" s="1" t="s">
        <v>256</v>
      </c>
      <c r="G203" s="1">
        <f>IF(ISNA(VLOOKUP(F203,Monster!B:E,4,FALSE)),0,VLOOKUP(F203,Monster!B:E,4,FALSE))</f>
        <v>36</v>
      </c>
      <c r="I203" s="1" t="s">
        <v>1424</v>
      </c>
      <c r="J203" s="1">
        <v>1516</v>
      </c>
      <c r="K203" s="1">
        <v>0</v>
      </c>
      <c r="L203" s="1">
        <v>496</v>
      </c>
      <c r="M203" s="1" t="s">
        <v>100</v>
      </c>
      <c r="N203" s="1">
        <f>((NOT(ISNA(VLOOKUP(M203,Monster!$H$2:$I$6,2,FALSE)))*L203)+J203)*(1+K203/100*0.25)</f>
        <v>1516</v>
      </c>
      <c r="O203" s="1" t="str">
        <f t="shared" si="0"/>
        <v>Blast - 1516</v>
      </c>
      <c r="P203" s="1" t="s">
        <v>463</v>
      </c>
      <c r="Q203" s="1">
        <v>1</v>
      </c>
      <c r="V203" s="1">
        <f t="shared" si="1"/>
        <v>202</v>
      </c>
      <c r="W203" s="1">
        <f t="shared" si="2"/>
        <v>0.24652087475149106</v>
      </c>
    </row>
    <row r="204" spans="1:23" x14ac:dyDescent="0.2">
      <c r="A204" s="1">
        <v>203</v>
      </c>
      <c r="B204" s="1" t="s">
        <v>1425</v>
      </c>
      <c r="C204" s="1" t="s">
        <v>857</v>
      </c>
      <c r="D204" s="1" t="s">
        <v>596</v>
      </c>
      <c r="E204" s="1" t="s">
        <v>1381</v>
      </c>
      <c r="F204" s="1" t="s">
        <v>263</v>
      </c>
      <c r="G204" s="1">
        <f>IF(ISNA(VLOOKUP(F204,Monster!B:E,4,FALSE)),0,VLOOKUP(F204,Monster!B:E,4,FALSE))</f>
        <v>37</v>
      </c>
      <c r="I204" s="1" t="s">
        <v>1426</v>
      </c>
      <c r="J204" s="1">
        <v>1318</v>
      </c>
      <c r="K204" s="1">
        <v>-30</v>
      </c>
      <c r="L204" s="1">
        <v>1261</v>
      </c>
      <c r="M204" s="1" t="s">
        <v>58</v>
      </c>
      <c r="N204" s="1">
        <f>((NOT(ISNA(VLOOKUP(M204,Monster!$H$2:$I$6,2,FALSE)))*L204)+J204)*(1+K204/100*0.25)</f>
        <v>2385.5750000000003</v>
      </c>
      <c r="O204" s="1" t="str">
        <f t="shared" si="0"/>
        <v>Thunder - 2385.575</v>
      </c>
      <c r="P204" s="1" t="s">
        <v>463</v>
      </c>
      <c r="Q204" s="1">
        <v>1</v>
      </c>
      <c r="V204" s="1">
        <f t="shared" si="1"/>
        <v>203</v>
      </c>
      <c r="W204" s="1">
        <f t="shared" si="2"/>
        <v>0.4889492051182629</v>
      </c>
    </row>
    <row r="205" spans="1:23" x14ac:dyDescent="0.2">
      <c r="A205" s="1">
        <v>204</v>
      </c>
      <c r="B205" s="1" t="s">
        <v>1427</v>
      </c>
      <c r="C205" s="1" t="s">
        <v>863</v>
      </c>
      <c r="D205" s="1" t="s">
        <v>596</v>
      </c>
      <c r="E205" s="1" t="s">
        <v>1381</v>
      </c>
      <c r="F205" s="1" t="s">
        <v>268</v>
      </c>
      <c r="G205" s="1">
        <f>IF(ISNA(VLOOKUP(F205,Monster!B:E,4,FALSE)),0,VLOOKUP(F205,Monster!B:E,4,FALSE))</f>
        <v>38</v>
      </c>
      <c r="I205" s="1" t="s">
        <v>1427</v>
      </c>
      <c r="J205" s="1">
        <v>1553</v>
      </c>
      <c r="K205" s="1">
        <v>0</v>
      </c>
      <c r="L205" s="1">
        <v>974</v>
      </c>
      <c r="M205" s="1" t="s">
        <v>71</v>
      </c>
      <c r="N205" s="1">
        <f>((NOT(ISNA(VLOOKUP(M205,Monster!$H$2:$I$6,2,FALSE)))*L205)+J205)*(1+K205/100*0.25)</f>
        <v>2527</v>
      </c>
      <c r="O205" s="1" t="str">
        <f t="shared" si="0"/>
        <v>Dragon - 2527</v>
      </c>
      <c r="P205" s="1" t="s">
        <v>463</v>
      </c>
      <c r="Q205" s="1">
        <v>2</v>
      </c>
      <c r="V205" s="1">
        <f t="shared" si="1"/>
        <v>204</v>
      </c>
      <c r="W205" s="1">
        <f t="shared" si="2"/>
        <v>0.38543727740403638</v>
      </c>
    </row>
    <row r="206" spans="1:23" x14ac:dyDescent="0.2">
      <c r="A206" s="1">
        <v>205</v>
      </c>
      <c r="B206" s="1" t="s">
        <v>1428</v>
      </c>
      <c r="C206" s="1" t="s">
        <v>869</v>
      </c>
      <c r="D206" s="1" t="s">
        <v>596</v>
      </c>
      <c r="E206" s="1" t="s">
        <v>1381</v>
      </c>
      <c r="F206" s="1" t="s">
        <v>278</v>
      </c>
      <c r="G206" s="1">
        <f>IF(ISNA(VLOOKUP(F206,Monster!B:E,4,FALSE)),0,VLOOKUP(F206,Monster!B:E,4,FALSE))</f>
        <v>40</v>
      </c>
      <c r="I206" s="1" t="s">
        <v>1429</v>
      </c>
      <c r="J206" s="1">
        <v>1516</v>
      </c>
      <c r="K206" s="1">
        <v>0</v>
      </c>
      <c r="L206" s="1">
        <v>496</v>
      </c>
      <c r="M206" s="1" t="s">
        <v>87</v>
      </c>
      <c r="N206" s="1">
        <f>((NOT(ISNA(VLOOKUP(M206,Monster!$H$2:$I$6,2,FALSE)))*L206)+J206)*(1+K206/100*0.25)</f>
        <v>1516</v>
      </c>
      <c r="O206" s="1" t="str">
        <f t="shared" si="0"/>
        <v>Paralysis - 1516</v>
      </c>
      <c r="P206" s="1" t="s">
        <v>253</v>
      </c>
      <c r="Q206" s="1">
        <v>1</v>
      </c>
      <c r="V206" s="1">
        <f t="shared" si="1"/>
        <v>205</v>
      </c>
      <c r="W206" s="1">
        <f t="shared" si="2"/>
        <v>0.24652087475149106</v>
      </c>
    </row>
    <row r="207" spans="1:23" x14ac:dyDescent="0.2">
      <c r="A207" s="1">
        <v>206</v>
      </c>
      <c r="B207" s="1" t="s">
        <v>1430</v>
      </c>
      <c r="C207" s="1" t="s">
        <v>872</v>
      </c>
      <c r="D207" s="1" t="s">
        <v>596</v>
      </c>
      <c r="E207" s="1" t="s">
        <v>1381</v>
      </c>
      <c r="F207" s="1" t="s">
        <v>288</v>
      </c>
      <c r="G207" s="1">
        <f>IF(ISNA(VLOOKUP(F207,Monster!B:E,4,FALSE)),0,VLOOKUP(F207,Monster!B:E,4,FALSE))</f>
        <v>41</v>
      </c>
      <c r="I207" s="1" t="s">
        <v>1431</v>
      </c>
      <c r="J207" s="1">
        <v>1567</v>
      </c>
      <c r="K207" s="1">
        <v>-15</v>
      </c>
      <c r="L207" s="1">
        <v>496</v>
      </c>
      <c r="M207" s="1" t="s">
        <v>95</v>
      </c>
      <c r="N207" s="1">
        <f>((NOT(ISNA(VLOOKUP(M207,Monster!$H$2:$I$6,2,FALSE)))*L207)+J207)*(1+K207/100*0.25)</f>
        <v>1508.2375</v>
      </c>
      <c r="O207" s="1" t="str">
        <f t="shared" si="0"/>
        <v>Sleep - 1508.2375</v>
      </c>
      <c r="P207" s="1" t="s">
        <v>253</v>
      </c>
      <c r="Q207" s="1">
        <v>1</v>
      </c>
      <c r="V207" s="1">
        <f t="shared" si="1"/>
        <v>206</v>
      </c>
      <c r="W207" s="1">
        <f t="shared" si="2"/>
        <v>0.24042656325739215</v>
      </c>
    </row>
    <row r="208" spans="1:23" x14ac:dyDescent="0.2">
      <c r="A208" s="1">
        <v>207</v>
      </c>
      <c r="B208" s="1" t="s">
        <v>1432</v>
      </c>
      <c r="C208" s="1" t="s">
        <v>875</v>
      </c>
      <c r="D208" s="1" t="s">
        <v>596</v>
      </c>
      <c r="E208" s="1" t="s">
        <v>1381</v>
      </c>
      <c r="F208" s="1" t="s">
        <v>293</v>
      </c>
      <c r="G208" s="1">
        <f>IF(ISNA(VLOOKUP(F208,Monster!B:E,4,FALSE)),0,VLOOKUP(F208,Monster!B:E,4,FALSE))</f>
        <v>42</v>
      </c>
      <c r="I208" s="1" t="s">
        <v>1433</v>
      </c>
      <c r="J208" s="1">
        <v>2198</v>
      </c>
      <c r="K208" s="1">
        <v>-40</v>
      </c>
      <c r="L208" s="1">
        <v>0</v>
      </c>
      <c r="M208" s="1" t="s">
        <v>107</v>
      </c>
      <c r="N208" s="1">
        <f>((NOT(ISNA(VLOOKUP(M208,Monster!$H$2:$I$6,2,FALSE)))*L208)+J208)*(1+K208/100*0.25)</f>
        <v>1978.2</v>
      </c>
      <c r="O208" s="1" t="str">
        <f t="shared" si="0"/>
        <v>No Element - 1978.2</v>
      </c>
      <c r="P208" s="1" t="s">
        <v>194</v>
      </c>
      <c r="Q208" s="1">
        <v>1</v>
      </c>
      <c r="V208" s="1">
        <f t="shared" si="1"/>
        <v>207</v>
      </c>
      <c r="W208" s="1">
        <f t="shared" si="2"/>
        <v>0</v>
      </c>
    </row>
    <row r="209" spans="1:37" x14ac:dyDescent="0.2">
      <c r="A209" s="1">
        <v>208</v>
      </c>
      <c r="B209" s="1" t="s">
        <v>1434</v>
      </c>
      <c r="C209" s="1" t="s">
        <v>892</v>
      </c>
      <c r="D209" s="1" t="s">
        <v>596</v>
      </c>
      <c r="E209" s="1" t="s">
        <v>1381</v>
      </c>
      <c r="F209" s="1" t="s">
        <v>310</v>
      </c>
      <c r="G209" s="1">
        <f>IF(ISNA(VLOOKUP(F209,Monster!B:E,4,FALSE)),0,VLOOKUP(F209,Monster!B:E,4,FALSE))</f>
        <v>46</v>
      </c>
      <c r="I209" s="1" t="s">
        <v>1435</v>
      </c>
      <c r="J209" s="1">
        <v>1834</v>
      </c>
      <c r="K209" s="1">
        <v>10</v>
      </c>
      <c r="L209" s="1">
        <v>0</v>
      </c>
      <c r="M209" s="1" t="s">
        <v>107</v>
      </c>
      <c r="N209" s="1">
        <f>((NOT(ISNA(VLOOKUP(M209,Monster!$H$2:$I$6,2,FALSE)))*L209)+J209)*(1+K209/100*0.25)</f>
        <v>1879.85</v>
      </c>
      <c r="O209" s="1" t="str">
        <f t="shared" si="0"/>
        <v>No Element - 1879.85</v>
      </c>
      <c r="P209" s="1" t="s">
        <v>407</v>
      </c>
      <c r="Q209" s="1">
        <v>1</v>
      </c>
      <c r="V209" s="1">
        <f t="shared" si="1"/>
        <v>208</v>
      </c>
      <c r="W209" s="1">
        <f t="shared" si="2"/>
        <v>0</v>
      </c>
    </row>
    <row r="210" spans="1:37" x14ac:dyDescent="0.2">
      <c r="A210" s="1">
        <v>209</v>
      </c>
      <c r="B210" s="1" t="s">
        <v>1436</v>
      </c>
      <c r="C210" s="1" t="s">
        <v>896</v>
      </c>
      <c r="D210" s="1" t="s">
        <v>596</v>
      </c>
      <c r="E210" s="1" t="s">
        <v>1381</v>
      </c>
      <c r="F210" s="1" t="s">
        <v>316</v>
      </c>
      <c r="G210" s="1">
        <f>IF(ISNA(VLOOKUP(F210,Monster!B:E,4,FALSE)),0,VLOOKUP(F210,Monster!B:E,4,FALSE))</f>
        <v>47</v>
      </c>
      <c r="I210" s="1" t="s">
        <v>1437</v>
      </c>
      <c r="J210" s="1">
        <v>1971</v>
      </c>
      <c r="K210" s="1">
        <v>-20</v>
      </c>
      <c r="L210" s="1">
        <v>0</v>
      </c>
      <c r="M210" s="1" t="s">
        <v>107</v>
      </c>
      <c r="N210" s="1">
        <f>((NOT(ISNA(VLOOKUP(M210,Monster!$H$2:$I$6,2,FALSE)))*L210)+J210)*(1+K210/100*0.25)</f>
        <v>1872.4499999999998</v>
      </c>
      <c r="O210" s="1" t="str">
        <f t="shared" si="0"/>
        <v>No Element - 1872.45</v>
      </c>
      <c r="P210" s="1" t="s">
        <v>602</v>
      </c>
      <c r="Q210" s="1">
        <v>2</v>
      </c>
      <c r="V210" s="1">
        <f t="shared" si="1"/>
        <v>209</v>
      </c>
      <c r="W210" s="1">
        <f t="shared" si="2"/>
        <v>0</v>
      </c>
    </row>
    <row r="211" spans="1:37" x14ac:dyDescent="0.2">
      <c r="A211" s="1">
        <v>210</v>
      </c>
      <c r="B211" s="1" t="s">
        <v>1438</v>
      </c>
      <c r="C211" s="1" t="s">
        <v>900</v>
      </c>
      <c r="D211" s="1" t="s">
        <v>596</v>
      </c>
      <c r="E211" s="1" t="s">
        <v>1381</v>
      </c>
      <c r="F211" s="1" t="s">
        <v>320</v>
      </c>
      <c r="G211" s="1">
        <f>IF(ISNA(VLOOKUP(F211,Monster!B:E,4,FALSE)),0,VLOOKUP(F211,Monster!B:E,4,FALSE))</f>
        <v>48</v>
      </c>
      <c r="I211" s="1" t="s">
        <v>1439</v>
      </c>
      <c r="J211" s="1">
        <v>1318</v>
      </c>
      <c r="K211" s="1">
        <v>-30</v>
      </c>
      <c r="L211" s="1">
        <v>1261</v>
      </c>
      <c r="M211" s="1" t="s">
        <v>41</v>
      </c>
      <c r="N211" s="1">
        <f>((NOT(ISNA(VLOOKUP(M211,Monster!$H$2:$I$6,2,FALSE)))*L211)+J211)*(1+K211/100*0.25)</f>
        <v>2385.5750000000003</v>
      </c>
      <c r="O211" s="1" t="str">
        <f t="shared" si="0"/>
        <v>Fire - 2385.575</v>
      </c>
      <c r="P211" s="1" t="s">
        <v>194</v>
      </c>
      <c r="Q211" s="1">
        <v>1</v>
      </c>
      <c r="V211" s="1">
        <f t="shared" si="1"/>
        <v>210</v>
      </c>
      <c r="W211" s="1">
        <f t="shared" si="2"/>
        <v>0.4889492051182629</v>
      </c>
    </row>
    <row r="212" spans="1:37" x14ac:dyDescent="0.2">
      <c r="A212" s="1">
        <v>211</v>
      </c>
      <c r="B212" s="1" t="s">
        <v>1440</v>
      </c>
      <c r="C212" s="1" t="s">
        <v>904</v>
      </c>
      <c r="D212" s="1" t="s">
        <v>596</v>
      </c>
      <c r="E212" s="1" t="s">
        <v>1381</v>
      </c>
      <c r="F212" s="1" t="s">
        <v>328</v>
      </c>
      <c r="G212" s="1">
        <f>IF(ISNA(VLOOKUP(F212,Monster!B:E,4,FALSE)),0,VLOOKUP(F212,Monster!B:E,4,FALSE))</f>
        <v>49</v>
      </c>
      <c r="I212" s="1" t="s">
        <v>1440</v>
      </c>
      <c r="J212" s="1">
        <v>1741</v>
      </c>
      <c r="K212" s="1">
        <v>0</v>
      </c>
      <c r="L212" s="1">
        <v>505</v>
      </c>
      <c r="M212" s="1" t="s">
        <v>79</v>
      </c>
      <c r="N212" s="1">
        <f>((NOT(ISNA(VLOOKUP(M212,Monster!$H$2:$I$6,2,FALSE)))*L212)+J212)*(1+K212/100*0.25)</f>
        <v>1741</v>
      </c>
      <c r="O212" s="1" t="str">
        <f t="shared" si="0"/>
        <v>Poison - 1741</v>
      </c>
      <c r="P212" s="1" t="s">
        <v>624</v>
      </c>
      <c r="Q212" s="1">
        <v>2</v>
      </c>
      <c r="V212" s="1">
        <f t="shared" si="1"/>
        <v>211</v>
      </c>
      <c r="W212" s="1">
        <f t="shared" si="2"/>
        <v>0.22484416740872662</v>
      </c>
    </row>
    <row r="213" spans="1:37" x14ac:dyDescent="0.2">
      <c r="A213" s="1">
        <v>212</v>
      </c>
      <c r="B213" s="1" t="s">
        <v>1441</v>
      </c>
      <c r="C213" s="1" t="s">
        <v>908</v>
      </c>
      <c r="D213" s="1" t="s">
        <v>596</v>
      </c>
      <c r="E213" s="1" t="s">
        <v>1381</v>
      </c>
      <c r="F213" s="1" t="s">
        <v>334</v>
      </c>
      <c r="G213" s="1">
        <f>IF(ISNA(VLOOKUP(F213,Monster!B:E,4,FALSE)),0,VLOOKUP(F213,Monster!B:E,4,FALSE))</f>
        <v>50</v>
      </c>
      <c r="I213" s="1" t="s">
        <v>1442</v>
      </c>
      <c r="J213" s="1">
        <v>1647</v>
      </c>
      <c r="K213" s="1">
        <v>10</v>
      </c>
      <c r="L213" s="1">
        <v>307</v>
      </c>
      <c r="M213" s="1" t="s">
        <v>79</v>
      </c>
      <c r="N213" s="1">
        <f>((NOT(ISNA(VLOOKUP(M213,Monster!$H$2:$I$6,2,FALSE)))*L213)+J213)*(1+K213/100*0.25)</f>
        <v>1688.175</v>
      </c>
      <c r="O213" s="1" t="str">
        <f t="shared" si="0"/>
        <v>Poison - 1688.175</v>
      </c>
      <c r="P213" s="1" t="s">
        <v>412</v>
      </c>
      <c r="Q213" s="1">
        <v>1</v>
      </c>
      <c r="V213" s="1">
        <f t="shared" si="1"/>
        <v>212</v>
      </c>
      <c r="W213" s="1">
        <f t="shared" si="2"/>
        <v>0.1571136131013306</v>
      </c>
    </row>
    <row r="214" spans="1:37" x14ac:dyDescent="0.2">
      <c r="A214" s="1">
        <v>213</v>
      </c>
      <c r="B214" s="1" t="s">
        <v>1443</v>
      </c>
      <c r="C214" s="1" t="s">
        <v>913</v>
      </c>
      <c r="D214" s="1" t="s">
        <v>596</v>
      </c>
      <c r="E214" s="1" t="s">
        <v>1381</v>
      </c>
      <c r="F214" s="1" t="s">
        <v>339</v>
      </c>
      <c r="G214" s="1">
        <f>IF(ISNA(VLOOKUP(F214,Monster!B:E,4,FALSE)),0,VLOOKUP(F214,Monster!B:E,4,FALSE))</f>
        <v>51</v>
      </c>
      <c r="I214" s="1" t="s">
        <v>1444</v>
      </c>
      <c r="J214" s="1">
        <v>1764</v>
      </c>
      <c r="K214" s="1">
        <v>0</v>
      </c>
      <c r="L214" s="1">
        <v>0</v>
      </c>
      <c r="M214" s="1" t="s">
        <v>107</v>
      </c>
      <c r="N214" s="1">
        <f>((NOT(ISNA(VLOOKUP(M214,Monster!$H$2:$I$6,2,FALSE)))*L214)+J214)*(1+K214/100*0.25)</f>
        <v>1764</v>
      </c>
      <c r="O214" s="1" t="str">
        <f t="shared" si="0"/>
        <v>No Element - 1764</v>
      </c>
      <c r="P214" s="1" t="s">
        <v>560</v>
      </c>
      <c r="Q214" s="1">
        <v>2</v>
      </c>
      <c r="V214" s="1">
        <f t="shared" si="1"/>
        <v>213</v>
      </c>
      <c r="W214" s="1">
        <f t="shared" si="2"/>
        <v>0</v>
      </c>
    </row>
    <row r="215" spans="1:37" x14ac:dyDescent="0.2">
      <c r="A215" s="1">
        <v>214</v>
      </c>
      <c r="B215" s="1" t="s">
        <v>1445</v>
      </c>
      <c r="C215" s="1" t="s">
        <v>922</v>
      </c>
      <c r="D215" s="1" t="s">
        <v>596</v>
      </c>
      <c r="E215" s="1" t="s">
        <v>1381</v>
      </c>
      <c r="F215" s="1" t="s">
        <v>349</v>
      </c>
      <c r="G215" s="1">
        <f>IF(ISNA(VLOOKUP(F215,Monster!B:E,4,FALSE)),0,VLOOKUP(F215,Monster!B:E,4,FALSE))</f>
        <v>53</v>
      </c>
      <c r="I215" s="1" t="s">
        <v>1446</v>
      </c>
      <c r="J215" s="1">
        <v>1738</v>
      </c>
      <c r="K215" s="1">
        <v>40</v>
      </c>
      <c r="L215" s="1">
        <v>0</v>
      </c>
      <c r="M215" s="1" t="s">
        <v>107</v>
      </c>
      <c r="N215" s="1">
        <f>((NOT(ISNA(VLOOKUP(M215,Monster!$H$2:$I$6,2,FALSE)))*L215)+J215)*(1+K215/100*0.25)</f>
        <v>1911.8000000000002</v>
      </c>
      <c r="O215" s="1" t="str">
        <f t="shared" si="0"/>
        <v>No Element - 1911.8</v>
      </c>
      <c r="P215" s="1" t="s">
        <v>535</v>
      </c>
      <c r="Q215" s="1">
        <v>2</v>
      </c>
      <c r="V215" s="1">
        <f t="shared" si="1"/>
        <v>214</v>
      </c>
      <c r="W215" s="1">
        <f t="shared" si="2"/>
        <v>0</v>
      </c>
    </row>
    <row r="216" spans="1:37" x14ac:dyDescent="0.2">
      <c r="A216" s="1">
        <v>215</v>
      </c>
      <c r="B216" s="1" t="s">
        <v>1447</v>
      </c>
      <c r="C216" s="1" t="s">
        <v>930</v>
      </c>
      <c r="D216" s="1" t="s">
        <v>596</v>
      </c>
      <c r="E216" s="1" t="s">
        <v>1381</v>
      </c>
      <c r="F216" s="1" t="s">
        <v>360</v>
      </c>
      <c r="G216" s="1">
        <f>IF(ISNA(VLOOKUP(F216,Monster!B:E,4,FALSE)),0,VLOOKUP(F216,Monster!B:E,4,FALSE))</f>
        <v>55</v>
      </c>
      <c r="I216" s="1" t="s">
        <v>1448</v>
      </c>
      <c r="J216" s="1">
        <v>1979</v>
      </c>
      <c r="K216" s="1">
        <v>0</v>
      </c>
      <c r="L216" s="1">
        <v>0</v>
      </c>
      <c r="M216" s="1" t="s">
        <v>107</v>
      </c>
      <c r="N216" s="1">
        <f>((NOT(ISNA(VLOOKUP(M216,Monster!$H$2:$I$6,2,FALSE)))*L216)+J216)*(1+K216/100*0.25)</f>
        <v>1979</v>
      </c>
      <c r="O216" s="1" t="str">
        <f t="shared" si="0"/>
        <v>No Element - 1979</v>
      </c>
      <c r="P216" s="1" t="s">
        <v>515</v>
      </c>
      <c r="Q216" s="1">
        <v>1</v>
      </c>
      <c r="V216" s="1">
        <f t="shared" si="1"/>
        <v>215</v>
      </c>
      <c r="W216" s="1">
        <f t="shared" si="2"/>
        <v>0</v>
      </c>
    </row>
    <row r="217" spans="1:37" x14ac:dyDescent="0.2">
      <c r="A217" s="1">
        <v>216</v>
      </c>
      <c r="B217" s="1" t="s">
        <v>1449</v>
      </c>
      <c r="C217" s="1" t="s">
        <v>934</v>
      </c>
      <c r="D217" s="1" t="s">
        <v>596</v>
      </c>
      <c r="E217" s="1" t="s">
        <v>1381</v>
      </c>
      <c r="F217" s="1" t="s">
        <v>365</v>
      </c>
      <c r="G217" s="1">
        <f>IF(ISNA(VLOOKUP(F217,Monster!B:E,4,FALSE)),0,VLOOKUP(F217,Monster!B:E,4,FALSE))</f>
        <v>56</v>
      </c>
      <c r="I217" s="1" t="s">
        <v>1450</v>
      </c>
      <c r="J217" s="1">
        <v>1020</v>
      </c>
      <c r="K217" s="1">
        <v>0</v>
      </c>
      <c r="L217" s="1">
        <v>1173</v>
      </c>
      <c r="M217" s="1" t="s">
        <v>66</v>
      </c>
      <c r="N217" s="1">
        <f>((NOT(ISNA(VLOOKUP(M217,Monster!$H$2:$I$6,2,FALSE)))*L217)+J217)*(1+K217/100*0.25)</f>
        <v>2193</v>
      </c>
      <c r="O217" s="1" t="str">
        <f t="shared" si="0"/>
        <v>Ice - 2193</v>
      </c>
      <c r="P217" s="1" t="s">
        <v>659</v>
      </c>
      <c r="Q217" s="1">
        <v>1</v>
      </c>
      <c r="V217" s="1">
        <f t="shared" si="1"/>
        <v>216</v>
      </c>
      <c r="W217" s="1">
        <f t="shared" si="2"/>
        <v>0.53488372093023251</v>
      </c>
    </row>
    <row r="218" spans="1:37" x14ac:dyDescent="0.2">
      <c r="A218" s="1">
        <v>217</v>
      </c>
      <c r="B218" s="1" t="s">
        <v>1451</v>
      </c>
      <c r="C218" s="1" t="s">
        <v>939</v>
      </c>
      <c r="D218" s="1" t="s">
        <v>596</v>
      </c>
      <c r="E218" s="1" t="s">
        <v>1381</v>
      </c>
      <c r="F218" s="1" t="s">
        <v>370</v>
      </c>
      <c r="G218" s="1">
        <f>IF(ISNA(VLOOKUP(F218,Monster!B:E,4,FALSE)),0,VLOOKUP(F218,Monster!B:E,4,FALSE))</f>
        <v>57</v>
      </c>
      <c r="I218" s="1" t="s">
        <v>1452</v>
      </c>
      <c r="J218" s="1">
        <v>1197</v>
      </c>
      <c r="K218" s="1">
        <v>20</v>
      </c>
      <c r="L218" s="1">
        <v>1154</v>
      </c>
      <c r="M218" s="1" t="s">
        <v>41</v>
      </c>
      <c r="N218" s="1">
        <f>((NOT(ISNA(VLOOKUP(M218,Monster!$H$2:$I$6,2,FALSE)))*L218)+J218)*(1+K218/100*0.25)</f>
        <v>2468.5500000000002</v>
      </c>
      <c r="O218" s="1" t="str">
        <f t="shared" si="0"/>
        <v>Fire - 2468.55</v>
      </c>
      <c r="P218" s="1" t="s">
        <v>615</v>
      </c>
      <c r="Q218" s="1">
        <v>2</v>
      </c>
      <c r="V218" s="1">
        <f t="shared" si="1"/>
        <v>217</v>
      </c>
      <c r="W218" s="1">
        <f t="shared" si="2"/>
        <v>0.49085495533815399</v>
      </c>
    </row>
    <row r="219" spans="1:37" x14ac:dyDescent="0.2">
      <c r="A219" s="1">
        <v>218</v>
      </c>
      <c r="B219" s="3" t="s">
        <v>1453</v>
      </c>
      <c r="C219" s="3" t="s">
        <v>943</v>
      </c>
      <c r="D219" s="3" t="s">
        <v>596</v>
      </c>
      <c r="E219" s="1" t="s">
        <v>1381</v>
      </c>
      <c r="F219" s="3" t="s">
        <v>374</v>
      </c>
      <c r="G219" s="4">
        <f>IF(ISNA(VLOOKUP(F219,Monster!B:E,4,FALSE)),0,VLOOKUP(F219,Monster!B:E,4,FALSE))</f>
        <v>58</v>
      </c>
      <c r="H219" s="3"/>
      <c r="I219" s="3" t="s">
        <v>1453</v>
      </c>
      <c r="J219" s="4">
        <v>1205</v>
      </c>
      <c r="K219" s="4">
        <v>0</v>
      </c>
      <c r="L219" s="4">
        <v>1305</v>
      </c>
      <c r="M219" s="3" t="s">
        <v>71</v>
      </c>
      <c r="N219" s="4">
        <f>((NOT(ISNA(VLOOKUP(M219,Monster!$H$2:$I$6,2,FALSE)))*L219)+J219)*(1+K219/100*0.25)</f>
        <v>2510</v>
      </c>
      <c r="O219" s="1" t="str">
        <f t="shared" si="0"/>
        <v>Dragon - 2510</v>
      </c>
      <c r="P219" s="3" t="s">
        <v>689</v>
      </c>
      <c r="Q219" s="4">
        <v>1</v>
      </c>
      <c r="R219" s="3" t="s">
        <v>372</v>
      </c>
      <c r="S219" s="3"/>
      <c r="T219" s="3"/>
      <c r="U219" s="3"/>
      <c r="V219" s="1">
        <f t="shared" si="1"/>
        <v>218</v>
      </c>
      <c r="W219" s="1">
        <f t="shared" si="2"/>
        <v>0.51992031872509958</v>
      </c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</row>
    <row r="220" spans="1:37" x14ac:dyDescent="0.2">
      <c r="A220" s="1">
        <v>219</v>
      </c>
      <c r="B220" s="1" t="s">
        <v>1454</v>
      </c>
      <c r="C220" s="1" t="s">
        <v>949</v>
      </c>
      <c r="D220" s="1" t="s">
        <v>596</v>
      </c>
      <c r="E220" s="1" t="s">
        <v>1381</v>
      </c>
      <c r="F220" s="1"/>
      <c r="G220" s="1">
        <f>IF(ISNA(VLOOKUP(F220,Monster!B:E,4,FALSE)),0,VLOOKUP(F220,Monster!B:E,4,FALSE))</f>
        <v>0</v>
      </c>
      <c r="I220" s="1" t="s">
        <v>1455</v>
      </c>
      <c r="J220" s="1">
        <v>1596</v>
      </c>
      <c r="K220" s="1">
        <v>0</v>
      </c>
      <c r="L220" s="1">
        <v>0</v>
      </c>
      <c r="M220" s="1" t="s">
        <v>107</v>
      </c>
      <c r="N220" s="1">
        <f>((NOT(ISNA(VLOOKUP(M220,Monster!$H$2:$I$6,2,FALSE)))*L220)+J220)*(1+K220/100*0.25)</f>
        <v>1596</v>
      </c>
      <c r="O220" s="1" t="str">
        <f t="shared" si="0"/>
        <v>No Element - 1596</v>
      </c>
      <c r="P220" s="1" t="s">
        <v>158</v>
      </c>
      <c r="Q220" s="1">
        <v>1</v>
      </c>
      <c r="V220" s="1">
        <f t="shared" si="1"/>
        <v>219</v>
      </c>
      <c r="W220" s="1">
        <f t="shared" si="2"/>
        <v>0</v>
      </c>
    </row>
    <row r="221" spans="1:37" x14ac:dyDescent="0.2">
      <c r="A221" s="1">
        <v>220</v>
      </c>
      <c r="B221" s="1" t="s">
        <v>1456</v>
      </c>
      <c r="C221" s="1" t="s">
        <v>1152</v>
      </c>
      <c r="D221" s="1" t="s">
        <v>596</v>
      </c>
      <c r="E221" s="1" t="s">
        <v>1381</v>
      </c>
      <c r="F221" s="1" t="s">
        <v>131</v>
      </c>
      <c r="G221" s="1">
        <f>IF(ISNA(VLOOKUP(F221,Monster!B:E,4,FALSE)),0,VLOOKUP(F221,Monster!B:E,4,FALSE))</f>
        <v>14</v>
      </c>
      <c r="I221" s="1" t="s">
        <v>1456</v>
      </c>
      <c r="J221" s="1">
        <v>1293</v>
      </c>
      <c r="K221" s="1">
        <v>0</v>
      </c>
      <c r="L221" s="1">
        <v>910</v>
      </c>
      <c r="M221" s="1" t="s">
        <v>71</v>
      </c>
      <c r="N221" s="1">
        <f>((NOT(ISNA(VLOOKUP(M221,Monster!$H$2:$I$6,2,FALSE)))*L221)+J221)*(1+K221/100*0.25)</f>
        <v>2203</v>
      </c>
      <c r="O221" s="1" t="str">
        <f t="shared" si="0"/>
        <v>Dragon - 2203</v>
      </c>
      <c r="P221" s="1" t="s">
        <v>228</v>
      </c>
      <c r="Q221" s="1">
        <v>2</v>
      </c>
      <c r="V221" s="1">
        <f t="shared" si="1"/>
        <v>220</v>
      </c>
      <c r="W221" s="1">
        <f t="shared" si="2"/>
        <v>0.41307308216068994</v>
      </c>
    </row>
    <row r="222" spans="1:37" x14ac:dyDescent="0.2">
      <c r="A222" s="1">
        <v>221</v>
      </c>
      <c r="B222" s="1" t="s">
        <v>1457</v>
      </c>
      <c r="C222" s="1" t="s">
        <v>958</v>
      </c>
      <c r="D222" s="1" t="s">
        <v>596</v>
      </c>
      <c r="E222" s="1" t="s">
        <v>1381</v>
      </c>
      <c r="F222" s="1"/>
      <c r="G222" s="1">
        <f>IF(ISNA(VLOOKUP(F222,Monster!B:E,4,FALSE)),0,VLOOKUP(F222,Monster!B:E,4,FALSE))</f>
        <v>0</v>
      </c>
      <c r="I222" s="1" t="s">
        <v>1458</v>
      </c>
      <c r="J222" s="1">
        <v>1878</v>
      </c>
      <c r="K222" s="1">
        <v>0</v>
      </c>
      <c r="L222" s="1">
        <v>0</v>
      </c>
      <c r="M222" s="1" t="s">
        <v>107</v>
      </c>
      <c r="N222" s="1">
        <f>((NOT(ISNA(VLOOKUP(M222,Monster!$H$2:$I$6,2,FALSE)))*L222)+J222)*(1+K222/100*0.25)</f>
        <v>1878</v>
      </c>
      <c r="O222" s="1" t="str">
        <f t="shared" si="0"/>
        <v>No Element - 1878</v>
      </c>
      <c r="P222" s="1" t="s">
        <v>412</v>
      </c>
      <c r="Q222" s="1">
        <v>1</v>
      </c>
      <c r="V222" s="1">
        <f t="shared" si="1"/>
        <v>221</v>
      </c>
      <c r="W222" s="1">
        <f t="shared" si="2"/>
        <v>0</v>
      </c>
    </row>
    <row r="223" spans="1:37" x14ac:dyDescent="0.2">
      <c r="A223" s="1">
        <v>222</v>
      </c>
      <c r="B223" s="1" t="s">
        <v>1459</v>
      </c>
      <c r="C223" s="1" t="s">
        <v>34</v>
      </c>
      <c r="D223" s="1" t="s">
        <v>596</v>
      </c>
      <c r="E223" s="1" t="s">
        <v>1460</v>
      </c>
      <c r="F223" s="1"/>
      <c r="G223" s="1">
        <f>IF(ISNA(VLOOKUP(F223,Monster!B:E,4,FALSE)),0,VLOOKUP(F223,Monster!B:E,4,FALSE))</f>
        <v>0</v>
      </c>
      <c r="I223" s="1" t="s">
        <v>1461</v>
      </c>
      <c r="J223" s="1">
        <v>1596</v>
      </c>
      <c r="K223" s="1">
        <v>0</v>
      </c>
      <c r="L223" s="1">
        <v>0</v>
      </c>
      <c r="M223" s="1" t="s">
        <v>107</v>
      </c>
      <c r="N223" s="1">
        <f>((NOT(ISNA(VLOOKUP(M223,Monster!$H$2:$I$6,2,FALSE)))*L223)+J223)*(1+K223/100*0.25)</f>
        <v>1596</v>
      </c>
      <c r="O223" s="1" t="str">
        <f t="shared" si="0"/>
        <v>No Element - 1596</v>
      </c>
      <c r="P223" s="1" t="s">
        <v>410</v>
      </c>
      <c r="Q223" s="1">
        <v>2</v>
      </c>
      <c r="S223" s="1" t="s">
        <v>1462</v>
      </c>
      <c r="T223" s="1" t="s">
        <v>1463</v>
      </c>
      <c r="U223" s="1" t="s">
        <v>1464</v>
      </c>
      <c r="V223" s="1">
        <f t="shared" si="1"/>
        <v>222</v>
      </c>
      <c r="W223" s="1">
        <f t="shared" si="2"/>
        <v>0</v>
      </c>
    </row>
    <row r="224" spans="1:37" x14ac:dyDescent="0.2">
      <c r="A224" s="1">
        <v>223</v>
      </c>
      <c r="B224" s="1" t="s">
        <v>1465</v>
      </c>
      <c r="C224" s="1" t="s">
        <v>439</v>
      </c>
      <c r="D224" s="1" t="s">
        <v>596</v>
      </c>
      <c r="E224" s="1" t="s">
        <v>1460</v>
      </c>
      <c r="F224" s="1" t="s">
        <v>47</v>
      </c>
      <c r="G224" s="1">
        <f>IF(ISNA(VLOOKUP(F224,Monster!B:E,4,FALSE)),0,VLOOKUP(F224,Monster!B:E,4,FALSE))</f>
        <v>2</v>
      </c>
      <c r="I224" s="1" t="s">
        <v>1466</v>
      </c>
      <c r="J224" s="1">
        <v>1596</v>
      </c>
      <c r="K224" s="1">
        <v>30</v>
      </c>
      <c r="L224" s="1">
        <v>0</v>
      </c>
      <c r="M224" s="1" t="s">
        <v>107</v>
      </c>
      <c r="N224" s="1">
        <f>((NOT(ISNA(VLOOKUP(M224,Monster!$H$2:$I$6,2,FALSE)))*L224)+J224)*(1+K224/100*0.25)</f>
        <v>1715.6999999999998</v>
      </c>
      <c r="O224" s="1" t="str">
        <f t="shared" si="0"/>
        <v>No Element - 1715.7</v>
      </c>
      <c r="P224" s="1" t="s">
        <v>319</v>
      </c>
      <c r="Q224" s="1">
        <v>2</v>
      </c>
      <c r="S224" s="1" t="s">
        <v>1467</v>
      </c>
      <c r="T224" s="1" t="s">
        <v>1468</v>
      </c>
      <c r="U224" s="1" t="s">
        <v>1469</v>
      </c>
      <c r="V224" s="1">
        <f t="shared" si="1"/>
        <v>223</v>
      </c>
      <c r="W224" s="1">
        <f t="shared" si="2"/>
        <v>0</v>
      </c>
    </row>
    <row r="225" spans="1:23" x14ac:dyDescent="0.2">
      <c r="A225" s="1">
        <v>224</v>
      </c>
      <c r="B225" s="1" t="s">
        <v>1470</v>
      </c>
      <c r="C225" s="1" t="s">
        <v>541</v>
      </c>
      <c r="D225" s="1" t="s">
        <v>596</v>
      </c>
      <c r="E225" s="1" t="s">
        <v>1460</v>
      </c>
      <c r="F225" s="1" t="s">
        <v>52</v>
      </c>
      <c r="G225" s="1">
        <f>IF(ISNA(VLOOKUP(F225,Monster!B:E,4,FALSE)),0,VLOOKUP(F225,Monster!B:E,4,FALSE))</f>
        <v>3</v>
      </c>
      <c r="I225" s="1" t="s">
        <v>1471</v>
      </c>
      <c r="J225" s="1">
        <v>1596</v>
      </c>
      <c r="K225" s="1">
        <v>0</v>
      </c>
      <c r="L225" s="1">
        <v>400</v>
      </c>
      <c r="M225" s="1" t="s">
        <v>79</v>
      </c>
      <c r="N225" s="1">
        <f>((NOT(ISNA(VLOOKUP(M225,Monster!$H$2:$I$6,2,FALSE)))*L225)+J225)*(1+K225/100*0.25)</f>
        <v>1596</v>
      </c>
      <c r="O225" s="1" t="str">
        <f t="shared" si="0"/>
        <v>Poison - 1596</v>
      </c>
      <c r="P225" s="1" t="s">
        <v>590</v>
      </c>
      <c r="Q225" s="1">
        <v>1</v>
      </c>
      <c r="S225" s="1" t="s">
        <v>1472</v>
      </c>
      <c r="T225" s="1" t="s">
        <v>1473</v>
      </c>
      <c r="U225" s="1" t="s">
        <v>1469</v>
      </c>
      <c r="V225" s="1">
        <f t="shared" si="1"/>
        <v>224</v>
      </c>
      <c r="W225" s="1">
        <f t="shared" si="2"/>
        <v>0.20040080160320642</v>
      </c>
    </row>
    <row r="226" spans="1:23" x14ac:dyDescent="0.2">
      <c r="A226" s="1">
        <v>225</v>
      </c>
      <c r="B226" s="1" t="s">
        <v>1474</v>
      </c>
      <c r="C226" s="1" t="s">
        <v>617</v>
      </c>
      <c r="D226" s="1" t="s">
        <v>596</v>
      </c>
      <c r="E226" s="1" t="s">
        <v>1460</v>
      </c>
      <c r="F226" s="1" t="s">
        <v>60</v>
      </c>
      <c r="G226" s="1">
        <f>IF(ISNA(VLOOKUP(F226,Monster!B:E,4,FALSE)),0,VLOOKUP(F226,Monster!B:E,4,FALSE))</f>
        <v>4</v>
      </c>
      <c r="I226" s="1" t="s">
        <v>1474</v>
      </c>
      <c r="J226" s="1">
        <v>1221</v>
      </c>
      <c r="K226" s="1">
        <v>0</v>
      </c>
      <c r="L226" s="1">
        <v>1142</v>
      </c>
      <c r="M226" s="1" t="s">
        <v>50</v>
      </c>
      <c r="N226" s="1">
        <f>((NOT(ISNA(VLOOKUP(M226,Monster!$H$2:$I$6,2,FALSE)))*L226)+J226)*(1+K226/100*0.25)</f>
        <v>2363</v>
      </c>
      <c r="O226" s="1" t="str">
        <f t="shared" si="0"/>
        <v>Water - 2363</v>
      </c>
      <c r="P226" s="1" t="s">
        <v>244</v>
      </c>
      <c r="Q226" s="1">
        <v>1</v>
      </c>
      <c r="S226" s="1" t="s">
        <v>1475</v>
      </c>
      <c r="T226" s="1" t="s">
        <v>1476</v>
      </c>
      <c r="U226" s="1" t="s">
        <v>1477</v>
      </c>
      <c r="V226" s="1">
        <f t="shared" si="1"/>
        <v>225</v>
      </c>
      <c r="W226" s="1">
        <f t="shared" si="2"/>
        <v>0.48328396106644095</v>
      </c>
    </row>
    <row r="227" spans="1:23" x14ac:dyDescent="0.2">
      <c r="A227" s="1">
        <v>226</v>
      </c>
      <c r="B227" s="1" t="s">
        <v>1478</v>
      </c>
      <c r="C227" s="1" t="s">
        <v>696</v>
      </c>
      <c r="D227" s="1" t="s">
        <v>596</v>
      </c>
      <c r="E227" s="1" t="s">
        <v>1460</v>
      </c>
      <c r="F227" s="1" t="s">
        <v>69</v>
      </c>
      <c r="G227" s="1">
        <f>IF(ISNA(VLOOKUP(F227,Monster!B:E,4,FALSE)),0,VLOOKUP(F227,Monster!B:E,4,FALSE))</f>
        <v>5</v>
      </c>
      <c r="I227" s="1" t="s">
        <v>1479</v>
      </c>
      <c r="J227" s="1">
        <v>1756</v>
      </c>
      <c r="K227" s="1">
        <v>0</v>
      </c>
      <c r="L227" s="1">
        <v>0</v>
      </c>
      <c r="M227" s="1" t="s">
        <v>107</v>
      </c>
      <c r="N227" s="1">
        <f>((NOT(ISNA(VLOOKUP(M227,Monster!$H$2:$I$6,2,FALSE)))*L227)+J227)*(1+K227/100*0.25)</f>
        <v>1756</v>
      </c>
      <c r="O227" s="1" t="str">
        <f t="shared" si="0"/>
        <v>No Element - 1756</v>
      </c>
      <c r="P227" s="1" t="s">
        <v>213</v>
      </c>
      <c r="Q227" s="1">
        <v>2</v>
      </c>
      <c r="S227" s="1" t="s">
        <v>1480</v>
      </c>
      <c r="T227" s="1" t="s">
        <v>1481</v>
      </c>
      <c r="U227" s="1" t="s">
        <v>1482</v>
      </c>
      <c r="V227" s="1">
        <f t="shared" si="1"/>
        <v>226</v>
      </c>
      <c r="W227" s="1">
        <f t="shared" si="2"/>
        <v>0</v>
      </c>
    </row>
    <row r="228" spans="1:23" x14ac:dyDescent="0.2">
      <c r="A228" s="1">
        <v>227</v>
      </c>
      <c r="B228" s="1" t="s">
        <v>1483</v>
      </c>
      <c r="C228" s="1" t="s">
        <v>729</v>
      </c>
      <c r="D228" s="1" t="s">
        <v>596</v>
      </c>
      <c r="E228" s="1" t="s">
        <v>1460</v>
      </c>
      <c r="F228" s="1" t="s">
        <v>81</v>
      </c>
      <c r="G228" s="1">
        <f>IF(ISNA(VLOOKUP(F228,Monster!B:E,4,FALSE)),0,VLOOKUP(F228,Monster!B:E,4,FALSE))</f>
        <v>7</v>
      </c>
      <c r="I228" s="1" t="s">
        <v>1484</v>
      </c>
      <c r="J228" s="1">
        <v>1293</v>
      </c>
      <c r="K228" s="1">
        <v>0</v>
      </c>
      <c r="L228" s="1">
        <v>910</v>
      </c>
      <c r="M228" s="1" t="s">
        <v>58</v>
      </c>
      <c r="N228" s="1">
        <f>((NOT(ISNA(VLOOKUP(M228,Monster!$H$2:$I$6,2,FALSE)))*L228)+J228)*(1+K228/100*0.25)</f>
        <v>2203</v>
      </c>
      <c r="O228" s="1" t="str">
        <f t="shared" si="0"/>
        <v>Thunder - 2203</v>
      </c>
      <c r="P228" s="1" t="s">
        <v>253</v>
      </c>
      <c r="Q228" s="1">
        <v>1</v>
      </c>
      <c r="S228" s="1" t="s">
        <v>1475</v>
      </c>
      <c r="T228" s="1" t="s">
        <v>1485</v>
      </c>
      <c r="U228" s="1" t="s">
        <v>1482</v>
      </c>
      <c r="V228" s="1">
        <f t="shared" si="1"/>
        <v>227</v>
      </c>
      <c r="W228" s="1">
        <f t="shared" si="2"/>
        <v>0.41307308216068994</v>
      </c>
    </row>
    <row r="229" spans="1:23" x14ac:dyDescent="0.2">
      <c r="A229" s="1">
        <v>228</v>
      </c>
      <c r="B229" s="1" t="s">
        <v>1486</v>
      </c>
      <c r="C229" s="1" t="s">
        <v>735</v>
      </c>
      <c r="D229" s="1" t="s">
        <v>596</v>
      </c>
      <c r="E229" s="1" t="s">
        <v>1460</v>
      </c>
      <c r="F229" s="1" t="s">
        <v>91</v>
      </c>
      <c r="G229" s="1">
        <f>IF(ISNA(VLOOKUP(F229,Monster!B:E,4,FALSE)),0,VLOOKUP(F229,Monster!B:E,4,FALSE))</f>
        <v>8</v>
      </c>
      <c r="I229" s="1" t="s">
        <v>1487</v>
      </c>
      <c r="J229" s="1">
        <v>1764</v>
      </c>
      <c r="K229" s="1">
        <v>0</v>
      </c>
      <c r="L229" s="1">
        <v>0</v>
      </c>
      <c r="M229" s="1" t="s">
        <v>107</v>
      </c>
      <c r="N229" s="1">
        <f>((NOT(ISNA(VLOOKUP(M229,Monster!$H$2:$I$6,2,FALSE)))*L229)+J229)*(1+K229/100*0.25)</f>
        <v>1764</v>
      </c>
      <c r="O229" s="1" t="str">
        <f t="shared" si="0"/>
        <v>No Element - 1764</v>
      </c>
      <c r="P229" s="1" t="s">
        <v>228</v>
      </c>
      <c r="Q229" s="1">
        <v>2</v>
      </c>
      <c r="S229" s="1" t="s">
        <v>1475</v>
      </c>
      <c r="T229" s="1" t="s">
        <v>1476</v>
      </c>
      <c r="U229" s="1" t="s">
        <v>1482</v>
      </c>
      <c r="V229" s="1">
        <f t="shared" si="1"/>
        <v>228</v>
      </c>
      <c r="W229" s="1">
        <f t="shared" si="2"/>
        <v>0</v>
      </c>
    </row>
    <row r="230" spans="1:23" x14ac:dyDescent="0.2">
      <c r="A230" s="1">
        <v>229</v>
      </c>
      <c r="B230" s="1" t="s">
        <v>1488</v>
      </c>
      <c r="C230" s="1" t="s">
        <v>740</v>
      </c>
      <c r="D230" s="1" t="s">
        <v>596</v>
      </c>
      <c r="E230" s="1" t="s">
        <v>1460</v>
      </c>
      <c r="F230" s="1" t="s">
        <v>97</v>
      </c>
      <c r="G230" s="1">
        <f>IF(ISNA(VLOOKUP(F230,Monster!B:E,4,FALSE)),0,VLOOKUP(F230,Monster!B:E,4,FALSE))</f>
        <v>9</v>
      </c>
      <c r="I230" s="1" t="s">
        <v>1488</v>
      </c>
      <c r="J230" s="1">
        <v>1756</v>
      </c>
      <c r="K230" s="1">
        <v>0</v>
      </c>
      <c r="L230" s="1">
        <v>300</v>
      </c>
      <c r="M230" s="1" t="s">
        <v>95</v>
      </c>
      <c r="N230" s="1">
        <f>((NOT(ISNA(VLOOKUP(M230,Monster!$H$2:$I$6,2,FALSE)))*L230)+J230)*(1+K230/100*0.25)</f>
        <v>1756</v>
      </c>
      <c r="O230" s="1" t="str">
        <f t="shared" si="0"/>
        <v>Sleep - 1756</v>
      </c>
      <c r="P230" s="1" t="s">
        <v>590</v>
      </c>
      <c r="Q230" s="1">
        <v>1</v>
      </c>
      <c r="S230" s="1" t="s">
        <v>1489</v>
      </c>
      <c r="T230" s="1" t="s">
        <v>1473</v>
      </c>
      <c r="U230" s="1" t="s">
        <v>1482</v>
      </c>
      <c r="V230" s="1">
        <f t="shared" si="1"/>
        <v>229</v>
      </c>
      <c r="W230" s="1">
        <f t="shared" si="2"/>
        <v>0.14591439688715954</v>
      </c>
    </row>
    <row r="231" spans="1:23" x14ac:dyDescent="0.2">
      <c r="A231" s="1">
        <v>230</v>
      </c>
      <c r="B231" s="1" t="s">
        <v>1490</v>
      </c>
      <c r="C231" s="1" t="s">
        <v>745</v>
      </c>
      <c r="D231" s="1" t="s">
        <v>596</v>
      </c>
      <c r="E231" s="1" t="s">
        <v>1460</v>
      </c>
      <c r="F231" s="1" t="s">
        <v>102</v>
      </c>
      <c r="G231" s="1">
        <f>IF(ISNA(VLOOKUP(F231,Monster!B:E,4,FALSE)),0,VLOOKUP(F231,Monster!B:E,4,FALSE))</f>
        <v>10</v>
      </c>
      <c r="I231" s="1" t="s">
        <v>1491</v>
      </c>
      <c r="J231" s="1">
        <v>1293</v>
      </c>
      <c r="K231" s="1">
        <v>0</v>
      </c>
      <c r="L231" s="1">
        <v>910</v>
      </c>
      <c r="M231" s="1" t="s">
        <v>50</v>
      </c>
      <c r="N231" s="1">
        <f>((NOT(ISNA(VLOOKUP(M231,Monster!$H$2:$I$6,2,FALSE)))*L231)+J231)*(1+K231/100*0.25)</f>
        <v>2203</v>
      </c>
      <c r="O231" s="1" t="str">
        <f t="shared" si="0"/>
        <v>Water - 2203</v>
      </c>
      <c r="P231" s="1" t="s">
        <v>394</v>
      </c>
      <c r="Q231" s="1">
        <v>1</v>
      </c>
      <c r="S231" s="1" t="s">
        <v>1489</v>
      </c>
      <c r="T231" s="1" t="s">
        <v>1492</v>
      </c>
      <c r="U231" s="1" t="s">
        <v>1482</v>
      </c>
      <c r="V231" s="1">
        <f t="shared" si="1"/>
        <v>230</v>
      </c>
      <c r="W231" s="1">
        <f t="shared" si="2"/>
        <v>0.41307308216068994</v>
      </c>
    </row>
    <row r="232" spans="1:23" x14ac:dyDescent="0.2">
      <c r="A232" s="1">
        <v>231</v>
      </c>
      <c r="B232" s="1" t="s">
        <v>1493</v>
      </c>
      <c r="C232" s="1" t="s">
        <v>750</v>
      </c>
      <c r="D232" s="1" t="s">
        <v>596</v>
      </c>
      <c r="E232" s="1" t="s">
        <v>1460</v>
      </c>
      <c r="F232" s="1" t="s">
        <v>109</v>
      </c>
      <c r="G232" s="1">
        <f>IF(ISNA(VLOOKUP(F232,Monster!B:E,4,FALSE)),0,VLOOKUP(F232,Monster!B:E,4,FALSE))</f>
        <v>11</v>
      </c>
      <c r="I232" s="1" t="s">
        <v>1494</v>
      </c>
      <c r="J232" s="1">
        <v>1293</v>
      </c>
      <c r="K232" s="1">
        <v>0</v>
      </c>
      <c r="L232" s="1">
        <v>910</v>
      </c>
      <c r="M232" s="1" t="s">
        <v>41</v>
      </c>
      <c r="N232" s="1">
        <f>((NOT(ISNA(VLOOKUP(M232,Monster!$H$2:$I$6,2,FALSE)))*L232)+J232)*(1+K232/100*0.25)</f>
        <v>2203</v>
      </c>
      <c r="O232" s="1" t="str">
        <f t="shared" si="0"/>
        <v>Fire - 2203</v>
      </c>
      <c r="P232" s="1" t="s">
        <v>543</v>
      </c>
      <c r="Q232" s="1">
        <v>1</v>
      </c>
      <c r="S232" s="1" t="s">
        <v>1495</v>
      </c>
      <c r="T232" s="1" t="s">
        <v>1476</v>
      </c>
      <c r="U232" s="1" t="s">
        <v>1482</v>
      </c>
      <c r="V232" s="1">
        <f t="shared" si="1"/>
        <v>231</v>
      </c>
      <c r="W232" s="1">
        <f t="shared" si="2"/>
        <v>0.41307308216068994</v>
      </c>
    </row>
    <row r="233" spans="1:23" x14ac:dyDescent="0.2">
      <c r="A233" s="1">
        <v>232</v>
      </c>
      <c r="B233" s="1" t="s">
        <v>1496</v>
      </c>
      <c r="C233" s="1" t="s">
        <v>756</v>
      </c>
      <c r="D233" s="1" t="s">
        <v>596</v>
      </c>
      <c r="E233" s="1" t="s">
        <v>1460</v>
      </c>
      <c r="F233" s="1" t="s">
        <v>119</v>
      </c>
      <c r="G233" s="1">
        <f>IF(ISNA(VLOOKUP(F233,Monster!B:E,4,FALSE)),0,VLOOKUP(F233,Monster!B:E,4,FALSE))</f>
        <v>12</v>
      </c>
      <c r="I233" s="1" t="s">
        <v>1496</v>
      </c>
      <c r="J233" s="1">
        <v>1197</v>
      </c>
      <c r="K233" s="1">
        <v>20</v>
      </c>
      <c r="L233" s="1">
        <v>1154</v>
      </c>
      <c r="M233" s="1" t="s">
        <v>58</v>
      </c>
      <c r="N233" s="1">
        <f>((NOT(ISNA(VLOOKUP(M233,Monster!$H$2:$I$6,2,FALSE)))*L233)+J233)*(1+K233/100*0.25)</f>
        <v>2468.5500000000002</v>
      </c>
      <c r="O233" s="1" t="str">
        <f t="shared" si="0"/>
        <v>Thunder - 2468.55</v>
      </c>
      <c r="P233" s="1" t="s">
        <v>175</v>
      </c>
      <c r="Q233" s="1">
        <v>1</v>
      </c>
      <c r="S233" s="1" t="s">
        <v>1480</v>
      </c>
      <c r="T233" s="1" t="s">
        <v>1473</v>
      </c>
      <c r="U233" s="1" t="s">
        <v>1469</v>
      </c>
      <c r="V233" s="1">
        <f t="shared" si="1"/>
        <v>232</v>
      </c>
      <c r="W233" s="1">
        <f t="shared" si="2"/>
        <v>0.49085495533815399</v>
      </c>
    </row>
    <row r="234" spans="1:23" x14ac:dyDescent="0.2">
      <c r="A234" s="1">
        <v>233</v>
      </c>
      <c r="B234" s="1" t="s">
        <v>1497</v>
      </c>
      <c r="C234" s="1" t="s">
        <v>761</v>
      </c>
      <c r="D234" s="1" t="s">
        <v>596</v>
      </c>
      <c r="E234" s="1" t="s">
        <v>1460</v>
      </c>
      <c r="F234" s="1" t="s">
        <v>125</v>
      </c>
      <c r="G234" s="1">
        <f>IF(ISNA(VLOOKUP(F234,Monster!B:E,4,FALSE)),0,VLOOKUP(F234,Monster!B:E,4,FALSE))</f>
        <v>13</v>
      </c>
      <c r="I234" s="1" t="s">
        <v>1498</v>
      </c>
      <c r="J234" s="1">
        <v>1516</v>
      </c>
      <c r="K234" s="1">
        <v>0</v>
      </c>
      <c r="L234" s="1">
        <v>496</v>
      </c>
      <c r="M234" s="1" t="s">
        <v>79</v>
      </c>
      <c r="N234" s="1">
        <f>((NOT(ISNA(VLOOKUP(M234,Monster!$H$2:$I$6,2,FALSE)))*L234)+J234)*(1+K234/100*0.25)</f>
        <v>1516</v>
      </c>
      <c r="O234" s="1" t="str">
        <f t="shared" si="0"/>
        <v>Poison - 1516</v>
      </c>
      <c r="P234" s="1" t="s">
        <v>348</v>
      </c>
      <c r="Q234" s="1">
        <v>2</v>
      </c>
      <c r="S234" s="1" t="s">
        <v>1499</v>
      </c>
      <c r="T234" s="1" t="s">
        <v>1500</v>
      </c>
      <c r="U234" s="1" t="s">
        <v>1482</v>
      </c>
      <c r="V234" s="1">
        <f t="shared" si="1"/>
        <v>233</v>
      </c>
      <c r="W234" s="1">
        <f t="shared" si="2"/>
        <v>0.24652087475149106</v>
      </c>
    </row>
    <row r="235" spans="1:23" x14ac:dyDescent="0.2">
      <c r="A235" s="1">
        <v>234</v>
      </c>
      <c r="B235" s="1" t="s">
        <v>1501</v>
      </c>
      <c r="C235" s="1" t="s">
        <v>766</v>
      </c>
      <c r="D235" s="1" t="s">
        <v>596</v>
      </c>
      <c r="E235" s="1" t="s">
        <v>1460</v>
      </c>
      <c r="F235" s="1" t="s">
        <v>131</v>
      </c>
      <c r="G235" s="1">
        <f>IF(ISNA(VLOOKUP(F235,Monster!B:E,4,FALSE)),0,VLOOKUP(F235,Monster!B:E,4,FALSE))</f>
        <v>14</v>
      </c>
      <c r="I235" s="1" t="s">
        <v>1502</v>
      </c>
      <c r="J235" s="1">
        <v>1682</v>
      </c>
      <c r="K235" s="1">
        <v>0</v>
      </c>
      <c r="L235" s="1">
        <v>605</v>
      </c>
      <c r="M235" s="1" t="s">
        <v>41</v>
      </c>
      <c r="N235" s="1">
        <f>((NOT(ISNA(VLOOKUP(M235,Monster!$H$2:$I$6,2,FALSE)))*L235)+J235)*(1+K235/100*0.25)</f>
        <v>2287</v>
      </c>
      <c r="O235" s="1" t="str">
        <f t="shared" si="0"/>
        <v>Fire - 2287</v>
      </c>
      <c r="P235" s="1" t="s">
        <v>253</v>
      </c>
      <c r="Q235" s="1">
        <v>1</v>
      </c>
      <c r="S235" s="1" t="s">
        <v>1472</v>
      </c>
      <c r="T235" s="1" t="s">
        <v>1485</v>
      </c>
      <c r="U235" s="1" t="s">
        <v>1503</v>
      </c>
      <c r="V235" s="1">
        <f t="shared" si="1"/>
        <v>234</v>
      </c>
      <c r="W235" s="1">
        <f t="shared" si="2"/>
        <v>0.26453869698294707</v>
      </c>
    </row>
    <row r="236" spans="1:23" x14ac:dyDescent="0.2">
      <c r="A236" s="1">
        <v>235</v>
      </c>
      <c r="B236" s="1" t="s">
        <v>1504</v>
      </c>
      <c r="C236" s="1" t="s">
        <v>771</v>
      </c>
      <c r="D236" s="1" t="s">
        <v>596</v>
      </c>
      <c r="E236" s="1" t="s">
        <v>1460</v>
      </c>
      <c r="F236" s="1" t="s">
        <v>137</v>
      </c>
      <c r="G236" s="1">
        <f>IF(ISNA(VLOOKUP(F236,Monster!B:E,4,FALSE)),0,VLOOKUP(F236,Monster!B:E,4,FALSE))</f>
        <v>15</v>
      </c>
      <c r="I236" s="1" t="s">
        <v>1504</v>
      </c>
      <c r="J236" s="1">
        <v>1258</v>
      </c>
      <c r="K236" s="1">
        <v>30</v>
      </c>
      <c r="L236" s="1">
        <v>1082</v>
      </c>
      <c r="M236" s="1" t="s">
        <v>41</v>
      </c>
      <c r="N236" s="1">
        <f>((NOT(ISNA(VLOOKUP(M236,Monster!$H$2:$I$6,2,FALSE)))*L236)+J236)*(1+K236/100*0.25)</f>
        <v>2515.5</v>
      </c>
      <c r="O236" s="1" t="str">
        <f t="shared" si="0"/>
        <v>Fire - 2515.5</v>
      </c>
      <c r="P236" s="1" t="s">
        <v>175</v>
      </c>
      <c r="Q236" s="1">
        <v>2</v>
      </c>
      <c r="S236" s="1" t="s">
        <v>1467</v>
      </c>
      <c r="T236" s="1" t="s">
        <v>1464</v>
      </c>
      <c r="U236" s="1" t="s">
        <v>1469</v>
      </c>
      <c r="V236" s="1">
        <f t="shared" si="1"/>
        <v>235</v>
      </c>
      <c r="W236" s="1">
        <f t="shared" si="2"/>
        <v>0.46239316239316242</v>
      </c>
    </row>
    <row r="237" spans="1:23" x14ac:dyDescent="0.2">
      <c r="A237" s="1">
        <v>236</v>
      </c>
      <c r="B237" s="1" t="s">
        <v>1505</v>
      </c>
      <c r="C237" s="1" t="s">
        <v>775</v>
      </c>
      <c r="D237" s="1" t="s">
        <v>596</v>
      </c>
      <c r="E237" s="1" t="s">
        <v>1460</v>
      </c>
      <c r="F237" s="1" t="s">
        <v>146</v>
      </c>
      <c r="G237" s="1">
        <f>IF(ISNA(VLOOKUP(F237,Monster!B:E,4,FALSE)),0,VLOOKUP(F237,Monster!B:E,4,FALSE))</f>
        <v>16</v>
      </c>
      <c r="I237" s="1" t="s">
        <v>1506</v>
      </c>
      <c r="J237" s="1">
        <v>1221</v>
      </c>
      <c r="K237" s="1">
        <v>0</v>
      </c>
      <c r="L237" s="1">
        <v>1142</v>
      </c>
      <c r="M237" s="1" t="s">
        <v>66</v>
      </c>
      <c r="N237" s="1">
        <f>((NOT(ISNA(VLOOKUP(M237,Monster!$H$2:$I$6,2,FALSE)))*L237)+J237)*(1+K237/100*0.25)</f>
        <v>2363</v>
      </c>
      <c r="O237" s="1" t="str">
        <f t="shared" si="0"/>
        <v>Ice - 2363</v>
      </c>
      <c r="P237" s="1" t="s">
        <v>228</v>
      </c>
      <c r="Q237" s="1">
        <v>2</v>
      </c>
      <c r="S237" s="1" t="s">
        <v>1472</v>
      </c>
      <c r="T237" s="1" t="s">
        <v>1492</v>
      </c>
      <c r="U237" s="1" t="s">
        <v>1507</v>
      </c>
      <c r="V237" s="1">
        <f t="shared" si="1"/>
        <v>236</v>
      </c>
      <c r="W237" s="1">
        <f t="shared" si="2"/>
        <v>0.48328396106644095</v>
      </c>
    </row>
    <row r="238" spans="1:23" x14ac:dyDescent="0.2">
      <c r="A238" s="1">
        <v>237</v>
      </c>
      <c r="B238" s="1" t="s">
        <v>1508</v>
      </c>
      <c r="C238" s="1" t="s">
        <v>779</v>
      </c>
      <c r="D238" s="1" t="s">
        <v>596</v>
      </c>
      <c r="E238" s="1" t="s">
        <v>1460</v>
      </c>
      <c r="F238" s="1" t="s">
        <v>151</v>
      </c>
      <c r="G238" s="1">
        <f>IF(ISNA(VLOOKUP(F238,Monster!B:E,4,FALSE)),0,VLOOKUP(F238,Monster!B:E,4,FALSE))</f>
        <v>17</v>
      </c>
      <c r="I238" s="1" t="s">
        <v>1509</v>
      </c>
      <c r="J238" s="1">
        <v>1979</v>
      </c>
      <c r="K238" s="1">
        <v>0</v>
      </c>
      <c r="L238" s="1">
        <v>0</v>
      </c>
      <c r="M238" s="1" t="s">
        <v>107</v>
      </c>
      <c r="N238" s="1">
        <f>((NOT(ISNA(VLOOKUP(M238,Monster!$H$2:$I$6,2,FALSE)))*L238)+J238)*(1+K238/100*0.25)</f>
        <v>1979</v>
      </c>
      <c r="O238" s="1" t="str">
        <f t="shared" si="0"/>
        <v>No Element - 1979</v>
      </c>
      <c r="P238" s="1" t="s">
        <v>364</v>
      </c>
      <c r="Q238" s="1">
        <v>1</v>
      </c>
      <c r="S238" s="1" t="s">
        <v>1500</v>
      </c>
      <c r="T238" s="1" t="s">
        <v>1485</v>
      </c>
      <c r="U238" s="1" t="s">
        <v>1464</v>
      </c>
      <c r="V238" s="1">
        <f t="shared" si="1"/>
        <v>237</v>
      </c>
      <c r="W238" s="1">
        <f t="shared" si="2"/>
        <v>0</v>
      </c>
    </row>
    <row r="239" spans="1:23" x14ac:dyDescent="0.2">
      <c r="A239" s="1">
        <v>238</v>
      </c>
      <c r="B239" s="1" t="s">
        <v>1510</v>
      </c>
      <c r="C239" s="1" t="s">
        <v>786</v>
      </c>
      <c r="D239" s="1" t="s">
        <v>596</v>
      </c>
      <c r="E239" s="1" t="s">
        <v>1460</v>
      </c>
      <c r="F239" s="1" t="s">
        <v>160</v>
      </c>
      <c r="G239" s="1">
        <f>IF(ISNA(VLOOKUP(F239,Monster!B:E,4,FALSE)),0,VLOOKUP(F239,Monster!B:E,4,FALSE))</f>
        <v>19</v>
      </c>
      <c r="I239" s="1" t="s">
        <v>1511</v>
      </c>
      <c r="J239" s="1">
        <v>1221</v>
      </c>
      <c r="K239" s="1">
        <v>0</v>
      </c>
      <c r="L239" s="1">
        <v>1142</v>
      </c>
      <c r="M239" s="1" t="s">
        <v>41</v>
      </c>
      <c r="N239" s="1">
        <f>((NOT(ISNA(VLOOKUP(M239,Monster!$H$2:$I$6,2,FALSE)))*L239)+J239)*(1+K239/100*0.25)</f>
        <v>2363</v>
      </c>
      <c r="O239" s="1" t="str">
        <f t="shared" si="0"/>
        <v>Fire - 2363</v>
      </c>
      <c r="P239" s="1" t="s">
        <v>244</v>
      </c>
      <c r="Q239" s="1">
        <v>1</v>
      </c>
      <c r="S239" s="1" t="s">
        <v>1512</v>
      </c>
      <c r="T239" s="1" t="s">
        <v>1495</v>
      </c>
      <c r="U239" s="1" t="s">
        <v>1507</v>
      </c>
      <c r="V239" s="1">
        <f t="shared" si="1"/>
        <v>238</v>
      </c>
      <c r="W239" s="1">
        <f t="shared" si="2"/>
        <v>0.48328396106644095</v>
      </c>
    </row>
    <row r="240" spans="1:23" x14ac:dyDescent="0.2">
      <c r="A240" s="1">
        <v>239</v>
      </c>
      <c r="B240" s="1" t="s">
        <v>1513</v>
      </c>
      <c r="C240" s="1" t="s">
        <v>797</v>
      </c>
      <c r="D240" s="1" t="s">
        <v>596</v>
      </c>
      <c r="E240" s="1" t="s">
        <v>1460</v>
      </c>
      <c r="F240" s="1" t="s">
        <v>176</v>
      </c>
      <c r="G240" s="1">
        <f>IF(ISNA(VLOOKUP(F240,Monster!B:E,4,FALSE)),0,VLOOKUP(F240,Monster!B:E,4,FALSE))</f>
        <v>22</v>
      </c>
      <c r="I240" s="1" t="s">
        <v>1514</v>
      </c>
      <c r="J240" s="1">
        <v>1596</v>
      </c>
      <c r="K240" s="1">
        <v>0</v>
      </c>
      <c r="L240" s="1">
        <v>400</v>
      </c>
      <c r="M240" s="1" t="s">
        <v>95</v>
      </c>
      <c r="N240" s="1">
        <f>((NOT(ISNA(VLOOKUP(M240,Monster!$H$2:$I$6,2,FALSE)))*L240)+J240)*(1+K240/100*0.25)</f>
        <v>1596</v>
      </c>
      <c r="O240" s="1" t="str">
        <f t="shared" si="0"/>
        <v>Sleep - 1596</v>
      </c>
      <c r="P240" s="1" t="s">
        <v>213</v>
      </c>
      <c r="Q240" s="1">
        <v>2</v>
      </c>
      <c r="S240" s="1" t="s">
        <v>1481</v>
      </c>
      <c r="T240" s="1" t="s">
        <v>1463</v>
      </c>
      <c r="U240" s="1" t="s">
        <v>1469</v>
      </c>
      <c r="V240" s="1">
        <f t="shared" si="1"/>
        <v>239</v>
      </c>
      <c r="W240" s="1">
        <f t="shared" si="2"/>
        <v>0.20040080160320642</v>
      </c>
    </row>
    <row r="241" spans="1:23" x14ac:dyDescent="0.2">
      <c r="A241" s="1">
        <v>240</v>
      </c>
      <c r="B241" s="1" t="s">
        <v>1515</v>
      </c>
      <c r="C241" s="1" t="s">
        <v>803</v>
      </c>
      <c r="D241" s="1" t="s">
        <v>596</v>
      </c>
      <c r="E241" s="1" t="s">
        <v>1460</v>
      </c>
      <c r="F241" s="1" t="s">
        <v>190</v>
      </c>
      <c r="G241" s="1">
        <f>IF(ISNA(VLOOKUP(F241,Monster!B:E,4,FALSE)),0,VLOOKUP(F241,Monster!B:E,4,FALSE))</f>
        <v>24</v>
      </c>
      <c r="I241" s="1" t="s">
        <v>1515</v>
      </c>
      <c r="J241" s="1">
        <v>1191</v>
      </c>
      <c r="K241" s="1">
        <v>20</v>
      </c>
      <c r="L241" s="1">
        <v>910</v>
      </c>
      <c r="M241" s="1" t="s">
        <v>66</v>
      </c>
      <c r="N241" s="1">
        <f>((NOT(ISNA(VLOOKUP(M241,Monster!$H$2:$I$6,2,FALSE)))*L241)+J241)*(1+K241/100*0.25)</f>
        <v>2206.0500000000002</v>
      </c>
      <c r="O241" s="1" t="str">
        <f t="shared" si="0"/>
        <v>Ice - 2206.05</v>
      </c>
      <c r="P241" s="1" t="s">
        <v>253</v>
      </c>
      <c r="Q241" s="1">
        <v>1</v>
      </c>
      <c r="S241" s="1" t="s">
        <v>1516</v>
      </c>
      <c r="T241" s="1" t="s">
        <v>1476</v>
      </c>
      <c r="U241" s="1" t="s">
        <v>1517</v>
      </c>
      <c r="V241" s="1">
        <f t="shared" si="1"/>
        <v>240</v>
      </c>
      <c r="W241" s="1">
        <f t="shared" si="2"/>
        <v>0.43312708234174202</v>
      </c>
    </row>
    <row r="242" spans="1:23" x14ac:dyDescent="0.2">
      <c r="A242" s="1">
        <v>241</v>
      </c>
      <c r="B242" s="1" t="s">
        <v>1518</v>
      </c>
      <c r="C242" s="1" t="s">
        <v>807</v>
      </c>
      <c r="D242" s="1" t="s">
        <v>596</v>
      </c>
      <c r="E242" s="1" t="s">
        <v>1460</v>
      </c>
      <c r="F242" s="1" t="s">
        <v>193</v>
      </c>
      <c r="G242" s="1">
        <f>IF(ISNA(VLOOKUP(F242,Monster!B:E,4,FALSE)),0,VLOOKUP(F242,Monster!B:E,4,FALSE))</f>
        <v>25</v>
      </c>
      <c r="I242" s="1" t="s">
        <v>1519</v>
      </c>
      <c r="J242" s="1">
        <v>1221</v>
      </c>
      <c r="K242" s="1">
        <v>0</v>
      </c>
      <c r="L242" s="1">
        <v>1142</v>
      </c>
      <c r="M242" s="1" t="s">
        <v>58</v>
      </c>
      <c r="N242" s="1">
        <f>((NOT(ISNA(VLOOKUP(M242,Monster!$H$2:$I$6,2,FALSE)))*L242)+J242)*(1+K242/100*0.25)</f>
        <v>2363</v>
      </c>
      <c r="O242" s="1" t="str">
        <f t="shared" si="0"/>
        <v>Thunder - 2363</v>
      </c>
      <c r="P242" s="1" t="s">
        <v>38</v>
      </c>
      <c r="Q242" s="1">
        <v>1</v>
      </c>
      <c r="S242" s="1" t="s">
        <v>1516</v>
      </c>
      <c r="T242" s="1" t="s">
        <v>1481</v>
      </c>
      <c r="U242" s="1" t="s">
        <v>1520</v>
      </c>
      <c r="V242" s="1">
        <f t="shared" si="1"/>
        <v>241</v>
      </c>
      <c r="W242" s="1">
        <f t="shared" si="2"/>
        <v>0.48328396106644095</v>
      </c>
    </row>
    <row r="243" spans="1:23" x14ac:dyDescent="0.2">
      <c r="A243" s="1">
        <v>242</v>
      </c>
      <c r="B243" s="1" t="s">
        <v>1521</v>
      </c>
      <c r="C243" s="1" t="s">
        <v>821</v>
      </c>
      <c r="D243" s="1" t="s">
        <v>596</v>
      </c>
      <c r="E243" s="1" t="s">
        <v>1460</v>
      </c>
      <c r="F243" s="1" t="s">
        <v>216</v>
      </c>
      <c r="G243" s="1">
        <f>IF(ISNA(VLOOKUP(F243,Monster!B:E,4,FALSE)),0,VLOOKUP(F243,Monster!B:E,4,FALSE))</f>
        <v>29</v>
      </c>
      <c r="I243" s="1" t="s">
        <v>1522</v>
      </c>
      <c r="J243" s="1">
        <v>1318</v>
      </c>
      <c r="K243" s="1">
        <v>-30</v>
      </c>
      <c r="L243" s="1">
        <v>1261</v>
      </c>
      <c r="M243" s="1" t="s">
        <v>71</v>
      </c>
      <c r="N243" s="1">
        <f>((NOT(ISNA(VLOOKUP(M243,Monster!$H$2:$I$6,2,FALSE)))*L243)+J243)*(1+K243/100*0.25)</f>
        <v>2385.5750000000003</v>
      </c>
      <c r="O243" s="1" t="str">
        <f t="shared" si="0"/>
        <v>Dragon - 2385.575</v>
      </c>
      <c r="P243" s="1" t="s">
        <v>492</v>
      </c>
      <c r="Q243" s="1">
        <v>1</v>
      </c>
      <c r="S243" s="1" t="s">
        <v>1516</v>
      </c>
      <c r="T243" s="1" t="s">
        <v>1476</v>
      </c>
      <c r="U243" s="1" t="s">
        <v>1482</v>
      </c>
      <c r="V243" s="1">
        <f t="shared" si="1"/>
        <v>242</v>
      </c>
      <c r="W243" s="1">
        <f t="shared" si="2"/>
        <v>0.4889492051182629</v>
      </c>
    </row>
    <row r="244" spans="1:23" x14ac:dyDescent="0.2">
      <c r="A244" s="1">
        <v>243</v>
      </c>
      <c r="B244" s="1" t="s">
        <v>1523</v>
      </c>
      <c r="C244" s="1" t="s">
        <v>825</v>
      </c>
      <c r="D244" s="1" t="s">
        <v>596</v>
      </c>
      <c r="E244" s="1" t="s">
        <v>1460</v>
      </c>
      <c r="F244" s="1" t="s">
        <v>223</v>
      </c>
      <c r="G244" s="1">
        <f>IF(ISNA(VLOOKUP(F244,Monster!B:E,4,FALSE)),0,VLOOKUP(F244,Monster!B:E,4,FALSE))</f>
        <v>30</v>
      </c>
      <c r="I244" s="1" t="s">
        <v>1524</v>
      </c>
      <c r="J244" s="1">
        <v>1666</v>
      </c>
      <c r="K244" s="1">
        <v>-15</v>
      </c>
      <c r="L244" s="1">
        <v>527</v>
      </c>
      <c r="M244" s="1" t="s">
        <v>41</v>
      </c>
      <c r="N244" s="1">
        <f>((NOT(ISNA(VLOOKUP(M244,Monster!$H$2:$I$6,2,FALSE)))*L244)+J244)*(1+K244/100*0.25)</f>
        <v>2110.7625000000003</v>
      </c>
      <c r="O244" s="1" t="str">
        <f t="shared" si="0"/>
        <v>Fire - 2110.7625</v>
      </c>
      <c r="P244" s="1" t="s">
        <v>364</v>
      </c>
      <c r="Q244" s="1">
        <v>1</v>
      </c>
      <c r="S244" s="1" t="s">
        <v>1512</v>
      </c>
      <c r="T244" s="1" t="s">
        <v>1463</v>
      </c>
      <c r="U244" s="1" t="s">
        <v>1464</v>
      </c>
      <c r="V244" s="1">
        <f t="shared" si="1"/>
        <v>243</v>
      </c>
      <c r="W244" s="1">
        <f t="shared" si="2"/>
        <v>0.24031007751937986</v>
      </c>
    </row>
    <row r="245" spans="1:23" x14ac:dyDescent="0.2">
      <c r="A245" s="1">
        <v>244</v>
      </c>
      <c r="B245" s="1" t="s">
        <v>1525</v>
      </c>
      <c r="C245" s="1" t="s">
        <v>829</v>
      </c>
      <c r="D245" s="1" t="s">
        <v>596</v>
      </c>
      <c r="E245" s="1" t="s">
        <v>1460</v>
      </c>
      <c r="F245" s="1" t="s">
        <v>229</v>
      </c>
      <c r="G245" s="1">
        <f>IF(ISNA(VLOOKUP(F245,Monster!B:E,4,FALSE)),0,VLOOKUP(F245,Monster!B:E,4,FALSE))</f>
        <v>31</v>
      </c>
      <c r="I245" s="1" t="s">
        <v>1526</v>
      </c>
      <c r="J245" s="1">
        <v>1194</v>
      </c>
      <c r="K245" s="1">
        <v>20</v>
      </c>
      <c r="L245" s="1">
        <v>913</v>
      </c>
      <c r="M245" s="1" t="s">
        <v>58</v>
      </c>
      <c r="N245" s="1">
        <f>((NOT(ISNA(VLOOKUP(M245,Monster!$H$2:$I$6,2,FALSE)))*L245)+J245)*(1+K245/100*0.25)</f>
        <v>2212.35</v>
      </c>
      <c r="O245" s="1" t="str">
        <f t="shared" si="0"/>
        <v>Thunder - 2212.35</v>
      </c>
      <c r="P245" s="1" t="s">
        <v>470</v>
      </c>
      <c r="Q245" s="1">
        <v>1</v>
      </c>
      <c r="S245" s="1" t="s">
        <v>1462</v>
      </c>
      <c r="T245" s="1" t="s">
        <v>1468</v>
      </c>
      <c r="U245" s="1" t="s">
        <v>1469</v>
      </c>
      <c r="V245" s="1">
        <f t="shared" si="1"/>
        <v>244</v>
      </c>
      <c r="W245" s="1">
        <f t="shared" si="2"/>
        <v>0.43331751305173233</v>
      </c>
    </row>
    <row r="246" spans="1:23" x14ac:dyDescent="0.2">
      <c r="A246" s="1">
        <v>245</v>
      </c>
      <c r="B246" s="1" t="s">
        <v>1527</v>
      </c>
      <c r="C246" s="1" t="s">
        <v>834</v>
      </c>
      <c r="D246" s="1" t="s">
        <v>596</v>
      </c>
      <c r="E246" s="1" t="s">
        <v>1460</v>
      </c>
      <c r="F246" s="1" t="s">
        <v>234</v>
      </c>
      <c r="G246" s="1">
        <f>IF(ISNA(VLOOKUP(F246,Monster!B:E,4,FALSE)),0,VLOOKUP(F246,Monster!B:E,4,FALSE))</f>
        <v>32</v>
      </c>
      <c r="I246" s="1" t="s">
        <v>1527</v>
      </c>
      <c r="J246" s="1">
        <v>1553</v>
      </c>
      <c r="K246" s="1">
        <v>0</v>
      </c>
      <c r="L246" s="1">
        <v>974</v>
      </c>
      <c r="M246" s="1" t="s">
        <v>66</v>
      </c>
      <c r="N246" s="1">
        <f>((NOT(ISNA(VLOOKUP(M246,Monster!$H$2:$I$6,2,FALSE)))*L246)+J246)*(1+K246/100*0.25)</f>
        <v>2527</v>
      </c>
      <c r="O246" s="1" t="str">
        <f t="shared" si="0"/>
        <v>Ice - 2527</v>
      </c>
      <c r="P246" s="1" t="s">
        <v>528</v>
      </c>
      <c r="Q246" s="1">
        <v>2</v>
      </c>
      <c r="S246" s="1" t="s">
        <v>1489</v>
      </c>
      <c r="T246" s="1" t="s">
        <v>1464</v>
      </c>
      <c r="U246" s="1" t="s">
        <v>1528</v>
      </c>
      <c r="V246" s="1">
        <f t="shared" si="1"/>
        <v>245</v>
      </c>
      <c r="W246" s="1">
        <f t="shared" si="2"/>
        <v>0.38543727740403638</v>
      </c>
    </row>
    <row r="247" spans="1:23" x14ac:dyDescent="0.2">
      <c r="A247" s="1">
        <v>246</v>
      </c>
      <c r="B247" s="1" t="s">
        <v>1529</v>
      </c>
      <c r="C247" s="1" t="s">
        <v>839</v>
      </c>
      <c r="D247" s="1" t="s">
        <v>596</v>
      </c>
      <c r="E247" s="1" t="s">
        <v>1460</v>
      </c>
      <c r="F247" s="1" t="s">
        <v>239</v>
      </c>
      <c r="G247" s="1">
        <f>IF(ISNA(VLOOKUP(F247,Monster!B:E,4,FALSE)),0,VLOOKUP(F247,Monster!B:E,4,FALSE))</f>
        <v>33</v>
      </c>
      <c r="I247" s="1" t="s">
        <v>1530</v>
      </c>
      <c r="J247" s="1">
        <v>1138</v>
      </c>
      <c r="K247" s="1">
        <v>20</v>
      </c>
      <c r="L247" s="1">
        <v>1156</v>
      </c>
      <c r="M247" s="1" t="s">
        <v>50</v>
      </c>
      <c r="N247" s="1">
        <f>((NOT(ISNA(VLOOKUP(M247,Monster!$H$2:$I$6,2,FALSE)))*L247)+J247)*(1+K247/100*0.25)</f>
        <v>2408.7000000000003</v>
      </c>
      <c r="O247" s="1" t="str">
        <f t="shared" si="0"/>
        <v>Water - 2408.7</v>
      </c>
      <c r="P247" s="1" t="s">
        <v>38</v>
      </c>
      <c r="Q247" s="1">
        <v>1</v>
      </c>
      <c r="S247" s="1" t="s">
        <v>1499</v>
      </c>
      <c r="T247" s="1" t="s">
        <v>1473</v>
      </c>
      <c r="U247" s="1" t="s">
        <v>1517</v>
      </c>
      <c r="V247" s="1">
        <f t="shared" si="1"/>
        <v>246</v>
      </c>
      <c r="W247" s="1">
        <f t="shared" si="2"/>
        <v>0.50392327811682647</v>
      </c>
    </row>
    <row r="248" spans="1:23" x14ac:dyDescent="0.2">
      <c r="A248" s="1">
        <v>247</v>
      </c>
      <c r="B248" s="1" t="s">
        <v>1531</v>
      </c>
      <c r="C248" s="1" t="s">
        <v>845</v>
      </c>
      <c r="D248" s="1" t="s">
        <v>596</v>
      </c>
      <c r="E248" s="1" t="s">
        <v>1460</v>
      </c>
      <c r="F248" s="1" t="s">
        <v>245</v>
      </c>
      <c r="G248" s="1">
        <f>IF(ISNA(VLOOKUP(F248,Monster!B:E,4,FALSE)),0,VLOOKUP(F248,Monster!B:E,4,FALSE))</f>
        <v>34</v>
      </c>
      <c r="I248" s="1" t="s">
        <v>1531</v>
      </c>
      <c r="J248" s="1">
        <v>1684</v>
      </c>
      <c r="K248" s="1">
        <v>0</v>
      </c>
      <c r="L248" s="1">
        <v>502</v>
      </c>
      <c r="M248" s="1" t="s">
        <v>100</v>
      </c>
      <c r="N248" s="1">
        <f>((NOT(ISNA(VLOOKUP(M248,Monster!$H$2:$I$6,2,FALSE)))*L248)+J248)*(1+K248/100*0.25)</f>
        <v>1684</v>
      </c>
      <c r="O248" s="1" t="str">
        <f t="shared" si="0"/>
        <v>Blast - 1684</v>
      </c>
      <c r="P248" s="1" t="s">
        <v>364</v>
      </c>
      <c r="Q248" s="1">
        <v>2</v>
      </c>
      <c r="S248" s="1" t="s">
        <v>1532</v>
      </c>
      <c r="T248" s="1" t="s">
        <v>1533</v>
      </c>
      <c r="U248" s="1" t="s">
        <v>1534</v>
      </c>
      <c r="V248" s="1">
        <f t="shared" si="1"/>
        <v>247</v>
      </c>
      <c r="W248" s="1">
        <f t="shared" si="2"/>
        <v>0.22964318389752975</v>
      </c>
    </row>
    <row r="249" spans="1:23" x14ac:dyDescent="0.2">
      <c r="A249" s="1">
        <v>248</v>
      </c>
      <c r="B249" s="1" t="s">
        <v>1535</v>
      </c>
      <c r="C249" s="1" t="s">
        <v>853</v>
      </c>
      <c r="D249" s="1" t="s">
        <v>596</v>
      </c>
      <c r="E249" s="1" t="s">
        <v>1460</v>
      </c>
      <c r="F249" s="1" t="s">
        <v>256</v>
      </c>
      <c r="G249" s="1">
        <f>IF(ISNA(VLOOKUP(F249,Monster!B:E,4,FALSE)),0,VLOOKUP(F249,Monster!B:E,4,FALSE))</f>
        <v>36</v>
      </c>
      <c r="I249" s="1" t="s">
        <v>1536</v>
      </c>
      <c r="J249" s="1">
        <v>1516</v>
      </c>
      <c r="K249" s="1">
        <v>0</v>
      </c>
      <c r="L249" s="1">
        <v>496</v>
      </c>
      <c r="M249" s="1" t="s">
        <v>100</v>
      </c>
      <c r="N249" s="1">
        <f>((NOT(ISNA(VLOOKUP(M249,Monster!$H$2:$I$6,2,FALSE)))*L249)+J249)*(1+K249/100*0.25)</f>
        <v>1516</v>
      </c>
      <c r="O249" s="1" t="str">
        <f t="shared" si="0"/>
        <v>Blast - 1516</v>
      </c>
      <c r="P249" s="1" t="s">
        <v>463</v>
      </c>
      <c r="Q249" s="1">
        <v>1</v>
      </c>
      <c r="S249" s="1" t="s">
        <v>1475</v>
      </c>
      <c r="T249" s="1" t="s">
        <v>1481</v>
      </c>
      <c r="U249" s="1" t="s">
        <v>1507</v>
      </c>
      <c r="V249" s="1">
        <f t="shared" si="1"/>
        <v>248</v>
      </c>
      <c r="W249" s="1">
        <f t="shared" si="2"/>
        <v>0.24652087475149106</v>
      </c>
    </row>
    <row r="250" spans="1:23" x14ac:dyDescent="0.2">
      <c r="A250" s="1">
        <v>249</v>
      </c>
      <c r="B250" s="1" t="s">
        <v>1537</v>
      </c>
      <c r="C250" s="1" t="s">
        <v>857</v>
      </c>
      <c r="D250" s="1" t="s">
        <v>596</v>
      </c>
      <c r="E250" s="1" t="s">
        <v>1460</v>
      </c>
      <c r="F250" s="1" t="s">
        <v>263</v>
      </c>
      <c r="G250" s="1">
        <f>IF(ISNA(VLOOKUP(F250,Monster!B:E,4,FALSE)),0,VLOOKUP(F250,Monster!B:E,4,FALSE))</f>
        <v>37</v>
      </c>
      <c r="I250" s="1" t="s">
        <v>1538</v>
      </c>
      <c r="J250" s="1">
        <v>1318</v>
      </c>
      <c r="K250" s="1">
        <v>-30</v>
      </c>
      <c r="L250" s="1">
        <v>1261</v>
      </c>
      <c r="M250" s="1" t="s">
        <v>58</v>
      </c>
      <c r="N250" s="1">
        <f>((NOT(ISNA(VLOOKUP(M250,Monster!$H$2:$I$6,2,FALSE)))*L250)+J250)*(1+K250/100*0.25)</f>
        <v>2385.5750000000003</v>
      </c>
      <c r="O250" s="1" t="str">
        <f t="shared" si="0"/>
        <v>Thunder - 2385.575</v>
      </c>
      <c r="P250" s="1" t="s">
        <v>509</v>
      </c>
      <c r="Q250" s="1">
        <v>1</v>
      </c>
      <c r="S250" s="1" t="s">
        <v>1539</v>
      </c>
      <c r="T250" s="1" t="s">
        <v>1492</v>
      </c>
      <c r="U250" s="1" t="s">
        <v>1507</v>
      </c>
      <c r="V250" s="1">
        <f t="shared" si="1"/>
        <v>249</v>
      </c>
      <c r="W250" s="1">
        <f t="shared" si="2"/>
        <v>0.4889492051182629</v>
      </c>
    </row>
    <row r="251" spans="1:23" x14ac:dyDescent="0.2">
      <c r="A251" s="1">
        <v>250</v>
      </c>
      <c r="B251" s="1" t="s">
        <v>1540</v>
      </c>
      <c r="C251" s="1" t="s">
        <v>863</v>
      </c>
      <c r="D251" s="1" t="s">
        <v>596</v>
      </c>
      <c r="E251" s="1" t="s">
        <v>1460</v>
      </c>
      <c r="F251" s="1" t="s">
        <v>268</v>
      </c>
      <c r="G251" s="1">
        <f>IF(ISNA(VLOOKUP(F251,Monster!B:E,4,FALSE)),0,VLOOKUP(F251,Monster!B:E,4,FALSE))</f>
        <v>38</v>
      </c>
      <c r="I251" s="1" t="s">
        <v>1540</v>
      </c>
      <c r="J251" s="1">
        <v>1553</v>
      </c>
      <c r="K251" s="1">
        <v>0</v>
      </c>
      <c r="L251" s="1">
        <v>974</v>
      </c>
      <c r="M251" s="1" t="s">
        <v>71</v>
      </c>
      <c r="N251" s="1">
        <f>((NOT(ISNA(VLOOKUP(M251,Monster!$H$2:$I$6,2,FALSE)))*L251)+J251)*(1+K251/100*0.25)</f>
        <v>2527</v>
      </c>
      <c r="O251" s="1" t="str">
        <f t="shared" si="0"/>
        <v>Dragon - 2527</v>
      </c>
      <c r="P251" s="1" t="s">
        <v>463</v>
      </c>
      <c r="Q251" s="1">
        <v>2</v>
      </c>
      <c r="S251" s="1" t="s">
        <v>1539</v>
      </c>
      <c r="T251" s="1" t="s">
        <v>1481</v>
      </c>
      <c r="U251" s="1" t="s">
        <v>1507</v>
      </c>
      <c r="V251" s="1">
        <f t="shared" si="1"/>
        <v>250</v>
      </c>
      <c r="W251" s="1">
        <f t="shared" si="2"/>
        <v>0.38543727740403638</v>
      </c>
    </row>
    <row r="252" spans="1:23" x14ac:dyDescent="0.2">
      <c r="A252" s="1">
        <v>251</v>
      </c>
      <c r="B252" s="1" t="s">
        <v>1541</v>
      </c>
      <c r="C252" s="1" t="s">
        <v>872</v>
      </c>
      <c r="D252" s="1" t="s">
        <v>596</v>
      </c>
      <c r="E252" s="1" t="s">
        <v>1460</v>
      </c>
      <c r="F252" s="1" t="s">
        <v>288</v>
      </c>
      <c r="G252" s="1">
        <f>IF(ISNA(VLOOKUP(F252,Monster!B:E,4,FALSE)),0,VLOOKUP(F252,Monster!B:E,4,FALSE))</f>
        <v>41</v>
      </c>
      <c r="I252" s="1" t="s">
        <v>1542</v>
      </c>
      <c r="J252" s="1">
        <v>1567</v>
      </c>
      <c r="K252" s="1">
        <v>-15</v>
      </c>
      <c r="L252" s="1">
        <v>496</v>
      </c>
      <c r="M252" s="1" t="s">
        <v>95</v>
      </c>
      <c r="N252" s="1">
        <f>((NOT(ISNA(VLOOKUP(M252,Monster!$H$2:$I$6,2,FALSE)))*L252)+J252)*(1+K252/100*0.25)</f>
        <v>1508.2375</v>
      </c>
      <c r="O252" s="1" t="str">
        <f t="shared" si="0"/>
        <v>Sleep - 1508.2375</v>
      </c>
      <c r="P252" s="1" t="s">
        <v>253</v>
      </c>
      <c r="Q252" s="1">
        <v>1</v>
      </c>
      <c r="S252" s="1" t="s">
        <v>1467</v>
      </c>
      <c r="T252" s="1" t="s">
        <v>1481</v>
      </c>
      <c r="U252" s="1" t="s">
        <v>1507</v>
      </c>
      <c r="V252" s="1">
        <f t="shared" si="1"/>
        <v>251</v>
      </c>
      <c r="W252" s="1">
        <f t="shared" si="2"/>
        <v>0.24042656325739215</v>
      </c>
    </row>
    <row r="253" spans="1:23" x14ac:dyDescent="0.2">
      <c r="A253" s="1">
        <v>252</v>
      </c>
      <c r="B253" s="1" t="s">
        <v>1543</v>
      </c>
      <c r="C253" s="1" t="s">
        <v>875</v>
      </c>
      <c r="D253" s="1" t="s">
        <v>596</v>
      </c>
      <c r="E253" s="1" t="s">
        <v>1460</v>
      </c>
      <c r="F253" s="1" t="s">
        <v>293</v>
      </c>
      <c r="G253" s="1">
        <f>IF(ISNA(VLOOKUP(F253,Monster!B:E,4,FALSE)),0,VLOOKUP(F253,Monster!B:E,4,FALSE))</f>
        <v>42</v>
      </c>
      <c r="I253" s="1" t="s">
        <v>1544</v>
      </c>
      <c r="J253" s="1">
        <v>2198</v>
      </c>
      <c r="K253" s="1">
        <v>-40</v>
      </c>
      <c r="L253" s="1">
        <v>0</v>
      </c>
      <c r="M253" s="1" t="s">
        <v>107</v>
      </c>
      <c r="N253" s="1">
        <f>((NOT(ISNA(VLOOKUP(M253,Monster!$H$2:$I$6,2,FALSE)))*L253)+J253)*(1+K253/100*0.25)</f>
        <v>1978.2</v>
      </c>
      <c r="O253" s="1" t="str">
        <f t="shared" si="0"/>
        <v>No Element - 1978.2</v>
      </c>
      <c r="P253" s="1" t="s">
        <v>194</v>
      </c>
      <c r="Q253" s="1">
        <v>1</v>
      </c>
      <c r="S253" s="1" t="s">
        <v>1480</v>
      </c>
      <c r="T253" s="1" t="s">
        <v>1495</v>
      </c>
      <c r="U253" s="1" t="s">
        <v>1469</v>
      </c>
      <c r="V253" s="1">
        <f t="shared" si="1"/>
        <v>252</v>
      </c>
      <c r="W253" s="1">
        <f t="shared" si="2"/>
        <v>0</v>
      </c>
    </row>
    <row r="254" spans="1:23" x14ac:dyDescent="0.2">
      <c r="A254" s="1">
        <v>253</v>
      </c>
      <c r="B254" s="1" t="s">
        <v>1545</v>
      </c>
      <c r="C254" s="1" t="s">
        <v>880</v>
      </c>
      <c r="D254" s="1" t="s">
        <v>596</v>
      </c>
      <c r="E254" s="1" t="s">
        <v>1460</v>
      </c>
      <c r="F254" s="1" t="s">
        <v>298</v>
      </c>
      <c r="G254" s="1">
        <f>IF(ISNA(VLOOKUP(F254,Monster!B:E,4,FALSE)),0,VLOOKUP(F254,Monster!B:E,4,FALSE))</f>
        <v>43</v>
      </c>
      <c r="I254" s="1" t="s">
        <v>1546</v>
      </c>
      <c r="J254" s="1">
        <v>2198</v>
      </c>
      <c r="K254" s="1">
        <v>-10</v>
      </c>
      <c r="L254" s="1">
        <v>0</v>
      </c>
      <c r="M254" s="1" t="s">
        <v>107</v>
      </c>
      <c r="N254" s="1">
        <f>((NOT(ISNA(VLOOKUP(M254,Monster!$H$2:$I$6,2,FALSE)))*L254)+J254)*(1+K254/100*0.25)</f>
        <v>2143.0499999999997</v>
      </c>
      <c r="O254" s="1" t="str">
        <f t="shared" si="0"/>
        <v>No Element - 2143.05</v>
      </c>
      <c r="P254" s="1" t="s">
        <v>492</v>
      </c>
      <c r="Q254" s="1">
        <v>5</v>
      </c>
      <c r="S254" s="1" t="s">
        <v>1500</v>
      </c>
      <c r="T254" s="1" t="s">
        <v>1473</v>
      </c>
      <c r="U254" s="1" t="s">
        <v>1482</v>
      </c>
      <c r="V254" s="1">
        <f t="shared" si="1"/>
        <v>253</v>
      </c>
      <c r="W254" s="1">
        <f t="shared" si="2"/>
        <v>0</v>
      </c>
    </row>
    <row r="255" spans="1:23" x14ac:dyDescent="0.2">
      <c r="A255" s="1">
        <v>254</v>
      </c>
      <c r="B255" s="1" t="s">
        <v>1547</v>
      </c>
      <c r="C255" s="1" t="s">
        <v>885</v>
      </c>
      <c r="D255" s="1" t="s">
        <v>596</v>
      </c>
      <c r="E255" s="1" t="s">
        <v>1460</v>
      </c>
      <c r="F255" s="1" t="s">
        <v>302</v>
      </c>
      <c r="G255" s="1">
        <f>IF(ISNA(VLOOKUP(F255,Monster!B:E,4,FALSE)),0,VLOOKUP(F255,Monster!B:E,4,FALSE))</f>
        <v>44</v>
      </c>
      <c r="I255" s="1" t="s">
        <v>1547</v>
      </c>
      <c r="J255" s="1">
        <v>1205</v>
      </c>
      <c r="K255" s="1">
        <v>0</v>
      </c>
      <c r="L255" s="1">
        <v>1305</v>
      </c>
      <c r="M255" s="1" t="s">
        <v>58</v>
      </c>
      <c r="N255" s="1">
        <f>((NOT(ISNA(VLOOKUP(M255,Monster!$H$2:$I$6,2,FALSE)))*L255)+J255)*(1+K255/100*0.25)</f>
        <v>2510</v>
      </c>
      <c r="O255" s="1" t="str">
        <f t="shared" si="0"/>
        <v>Thunder - 2510</v>
      </c>
      <c r="P255" s="1" t="s">
        <v>400</v>
      </c>
      <c r="Q255" s="1">
        <v>1</v>
      </c>
      <c r="S255" s="1" t="s">
        <v>1500</v>
      </c>
      <c r="T255" s="1" t="s">
        <v>1495</v>
      </c>
      <c r="U255" s="1" t="s">
        <v>1517</v>
      </c>
      <c r="V255" s="1">
        <f t="shared" si="1"/>
        <v>254</v>
      </c>
      <c r="W255" s="1">
        <f t="shared" si="2"/>
        <v>0.51992031872509958</v>
      </c>
    </row>
    <row r="256" spans="1:23" x14ac:dyDescent="0.2">
      <c r="A256" s="1">
        <v>255</v>
      </c>
      <c r="B256" s="1" t="s">
        <v>1548</v>
      </c>
      <c r="C256" s="1" t="s">
        <v>922</v>
      </c>
      <c r="D256" s="1" t="s">
        <v>596</v>
      </c>
      <c r="E256" s="1" t="s">
        <v>1460</v>
      </c>
      <c r="F256" s="1" t="s">
        <v>349</v>
      </c>
      <c r="G256" s="1">
        <f>IF(ISNA(VLOOKUP(F256,Monster!B:E,4,FALSE)),0,VLOOKUP(F256,Monster!B:E,4,FALSE))</f>
        <v>53</v>
      </c>
      <c r="I256" s="1" t="s">
        <v>1549</v>
      </c>
      <c r="J256" s="1">
        <v>1738</v>
      </c>
      <c r="K256" s="1">
        <v>40</v>
      </c>
      <c r="L256" s="1">
        <v>0</v>
      </c>
      <c r="M256" s="1" t="s">
        <v>107</v>
      </c>
      <c r="N256" s="1">
        <f>((NOT(ISNA(VLOOKUP(M256,Monster!$H$2:$I$6,2,FALSE)))*L256)+J256)*(1+K256/100*0.25)</f>
        <v>1911.8000000000002</v>
      </c>
      <c r="O256" s="1" t="str">
        <f t="shared" si="0"/>
        <v>No Element - 1911.8</v>
      </c>
      <c r="P256" s="1" t="s">
        <v>535</v>
      </c>
      <c r="Q256" s="1">
        <v>2</v>
      </c>
      <c r="S256" s="1" t="s">
        <v>1473</v>
      </c>
      <c r="T256" s="1" t="s">
        <v>1468</v>
      </c>
      <c r="U256" s="1" t="s">
        <v>1534</v>
      </c>
      <c r="V256" s="1">
        <f t="shared" si="1"/>
        <v>255</v>
      </c>
      <c r="W256" s="1">
        <f t="shared" si="2"/>
        <v>0</v>
      </c>
    </row>
    <row r="257" spans="1:37" x14ac:dyDescent="0.2">
      <c r="A257" s="1">
        <v>256</v>
      </c>
      <c r="B257" s="1" t="s">
        <v>1550</v>
      </c>
      <c r="C257" s="1" t="s">
        <v>926</v>
      </c>
      <c r="D257" s="1" t="s">
        <v>596</v>
      </c>
      <c r="E257" s="1" t="s">
        <v>1460</v>
      </c>
      <c r="F257" s="1" t="s">
        <v>354</v>
      </c>
      <c r="G257" s="1">
        <f>IF(ISNA(VLOOKUP(F257,Monster!B:E,4,FALSE)),0,VLOOKUP(F257,Monster!B:E,4,FALSE))</f>
        <v>54</v>
      </c>
      <c r="I257" s="1" t="s">
        <v>1550</v>
      </c>
      <c r="J257" s="1">
        <v>1328</v>
      </c>
      <c r="K257" s="1">
        <v>20</v>
      </c>
      <c r="L257" s="1">
        <v>1074</v>
      </c>
      <c r="M257" s="1" t="s">
        <v>50</v>
      </c>
      <c r="N257" s="1">
        <f>((NOT(ISNA(VLOOKUP(M257,Monster!$H$2:$I$6,2,FALSE)))*L257)+J257)*(1+K257/100*0.25)</f>
        <v>2522.1</v>
      </c>
      <c r="O257" s="1" t="str">
        <f t="shared" ref="O257:O511" si="3">M257&amp;" - "&amp;N257</f>
        <v>Water - 2522.1</v>
      </c>
      <c r="P257" s="1" t="s">
        <v>677</v>
      </c>
      <c r="Q257" s="1">
        <v>1</v>
      </c>
      <c r="S257" s="1" t="s">
        <v>1551</v>
      </c>
      <c r="T257" s="1" t="s">
        <v>1468</v>
      </c>
      <c r="U257" s="1" t="s">
        <v>1469</v>
      </c>
      <c r="V257" s="1">
        <f t="shared" ref="V257:V511" si="4">A257</f>
        <v>256</v>
      </c>
      <c r="W257" s="1">
        <f t="shared" ref="W257:W511" si="5">L257/(J257+L257)</f>
        <v>0.44712739383846795</v>
      </c>
    </row>
    <row r="258" spans="1:37" x14ac:dyDescent="0.2">
      <c r="A258" s="1">
        <v>257</v>
      </c>
      <c r="B258" s="1" t="s">
        <v>1552</v>
      </c>
      <c r="C258" s="1" t="s">
        <v>930</v>
      </c>
      <c r="D258" s="1" t="s">
        <v>596</v>
      </c>
      <c r="E258" s="1" t="s">
        <v>1460</v>
      </c>
      <c r="F258" s="1" t="s">
        <v>360</v>
      </c>
      <c r="G258" s="1">
        <f>IF(ISNA(VLOOKUP(F258,Monster!B:E,4,FALSE)),0,VLOOKUP(F258,Monster!B:E,4,FALSE))</f>
        <v>55</v>
      </c>
      <c r="I258" s="1" t="s">
        <v>1553</v>
      </c>
      <c r="J258" s="1">
        <v>1979</v>
      </c>
      <c r="K258" s="1">
        <v>0</v>
      </c>
      <c r="L258" s="1">
        <v>0</v>
      </c>
      <c r="M258" s="1" t="s">
        <v>107</v>
      </c>
      <c r="N258" s="1">
        <f>((NOT(ISNA(VLOOKUP(M258,Monster!$H$2:$I$6,2,FALSE)))*L258)+J258)*(1+K258/100*0.25)</f>
        <v>1979</v>
      </c>
      <c r="O258" s="1" t="str">
        <f t="shared" si="3"/>
        <v>No Element - 1979</v>
      </c>
      <c r="P258" s="1" t="s">
        <v>515</v>
      </c>
      <c r="Q258" s="1">
        <v>1</v>
      </c>
      <c r="S258" s="1" t="s">
        <v>1462</v>
      </c>
      <c r="T258" s="1" t="s">
        <v>1464</v>
      </c>
      <c r="U258" s="1" t="s">
        <v>1469</v>
      </c>
      <c r="V258" s="1">
        <f t="shared" si="4"/>
        <v>257</v>
      </c>
      <c r="W258" s="1">
        <f t="shared" si="5"/>
        <v>0</v>
      </c>
    </row>
    <row r="259" spans="1:37" x14ac:dyDescent="0.2">
      <c r="A259" s="1">
        <v>258</v>
      </c>
      <c r="B259" s="1" t="s">
        <v>1554</v>
      </c>
      <c r="C259" s="1" t="s">
        <v>934</v>
      </c>
      <c r="D259" s="1" t="s">
        <v>596</v>
      </c>
      <c r="E259" s="1" t="s">
        <v>1460</v>
      </c>
      <c r="F259" s="1" t="s">
        <v>365</v>
      </c>
      <c r="G259" s="1">
        <f>IF(ISNA(VLOOKUP(F259,Monster!B:E,4,FALSE)),0,VLOOKUP(F259,Monster!B:E,4,FALSE))</f>
        <v>56</v>
      </c>
      <c r="I259" s="1" t="s">
        <v>1555</v>
      </c>
      <c r="J259" s="1">
        <v>1020</v>
      </c>
      <c r="K259" s="1">
        <v>0</v>
      </c>
      <c r="L259" s="1">
        <v>1173</v>
      </c>
      <c r="M259" s="1" t="s">
        <v>66</v>
      </c>
      <c r="N259" s="1">
        <f>((NOT(ISNA(VLOOKUP(M259,Monster!$H$2:$I$6,2,FALSE)))*L259)+J259)*(1+K259/100*0.25)</f>
        <v>2193</v>
      </c>
      <c r="O259" s="1" t="str">
        <f t="shared" si="3"/>
        <v>Ice - 2193</v>
      </c>
      <c r="P259" s="1" t="s">
        <v>659</v>
      </c>
      <c r="Q259" s="1">
        <v>1</v>
      </c>
      <c r="S259" s="1" t="s">
        <v>1516</v>
      </c>
      <c r="T259" s="1" t="s">
        <v>1467</v>
      </c>
      <c r="U259" s="1" t="s">
        <v>1482</v>
      </c>
      <c r="V259" s="1">
        <f t="shared" si="4"/>
        <v>258</v>
      </c>
      <c r="W259" s="1">
        <f t="shared" si="5"/>
        <v>0.53488372093023251</v>
      </c>
    </row>
    <row r="260" spans="1:37" x14ac:dyDescent="0.2">
      <c r="A260" s="1">
        <v>259</v>
      </c>
      <c r="B260" s="1" t="s">
        <v>1556</v>
      </c>
      <c r="C260" s="1" t="s">
        <v>939</v>
      </c>
      <c r="D260" s="1" t="s">
        <v>596</v>
      </c>
      <c r="E260" s="1" t="s">
        <v>1460</v>
      </c>
      <c r="F260" s="1" t="s">
        <v>370</v>
      </c>
      <c r="G260" s="1">
        <f>IF(ISNA(VLOOKUP(F260,Monster!B:E,4,FALSE)),0,VLOOKUP(F260,Monster!B:E,4,FALSE))</f>
        <v>57</v>
      </c>
      <c r="I260" s="1" t="s">
        <v>1557</v>
      </c>
      <c r="J260" s="1">
        <v>1756</v>
      </c>
      <c r="K260" s="1">
        <v>20</v>
      </c>
      <c r="L260" s="1">
        <v>282</v>
      </c>
      <c r="M260" s="1" t="s">
        <v>79</v>
      </c>
      <c r="N260" s="1">
        <f>((NOT(ISNA(VLOOKUP(M260,Monster!$H$2:$I$6,2,FALSE)))*L260)+J260)*(1+K260/100*0.25)</f>
        <v>1843.8000000000002</v>
      </c>
      <c r="O260" s="1" t="str">
        <f t="shared" si="3"/>
        <v>Poison - 1843.8</v>
      </c>
      <c r="P260" s="1" t="s">
        <v>615</v>
      </c>
      <c r="Q260" s="1">
        <v>2</v>
      </c>
      <c r="S260" s="1" t="s">
        <v>1539</v>
      </c>
      <c r="T260" s="1" t="s">
        <v>1481</v>
      </c>
      <c r="U260" s="1" t="s">
        <v>1517</v>
      </c>
      <c r="V260" s="1">
        <f t="shared" si="4"/>
        <v>259</v>
      </c>
      <c r="W260" s="1">
        <f t="shared" si="5"/>
        <v>0.13837095191364082</v>
      </c>
    </row>
    <row r="261" spans="1:37" x14ac:dyDescent="0.2">
      <c r="A261" s="1">
        <v>260</v>
      </c>
      <c r="B261" s="3" t="s">
        <v>1558</v>
      </c>
      <c r="C261" s="3" t="s">
        <v>943</v>
      </c>
      <c r="D261" s="3" t="s">
        <v>596</v>
      </c>
      <c r="E261" s="1" t="s">
        <v>1460</v>
      </c>
      <c r="F261" s="3" t="s">
        <v>374</v>
      </c>
      <c r="G261" s="4">
        <f>IF(ISNA(VLOOKUP(F261,Monster!B:E,4,FALSE)),0,VLOOKUP(F261,Monster!B:E,4,FALSE))</f>
        <v>58</v>
      </c>
      <c r="H261" s="3"/>
      <c r="I261" s="3" t="s">
        <v>1558</v>
      </c>
      <c r="J261" s="4">
        <v>1205</v>
      </c>
      <c r="K261" s="4">
        <v>0</v>
      </c>
      <c r="L261" s="4">
        <v>1305</v>
      </c>
      <c r="M261" s="3" t="s">
        <v>71</v>
      </c>
      <c r="N261" s="4">
        <f>((NOT(ISNA(VLOOKUP(M261,Monster!$H$2:$I$6,2,FALSE)))*L261)+J261)*(1+K261/100*0.25)</f>
        <v>2510</v>
      </c>
      <c r="O261" s="1" t="str">
        <f t="shared" si="3"/>
        <v>Dragon - 2510</v>
      </c>
      <c r="P261" s="3" t="s">
        <v>689</v>
      </c>
      <c r="Q261" s="4">
        <v>1</v>
      </c>
      <c r="R261" s="3" t="s">
        <v>372</v>
      </c>
      <c r="S261" s="1" t="s">
        <v>1473</v>
      </c>
      <c r="T261" s="1" t="s">
        <v>1533</v>
      </c>
      <c r="U261" s="1" t="s">
        <v>1469</v>
      </c>
      <c r="V261" s="1">
        <f t="shared" si="4"/>
        <v>260</v>
      </c>
      <c r="W261" s="1">
        <f t="shared" si="5"/>
        <v>0.51992031872509958</v>
      </c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</row>
    <row r="262" spans="1:37" x14ac:dyDescent="0.2">
      <c r="A262" s="1">
        <v>261</v>
      </c>
      <c r="B262" s="1" t="s">
        <v>1559</v>
      </c>
      <c r="C262" s="1" t="s">
        <v>949</v>
      </c>
      <c r="D262" s="1" t="s">
        <v>596</v>
      </c>
      <c r="E262" s="1" t="s">
        <v>1460</v>
      </c>
      <c r="F262" s="1"/>
      <c r="G262" s="1">
        <f>IF(ISNA(VLOOKUP(F262,Monster!B:E,4,FALSE)),0,VLOOKUP(F262,Monster!B:E,4,FALSE))</f>
        <v>0</v>
      </c>
      <c r="I262" s="1" t="s">
        <v>1560</v>
      </c>
      <c r="J262" s="1">
        <v>1596</v>
      </c>
      <c r="K262" s="1">
        <v>0</v>
      </c>
      <c r="L262" s="1">
        <v>0</v>
      </c>
      <c r="M262" s="1" t="s">
        <v>107</v>
      </c>
      <c r="N262" s="1">
        <f>((NOT(ISNA(VLOOKUP(M262,Monster!$H$2:$I$6,2,FALSE)))*L262)+J262)*(1+K262/100*0.25)</f>
        <v>1596</v>
      </c>
      <c r="O262" s="1" t="str">
        <f t="shared" si="3"/>
        <v>No Element - 1596</v>
      </c>
      <c r="P262" s="1" t="s">
        <v>158</v>
      </c>
      <c r="Q262" s="1">
        <v>1</v>
      </c>
      <c r="S262" s="1" t="s">
        <v>1473</v>
      </c>
      <c r="T262" s="1" t="s">
        <v>1492</v>
      </c>
      <c r="U262" s="1" t="s">
        <v>1482</v>
      </c>
      <c r="V262" s="1">
        <f t="shared" si="4"/>
        <v>261</v>
      </c>
      <c r="W262" s="1">
        <f t="shared" si="5"/>
        <v>0</v>
      </c>
    </row>
    <row r="263" spans="1:37" x14ac:dyDescent="0.2">
      <c r="A263" s="1">
        <v>262</v>
      </c>
      <c r="B263" s="1" t="s">
        <v>1561</v>
      </c>
      <c r="C263" s="1" t="s">
        <v>1274</v>
      </c>
      <c r="D263" s="1" t="s">
        <v>596</v>
      </c>
      <c r="E263" s="1" t="s">
        <v>1460</v>
      </c>
      <c r="F263" s="1"/>
      <c r="G263" s="1">
        <f>IF(ISNA(VLOOKUP(F263,Monster!B:E,4,FALSE)),0,VLOOKUP(F263,Monster!B:E,4,FALSE))</f>
        <v>0</v>
      </c>
      <c r="I263" s="1" t="s">
        <v>1561</v>
      </c>
      <c r="J263" s="1">
        <v>1596</v>
      </c>
      <c r="K263" s="1">
        <v>0</v>
      </c>
      <c r="L263" s="1">
        <v>400</v>
      </c>
      <c r="M263" s="1" t="s">
        <v>87</v>
      </c>
      <c r="N263" s="1">
        <f>((NOT(ISNA(VLOOKUP(M263,Monster!$H$2:$I$6,2,FALSE)))*L263)+J263)*(1+K263/100*0.25)</f>
        <v>1596</v>
      </c>
      <c r="O263" s="1" t="str">
        <f t="shared" si="3"/>
        <v>Paralysis - 1596</v>
      </c>
      <c r="P263" s="1" t="s">
        <v>560</v>
      </c>
      <c r="Q263" s="1">
        <v>3</v>
      </c>
      <c r="S263" s="1" t="s">
        <v>1485</v>
      </c>
      <c r="T263" s="1" t="s">
        <v>1463</v>
      </c>
      <c r="U263" s="1" t="s">
        <v>1464</v>
      </c>
      <c r="V263" s="1">
        <f t="shared" si="4"/>
        <v>262</v>
      </c>
      <c r="W263" s="1">
        <f t="shared" si="5"/>
        <v>0.20040080160320642</v>
      </c>
    </row>
    <row r="264" spans="1:37" x14ac:dyDescent="0.2">
      <c r="A264" s="1">
        <v>263</v>
      </c>
      <c r="B264" s="1" t="s">
        <v>1562</v>
      </c>
      <c r="C264" s="1" t="s">
        <v>34</v>
      </c>
      <c r="D264" s="1" t="s">
        <v>596</v>
      </c>
      <c r="E264" s="1" t="s">
        <v>1563</v>
      </c>
      <c r="F264" s="1"/>
      <c r="G264" s="1">
        <f>IF(ISNA(VLOOKUP(F264,Monster!B:E,4,FALSE)),0,VLOOKUP(F264,Monster!B:E,4,FALSE))</f>
        <v>0</v>
      </c>
      <c r="I264" s="1" t="s">
        <v>1564</v>
      </c>
      <c r="J264" s="1">
        <v>1596</v>
      </c>
      <c r="K264" s="1">
        <v>0</v>
      </c>
      <c r="L264" s="1">
        <v>0</v>
      </c>
      <c r="M264" s="1" t="s">
        <v>107</v>
      </c>
      <c r="N264" s="1">
        <f>((NOT(ISNA(VLOOKUP(M264,Monster!$H$2:$I$6,2,FALSE)))*L264)+J264)*(1+K264/100*0.25)</f>
        <v>1596</v>
      </c>
      <c r="O264" s="1" t="str">
        <f t="shared" si="3"/>
        <v>No Element - 1596</v>
      </c>
      <c r="P264" s="1" t="s">
        <v>410</v>
      </c>
      <c r="Q264" s="1">
        <v>2</v>
      </c>
      <c r="V264" s="1">
        <f t="shared" si="4"/>
        <v>263</v>
      </c>
      <c r="W264" s="1">
        <f t="shared" si="5"/>
        <v>0</v>
      </c>
    </row>
    <row r="265" spans="1:37" x14ac:dyDescent="0.2">
      <c r="A265" s="1">
        <v>264</v>
      </c>
      <c r="B265" s="1" t="s">
        <v>1565</v>
      </c>
      <c r="C265" s="1" t="s">
        <v>439</v>
      </c>
      <c r="D265" s="1" t="s">
        <v>596</v>
      </c>
      <c r="E265" s="1" t="s">
        <v>1563</v>
      </c>
      <c r="F265" s="1" t="s">
        <v>47</v>
      </c>
      <c r="G265" s="1">
        <f>IF(ISNA(VLOOKUP(F265,Monster!B:E,4,FALSE)),0,VLOOKUP(F265,Monster!B:E,4,FALSE))</f>
        <v>2</v>
      </c>
      <c r="I265" s="1" t="s">
        <v>1566</v>
      </c>
      <c r="J265" s="1">
        <v>1596</v>
      </c>
      <c r="K265" s="1">
        <v>30</v>
      </c>
      <c r="L265" s="1">
        <v>0</v>
      </c>
      <c r="M265" s="1" t="s">
        <v>107</v>
      </c>
      <c r="N265" s="1">
        <f>((NOT(ISNA(VLOOKUP(M265,Monster!$H$2:$I$6,2,FALSE)))*L265)+J265)*(1+K265/100*0.25)</f>
        <v>1715.6999999999998</v>
      </c>
      <c r="O265" s="1" t="str">
        <f t="shared" si="3"/>
        <v>No Element - 1715.7</v>
      </c>
      <c r="P265" s="1" t="s">
        <v>319</v>
      </c>
      <c r="Q265" s="1">
        <v>2</v>
      </c>
      <c r="V265" s="1">
        <f t="shared" si="4"/>
        <v>264</v>
      </c>
      <c r="W265" s="1">
        <f t="shared" si="5"/>
        <v>0</v>
      </c>
    </row>
    <row r="266" spans="1:37" x14ac:dyDescent="0.2">
      <c r="A266" s="1">
        <v>265</v>
      </c>
      <c r="B266" s="1" t="s">
        <v>1567</v>
      </c>
      <c r="C266" s="1" t="s">
        <v>541</v>
      </c>
      <c r="D266" s="1" t="s">
        <v>596</v>
      </c>
      <c r="E266" s="1" t="s">
        <v>1563</v>
      </c>
      <c r="F266" s="1" t="s">
        <v>52</v>
      </c>
      <c r="G266" s="1">
        <f>IF(ISNA(VLOOKUP(F266,Monster!B:E,4,FALSE)),0,VLOOKUP(F266,Monster!B:E,4,FALSE))</f>
        <v>3</v>
      </c>
      <c r="I266" s="1" t="s">
        <v>1568</v>
      </c>
      <c r="J266" s="1">
        <v>1596</v>
      </c>
      <c r="K266" s="1">
        <v>0</v>
      </c>
      <c r="L266" s="1">
        <v>400</v>
      </c>
      <c r="M266" s="1" t="s">
        <v>79</v>
      </c>
      <c r="N266" s="1">
        <f>((NOT(ISNA(VLOOKUP(M266,Monster!$H$2:$I$6,2,FALSE)))*L266)+J266)*(1+K266/100*0.25)</f>
        <v>1596</v>
      </c>
      <c r="O266" s="1" t="str">
        <f t="shared" si="3"/>
        <v>Poison - 1596</v>
      </c>
      <c r="P266" s="1" t="s">
        <v>590</v>
      </c>
      <c r="Q266" s="1">
        <v>1</v>
      </c>
      <c r="V266" s="1">
        <f t="shared" si="4"/>
        <v>265</v>
      </c>
      <c r="W266" s="1">
        <f t="shared" si="5"/>
        <v>0.20040080160320642</v>
      </c>
    </row>
    <row r="267" spans="1:37" x14ac:dyDescent="0.2">
      <c r="A267" s="1">
        <v>266</v>
      </c>
      <c r="B267" s="1" t="s">
        <v>1569</v>
      </c>
      <c r="C267" s="1" t="s">
        <v>617</v>
      </c>
      <c r="D267" s="1" t="s">
        <v>596</v>
      </c>
      <c r="E267" s="1" t="s">
        <v>1563</v>
      </c>
      <c r="F267" s="1" t="s">
        <v>60</v>
      </c>
      <c r="G267" s="1">
        <f>IF(ISNA(VLOOKUP(F267,Monster!B:E,4,FALSE)),0,VLOOKUP(F267,Monster!B:E,4,FALSE))</f>
        <v>4</v>
      </c>
      <c r="I267" s="1" t="s">
        <v>1569</v>
      </c>
      <c r="J267" s="1">
        <v>1221</v>
      </c>
      <c r="K267" s="1">
        <v>0</v>
      </c>
      <c r="L267" s="1">
        <v>1142</v>
      </c>
      <c r="M267" s="1" t="s">
        <v>50</v>
      </c>
      <c r="N267" s="1">
        <f>((NOT(ISNA(VLOOKUP(M267,Monster!$H$2:$I$6,2,FALSE)))*L267)+J267)*(1+K267/100*0.25)</f>
        <v>2363</v>
      </c>
      <c r="O267" s="1" t="str">
        <f t="shared" si="3"/>
        <v>Water - 2363</v>
      </c>
      <c r="P267" s="1" t="s">
        <v>244</v>
      </c>
      <c r="Q267" s="1">
        <v>1</v>
      </c>
      <c r="V267" s="1">
        <f t="shared" si="4"/>
        <v>266</v>
      </c>
      <c r="W267" s="1">
        <f t="shared" si="5"/>
        <v>0.48328396106644095</v>
      </c>
    </row>
    <row r="268" spans="1:37" x14ac:dyDescent="0.2">
      <c r="A268" s="1">
        <v>267</v>
      </c>
      <c r="B268" s="1" t="s">
        <v>1570</v>
      </c>
      <c r="C268" s="1" t="s">
        <v>696</v>
      </c>
      <c r="D268" s="1" t="s">
        <v>596</v>
      </c>
      <c r="E268" s="1" t="s">
        <v>1563</v>
      </c>
      <c r="F268" s="1" t="s">
        <v>69</v>
      </c>
      <c r="G268" s="1">
        <f>IF(ISNA(VLOOKUP(F268,Monster!B:E,4,FALSE)),0,VLOOKUP(F268,Monster!B:E,4,FALSE))</f>
        <v>5</v>
      </c>
      <c r="I268" s="1" t="s">
        <v>1571</v>
      </c>
      <c r="J268" s="1">
        <v>1756</v>
      </c>
      <c r="K268" s="1">
        <v>0</v>
      </c>
      <c r="L268" s="1">
        <v>0</v>
      </c>
      <c r="M268" s="1" t="s">
        <v>107</v>
      </c>
      <c r="N268" s="1">
        <f>((NOT(ISNA(VLOOKUP(M268,Monster!$H$2:$I$6,2,FALSE)))*L268)+J268)*(1+K268/100*0.25)</f>
        <v>1756</v>
      </c>
      <c r="O268" s="1" t="str">
        <f t="shared" si="3"/>
        <v>No Element - 1756</v>
      </c>
      <c r="P268" s="1" t="s">
        <v>213</v>
      </c>
      <c r="Q268" s="1">
        <v>2</v>
      </c>
      <c r="V268" s="1">
        <f t="shared" si="4"/>
        <v>267</v>
      </c>
      <c r="W268" s="1">
        <f t="shared" si="5"/>
        <v>0</v>
      </c>
    </row>
    <row r="269" spans="1:37" x14ac:dyDescent="0.2">
      <c r="A269" s="1">
        <v>268</v>
      </c>
      <c r="B269" s="1" t="s">
        <v>1572</v>
      </c>
      <c r="C269" s="1" t="s">
        <v>729</v>
      </c>
      <c r="D269" s="1" t="s">
        <v>596</v>
      </c>
      <c r="E269" s="1" t="s">
        <v>1563</v>
      </c>
      <c r="F269" s="1" t="s">
        <v>81</v>
      </c>
      <c r="G269" s="1">
        <f>IF(ISNA(VLOOKUP(F269,Monster!B:E,4,FALSE)),0,VLOOKUP(F269,Monster!B:E,4,FALSE))</f>
        <v>7</v>
      </c>
      <c r="I269" s="1" t="s">
        <v>1573</v>
      </c>
      <c r="J269" s="1">
        <v>1293</v>
      </c>
      <c r="K269" s="1">
        <v>0</v>
      </c>
      <c r="L269" s="1">
        <v>910</v>
      </c>
      <c r="M269" s="1" t="s">
        <v>58</v>
      </c>
      <c r="N269" s="1">
        <f>((NOT(ISNA(VLOOKUP(M269,Monster!$H$2:$I$6,2,FALSE)))*L269)+J269)*(1+K269/100*0.25)</f>
        <v>2203</v>
      </c>
      <c r="O269" s="1" t="str">
        <f t="shared" si="3"/>
        <v>Thunder - 2203</v>
      </c>
      <c r="P269" s="1" t="s">
        <v>253</v>
      </c>
      <c r="Q269" s="1">
        <v>1</v>
      </c>
      <c r="V269" s="1">
        <f t="shared" si="4"/>
        <v>268</v>
      </c>
      <c r="W269" s="1">
        <f t="shared" si="5"/>
        <v>0.41307308216068994</v>
      </c>
    </row>
    <row r="270" spans="1:37" x14ac:dyDescent="0.2">
      <c r="A270" s="1">
        <v>269</v>
      </c>
      <c r="B270" s="1" t="s">
        <v>1574</v>
      </c>
      <c r="C270" s="1" t="s">
        <v>740</v>
      </c>
      <c r="D270" s="1" t="s">
        <v>596</v>
      </c>
      <c r="E270" s="1" t="s">
        <v>1563</v>
      </c>
      <c r="F270" s="1" t="s">
        <v>97</v>
      </c>
      <c r="G270" s="1">
        <f>IF(ISNA(VLOOKUP(F270,Monster!B:E,4,FALSE)),0,VLOOKUP(F270,Monster!B:E,4,FALSE))</f>
        <v>9</v>
      </c>
      <c r="I270" s="1" t="s">
        <v>1574</v>
      </c>
      <c r="J270" s="1">
        <v>1756</v>
      </c>
      <c r="K270" s="1">
        <v>0</v>
      </c>
      <c r="L270" s="1">
        <v>300</v>
      </c>
      <c r="M270" s="1" t="s">
        <v>95</v>
      </c>
      <c r="N270" s="1">
        <f>((NOT(ISNA(VLOOKUP(M270,Monster!$H$2:$I$6,2,FALSE)))*L270)+J270)*(1+K270/100*0.25)</f>
        <v>1756</v>
      </c>
      <c r="O270" s="1" t="str">
        <f t="shared" si="3"/>
        <v>Sleep - 1756</v>
      </c>
      <c r="P270" s="1" t="s">
        <v>590</v>
      </c>
      <c r="Q270" s="1">
        <v>1</v>
      </c>
      <c r="V270" s="1">
        <f t="shared" si="4"/>
        <v>269</v>
      </c>
      <c r="W270" s="1">
        <f t="shared" si="5"/>
        <v>0.14591439688715954</v>
      </c>
    </row>
    <row r="271" spans="1:37" x14ac:dyDescent="0.2">
      <c r="A271" s="1">
        <v>270</v>
      </c>
      <c r="B271" s="1" t="s">
        <v>1575</v>
      </c>
      <c r="C271" s="1" t="s">
        <v>745</v>
      </c>
      <c r="D271" s="1" t="s">
        <v>596</v>
      </c>
      <c r="E271" s="1" t="s">
        <v>1563</v>
      </c>
      <c r="F271" s="1" t="s">
        <v>102</v>
      </c>
      <c r="G271" s="1">
        <f>IF(ISNA(VLOOKUP(F271,Monster!B:E,4,FALSE)),0,VLOOKUP(F271,Monster!B:E,4,FALSE))</f>
        <v>10</v>
      </c>
      <c r="I271" s="1" t="s">
        <v>1576</v>
      </c>
      <c r="J271" s="1">
        <v>1293</v>
      </c>
      <c r="K271" s="1">
        <v>0</v>
      </c>
      <c r="L271" s="1">
        <v>910</v>
      </c>
      <c r="M271" s="1" t="s">
        <v>50</v>
      </c>
      <c r="N271" s="1">
        <f>((NOT(ISNA(VLOOKUP(M271,Monster!$H$2:$I$6,2,FALSE)))*L271)+J271)*(1+K271/100*0.25)</f>
        <v>2203</v>
      </c>
      <c r="O271" s="1" t="str">
        <f t="shared" si="3"/>
        <v>Water - 2203</v>
      </c>
      <c r="P271" s="1" t="s">
        <v>394</v>
      </c>
      <c r="Q271" s="1">
        <v>1</v>
      </c>
      <c r="V271" s="1">
        <f t="shared" si="4"/>
        <v>270</v>
      </c>
      <c r="W271" s="1">
        <f t="shared" si="5"/>
        <v>0.41307308216068994</v>
      </c>
    </row>
    <row r="272" spans="1:37" x14ac:dyDescent="0.2">
      <c r="A272" s="1">
        <v>271</v>
      </c>
      <c r="B272" s="1" t="s">
        <v>1577</v>
      </c>
      <c r="C272" s="1" t="s">
        <v>775</v>
      </c>
      <c r="D272" s="1" t="s">
        <v>596</v>
      </c>
      <c r="E272" s="1" t="s">
        <v>1563</v>
      </c>
      <c r="F272" s="1" t="s">
        <v>146</v>
      </c>
      <c r="G272" s="1">
        <f>IF(ISNA(VLOOKUP(F272,Monster!B:E,4,FALSE)),0,VLOOKUP(F272,Monster!B:E,4,FALSE))</f>
        <v>16</v>
      </c>
      <c r="I272" s="1" t="s">
        <v>1578</v>
      </c>
      <c r="J272" s="1">
        <v>1221</v>
      </c>
      <c r="K272" s="1">
        <v>0</v>
      </c>
      <c r="L272" s="1">
        <v>1142</v>
      </c>
      <c r="M272" s="1" t="s">
        <v>66</v>
      </c>
      <c r="N272" s="1">
        <f>((NOT(ISNA(VLOOKUP(M272,Monster!$H$2:$I$6,2,FALSE)))*L272)+J272)*(1+K272/100*0.25)</f>
        <v>2363</v>
      </c>
      <c r="O272" s="1" t="str">
        <f t="shared" si="3"/>
        <v>Ice - 2363</v>
      </c>
      <c r="P272" s="1" t="s">
        <v>228</v>
      </c>
      <c r="Q272" s="1">
        <v>2</v>
      </c>
      <c r="V272" s="1">
        <f t="shared" si="4"/>
        <v>271</v>
      </c>
      <c r="W272" s="1">
        <f t="shared" si="5"/>
        <v>0.48328396106644095</v>
      </c>
    </row>
    <row r="273" spans="1:23" x14ac:dyDescent="0.2">
      <c r="A273" s="1">
        <v>272</v>
      </c>
      <c r="B273" s="1" t="s">
        <v>1579</v>
      </c>
      <c r="C273" s="1" t="s">
        <v>786</v>
      </c>
      <c r="D273" s="1" t="s">
        <v>596</v>
      </c>
      <c r="E273" s="1" t="s">
        <v>1563</v>
      </c>
      <c r="F273" s="1" t="s">
        <v>160</v>
      </c>
      <c r="G273" s="1">
        <f>IF(ISNA(VLOOKUP(F273,Monster!B:E,4,FALSE)),0,VLOOKUP(F273,Monster!B:E,4,FALSE))</f>
        <v>19</v>
      </c>
      <c r="I273" s="1" t="s">
        <v>1580</v>
      </c>
      <c r="J273" s="1">
        <v>1221</v>
      </c>
      <c r="K273" s="1">
        <v>0</v>
      </c>
      <c r="L273" s="1">
        <v>1142</v>
      </c>
      <c r="M273" s="1" t="s">
        <v>41</v>
      </c>
      <c r="N273" s="1">
        <f>((NOT(ISNA(VLOOKUP(M273,Monster!$H$2:$I$6,2,FALSE)))*L273)+J273)*(1+K273/100*0.25)</f>
        <v>2363</v>
      </c>
      <c r="O273" s="1" t="str">
        <f t="shared" si="3"/>
        <v>Fire - 2363</v>
      </c>
      <c r="P273" s="1" t="s">
        <v>244</v>
      </c>
      <c r="Q273" s="1">
        <v>1</v>
      </c>
      <c r="V273" s="1">
        <f t="shared" si="4"/>
        <v>272</v>
      </c>
      <c r="W273" s="1">
        <f t="shared" si="5"/>
        <v>0.48328396106644095</v>
      </c>
    </row>
    <row r="274" spans="1:23" x14ac:dyDescent="0.2">
      <c r="A274" s="1">
        <v>273</v>
      </c>
      <c r="B274" s="1" t="s">
        <v>1581</v>
      </c>
      <c r="C274" s="1" t="s">
        <v>790</v>
      </c>
      <c r="D274" s="1" t="s">
        <v>596</v>
      </c>
      <c r="E274" s="1" t="s">
        <v>1563</v>
      </c>
      <c r="F274" s="1" t="s">
        <v>165</v>
      </c>
      <c r="G274" s="1">
        <f>IF(ISNA(VLOOKUP(F274,Monster!B:E,4,FALSE)),0,VLOOKUP(F274,Monster!B:E,4,FALSE))</f>
        <v>20</v>
      </c>
      <c r="I274" s="1" t="s">
        <v>1582</v>
      </c>
      <c r="J274" s="1">
        <v>1682</v>
      </c>
      <c r="K274" s="1">
        <v>0</v>
      </c>
      <c r="L274" s="1">
        <v>605</v>
      </c>
      <c r="M274" s="1" t="s">
        <v>41</v>
      </c>
      <c r="N274" s="1">
        <f>((NOT(ISNA(VLOOKUP(M274,Monster!$H$2:$I$6,2,FALSE)))*L274)+J274)*(1+K274/100*0.25)</f>
        <v>2287</v>
      </c>
      <c r="O274" s="1" t="str">
        <f t="shared" si="3"/>
        <v>Fire - 2287</v>
      </c>
      <c r="P274" s="1" t="s">
        <v>602</v>
      </c>
      <c r="Q274" s="1">
        <v>1</v>
      </c>
      <c r="V274" s="1">
        <f t="shared" si="4"/>
        <v>273</v>
      </c>
      <c r="W274" s="1">
        <f t="shared" si="5"/>
        <v>0.26453869698294707</v>
      </c>
    </row>
    <row r="275" spans="1:23" x14ac:dyDescent="0.2">
      <c r="A275" s="1">
        <v>274</v>
      </c>
      <c r="B275" s="1" t="s">
        <v>1583</v>
      </c>
      <c r="C275" s="1" t="s">
        <v>794</v>
      </c>
      <c r="D275" s="1" t="s">
        <v>596</v>
      </c>
      <c r="E275" s="1" t="s">
        <v>1563</v>
      </c>
      <c r="F275" s="1" t="s">
        <v>171</v>
      </c>
      <c r="G275" s="1">
        <f>IF(ISNA(VLOOKUP(F275,Monster!B:E,4,FALSE)),0,VLOOKUP(F275,Monster!B:E,4,FALSE))</f>
        <v>21</v>
      </c>
      <c r="I275" s="1" t="s">
        <v>1583</v>
      </c>
      <c r="J275" s="1">
        <v>1258</v>
      </c>
      <c r="K275" s="1">
        <v>30</v>
      </c>
      <c r="L275" s="1">
        <v>1082</v>
      </c>
      <c r="M275" s="1" t="s">
        <v>41</v>
      </c>
      <c r="N275" s="1">
        <f>((NOT(ISNA(VLOOKUP(M275,Monster!$H$2:$I$6,2,FALSE)))*L275)+J275)*(1+K275/100*0.25)</f>
        <v>2515.5</v>
      </c>
      <c r="O275" s="1" t="str">
        <f t="shared" si="3"/>
        <v>Fire - 2515.5</v>
      </c>
      <c r="P275" s="1" t="s">
        <v>175</v>
      </c>
      <c r="Q275" s="1">
        <v>2</v>
      </c>
      <c r="V275" s="1">
        <f t="shared" si="4"/>
        <v>274</v>
      </c>
      <c r="W275" s="1">
        <f t="shared" si="5"/>
        <v>0.46239316239316242</v>
      </c>
    </row>
    <row r="276" spans="1:23" x14ac:dyDescent="0.2">
      <c r="A276" s="1">
        <v>275</v>
      </c>
      <c r="B276" s="1" t="s">
        <v>1584</v>
      </c>
      <c r="C276" s="1" t="s">
        <v>803</v>
      </c>
      <c r="D276" s="1" t="s">
        <v>596</v>
      </c>
      <c r="E276" s="1" t="s">
        <v>1563</v>
      </c>
      <c r="F276" s="1" t="s">
        <v>190</v>
      </c>
      <c r="G276" s="1">
        <f>IF(ISNA(VLOOKUP(F276,Monster!B:E,4,FALSE)),0,VLOOKUP(F276,Monster!B:E,4,FALSE))</f>
        <v>24</v>
      </c>
      <c r="I276" s="1" t="s">
        <v>1585</v>
      </c>
      <c r="J276" s="1">
        <v>1191</v>
      </c>
      <c r="K276" s="1">
        <v>20</v>
      </c>
      <c r="L276" s="1">
        <v>910</v>
      </c>
      <c r="M276" s="1" t="s">
        <v>66</v>
      </c>
      <c r="N276" s="1">
        <f>((NOT(ISNA(VLOOKUP(M276,Monster!$H$2:$I$6,2,FALSE)))*L276)+J276)*(1+K276/100*0.25)</f>
        <v>2206.0500000000002</v>
      </c>
      <c r="O276" s="1" t="str">
        <f t="shared" si="3"/>
        <v>Ice - 2206.05</v>
      </c>
      <c r="P276" s="1" t="s">
        <v>253</v>
      </c>
      <c r="Q276" s="1">
        <v>1</v>
      </c>
      <c r="V276" s="1">
        <f t="shared" si="4"/>
        <v>275</v>
      </c>
      <c r="W276" s="1">
        <f t="shared" si="5"/>
        <v>0.43312708234174202</v>
      </c>
    </row>
    <row r="277" spans="1:23" x14ac:dyDescent="0.2">
      <c r="A277" s="1">
        <v>276</v>
      </c>
      <c r="B277" s="1" t="s">
        <v>1586</v>
      </c>
      <c r="C277" s="1" t="s">
        <v>807</v>
      </c>
      <c r="D277" s="1" t="s">
        <v>596</v>
      </c>
      <c r="E277" s="1" t="s">
        <v>1563</v>
      </c>
      <c r="F277" s="1" t="s">
        <v>193</v>
      </c>
      <c r="G277" s="1">
        <f>IF(ISNA(VLOOKUP(F277,Monster!B:E,4,FALSE)),0,VLOOKUP(F277,Monster!B:E,4,FALSE))</f>
        <v>25</v>
      </c>
      <c r="I277" s="1" t="s">
        <v>1586</v>
      </c>
      <c r="J277" s="1">
        <v>1221</v>
      </c>
      <c r="K277" s="1">
        <v>0</v>
      </c>
      <c r="L277" s="1">
        <v>1142</v>
      </c>
      <c r="M277" s="1" t="s">
        <v>58</v>
      </c>
      <c r="N277" s="1">
        <f>((NOT(ISNA(VLOOKUP(M277,Monster!$H$2:$I$6,2,FALSE)))*L277)+J277)*(1+K277/100*0.25)</f>
        <v>2363</v>
      </c>
      <c r="O277" s="1" t="str">
        <f t="shared" si="3"/>
        <v>Thunder - 2363</v>
      </c>
      <c r="P277" s="1" t="s">
        <v>38</v>
      </c>
      <c r="Q277" s="1">
        <v>1</v>
      </c>
      <c r="V277" s="1">
        <f t="shared" si="4"/>
        <v>276</v>
      </c>
      <c r="W277" s="1">
        <f t="shared" si="5"/>
        <v>0.48328396106644095</v>
      </c>
    </row>
    <row r="278" spans="1:23" x14ac:dyDescent="0.2">
      <c r="A278" s="1">
        <v>277</v>
      </c>
      <c r="B278" s="1" t="s">
        <v>1587</v>
      </c>
      <c r="C278" s="1" t="s">
        <v>813</v>
      </c>
      <c r="D278" s="1" t="s">
        <v>596</v>
      </c>
      <c r="E278" s="1" t="s">
        <v>1563</v>
      </c>
      <c r="F278" s="1" t="s">
        <v>205</v>
      </c>
      <c r="G278" s="1">
        <f>IF(ISNA(VLOOKUP(F278,Monster!B:E,4,FALSE)),0,VLOOKUP(F278,Monster!B:E,4,FALSE))</f>
        <v>27</v>
      </c>
      <c r="I278" s="1" t="s">
        <v>1588</v>
      </c>
      <c r="J278" s="1">
        <v>1719</v>
      </c>
      <c r="K278" s="1">
        <v>20</v>
      </c>
      <c r="L278" s="1">
        <v>0</v>
      </c>
      <c r="M278" s="1" t="s">
        <v>107</v>
      </c>
      <c r="N278" s="1">
        <f>((NOT(ISNA(VLOOKUP(M278,Monster!$H$2:$I$6,2,FALSE)))*L278)+J278)*(1+K278/100*0.25)</f>
        <v>1804.95</v>
      </c>
      <c r="O278" s="1" t="str">
        <f t="shared" si="3"/>
        <v>No Element - 1804.95</v>
      </c>
      <c r="P278" s="1" t="s">
        <v>269</v>
      </c>
      <c r="Q278" s="1">
        <v>1</v>
      </c>
      <c r="V278" s="1">
        <f t="shared" si="4"/>
        <v>277</v>
      </c>
      <c r="W278" s="1">
        <f t="shared" si="5"/>
        <v>0</v>
      </c>
    </row>
    <row r="279" spans="1:23" x14ac:dyDescent="0.2">
      <c r="A279" s="1">
        <v>278</v>
      </c>
      <c r="B279" s="1" t="s">
        <v>1589</v>
      </c>
      <c r="C279" s="1" t="s">
        <v>816</v>
      </c>
      <c r="D279" s="1" t="s">
        <v>596</v>
      </c>
      <c r="E279" s="1" t="s">
        <v>1563</v>
      </c>
      <c r="F279" s="1" t="s">
        <v>210</v>
      </c>
      <c r="G279" s="1">
        <f>IF(ISNA(VLOOKUP(F279,Monster!B:E,4,FALSE)),0,VLOOKUP(F279,Monster!B:E,4,FALSE))</f>
        <v>28</v>
      </c>
      <c r="I279" s="1" t="s">
        <v>1589</v>
      </c>
      <c r="J279" s="1">
        <v>1138</v>
      </c>
      <c r="K279" s="1">
        <v>20</v>
      </c>
      <c r="L279" s="1">
        <v>1156</v>
      </c>
      <c r="M279" s="1" t="s">
        <v>71</v>
      </c>
      <c r="N279" s="1">
        <f>((NOT(ISNA(VLOOKUP(M279,Monster!$H$2:$I$6,2,FALSE)))*L279)+J279)*(1+K279/100*0.25)</f>
        <v>2408.7000000000003</v>
      </c>
      <c r="O279" s="1" t="str">
        <f t="shared" si="3"/>
        <v>Dragon - 2408.7</v>
      </c>
      <c r="P279" s="1" t="s">
        <v>166</v>
      </c>
      <c r="Q279" s="1">
        <v>1</v>
      </c>
      <c r="V279" s="1">
        <f t="shared" si="4"/>
        <v>278</v>
      </c>
      <c r="W279" s="1">
        <f t="shared" si="5"/>
        <v>0.50392327811682647</v>
      </c>
    </row>
    <row r="280" spans="1:23" x14ac:dyDescent="0.2">
      <c r="A280" s="1">
        <v>279</v>
      </c>
      <c r="B280" s="1" t="s">
        <v>1590</v>
      </c>
      <c r="C280" s="1" t="s">
        <v>821</v>
      </c>
      <c r="D280" s="1" t="s">
        <v>596</v>
      </c>
      <c r="E280" s="1" t="s">
        <v>1563</v>
      </c>
      <c r="F280" s="1" t="s">
        <v>216</v>
      </c>
      <c r="G280" s="1">
        <f>IF(ISNA(VLOOKUP(F280,Monster!B:E,4,FALSE)),0,VLOOKUP(F280,Monster!B:E,4,FALSE))</f>
        <v>29</v>
      </c>
      <c r="I280" s="1" t="s">
        <v>1591</v>
      </c>
      <c r="J280" s="1">
        <v>1318</v>
      </c>
      <c r="K280" s="1">
        <v>-30</v>
      </c>
      <c r="L280" s="1">
        <v>1261</v>
      </c>
      <c r="M280" s="1" t="s">
        <v>71</v>
      </c>
      <c r="N280" s="1">
        <f>((NOT(ISNA(VLOOKUP(M280,Monster!$H$2:$I$6,2,FALSE)))*L280)+J280)*(1+K280/100*0.25)</f>
        <v>2385.5750000000003</v>
      </c>
      <c r="O280" s="1" t="str">
        <f t="shared" si="3"/>
        <v>Dragon - 2385.575</v>
      </c>
      <c r="P280" s="1" t="s">
        <v>440</v>
      </c>
      <c r="Q280" s="1">
        <v>2</v>
      </c>
      <c r="V280" s="1">
        <f t="shared" si="4"/>
        <v>279</v>
      </c>
      <c r="W280" s="1">
        <f t="shared" si="5"/>
        <v>0.4889492051182629</v>
      </c>
    </row>
    <row r="281" spans="1:23" x14ac:dyDescent="0.2">
      <c r="A281" s="1">
        <v>280</v>
      </c>
      <c r="B281" s="1" t="s">
        <v>1592</v>
      </c>
      <c r="C281" s="1" t="s">
        <v>825</v>
      </c>
      <c r="D281" s="1" t="s">
        <v>596</v>
      </c>
      <c r="E281" s="1" t="s">
        <v>1563</v>
      </c>
      <c r="F281" s="1" t="s">
        <v>223</v>
      </c>
      <c r="G281" s="1">
        <f>IF(ISNA(VLOOKUP(F281,Monster!B:E,4,FALSE)),0,VLOOKUP(F281,Monster!B:E,4,FALSE))</f>
        <v>30</v>
      </c>
      <c r="I281" s="1" t="s">
        <v>1593</v>
      </c>
      <c r="J281" s="1">
        <v>1671</v>
      </c>
      <c r="K281" s="1">
        <v>-15</v>
      </c>
      <c r="L281" s="1">
        <v>342</v>
      </c>
      <c r="M281" s="1" t="s">
        <v>79</v>
      </c>
      <c r="N281" s="1">
        <f>((NOT(ISNA(VLOOKUP(M281,Monster!$H$2:$I$6,2,FALSE)))*L281)+J281)*(1+K281/100*0.25)</f>
        <v>1608.3375000000001</v>
      </c>
      <c r="O281" s="1" t="str">
        <f t="shared" si="3"/>
        <v>Poison - 1608.3375</v>
      </c>
      <c r="P281" s="1" t="s">
        <v>364</v>
      </c>
      <c r="Q281" s="1">
        <v>1</v>
      </c>
      <c r="V281" s="1">
        <f t="shared" si="4"/>
        <v>280</v>
      </c>
      <c r="W281" s="1">
        <f t="shared" si="5"/>
        <v>0.16989567809239942</v>
      </c>
    </row>
    <row r="282" spans="1:23" x14ac:dyDescent="0.2">
      <c r="A282" s="1">
        <v>281</v>
      </c>
      <c r="B282" s="1" t="s">
        <v>1594</v>
      </c>
      <c r="C282" s="1" t="s">
        <v>834</v>
      </c>
      <c r="D282" s="1" t="s">
        <v>596</v>
      </c>
      <c r="E282" s="1" t="s">
        <v>1563</v>
      </c>
      <c r="F282" s="1" t="s">
        <v>234</v>
      </c>
      <c r="G282" s="1">
        <f>IF(ISNA(VLOOKUP(F282,Monster!B:E,4,FALSE)),0,VLOOKUP(F282,Monster!B:E,4,FALSE))</f>
        <v>32</v>
      </c>
      <c r="I282" s="1" t="s">
        <v>1594</v>
      </c>
      <c r="J282" s="1">
        <v>1553</v>
      </c>
      <c r="K282" s="1">
        <v>0</v>
      </c>
      <c r="L282" s="1">
        <v>974</v>
      </c>
      <c r="M282" s="1" t="s">
        <v>66</v>
      </c>
      <c r="N282" s="1">
        <f>((NOT(ISNA(VLOOKUP(M282,Monster!$H$2:$I$6,2,FALSE)))*L282)+J282)*(1+K282/100*0.25)</f>
        <v>2527</v>
      </c>
      <c r="O282" s="1" t="str">
        <f t="shared" si="3"/>
        <v>Ice - 2527</v>
      </c>
      <c r="P282" s="1" t="s">
        <v>528</v>
      </c>
      <c r="Q282" s="1">
        <v>2</v>
      </c>
      <c r="R282" s="1" t="s">
        <v>372</v>
      </c>
      <c r="V282" s="1">
        <f t="shared" si="4"/>
        <v>281</v>
      </c>
      <c r="W282" s="1">
        <f t="shared" si="5"/>
        <v>0.38543727740403638</v>
      </c>
    </row>
    <row r="283" spans="1:23" x14ac:dyDescent="0.2">
      <c r="A283" s="1">
        <v>282</v>
      </c>
      <c r="B283" s="1" t="s">
        <v>1595</v>
      </c>
      <c r="C283" s="1" t="s">
        <v>839</v>
      </c>
      <c r="D283" s="1" t="s">
        <v>596</v>
      </c>
      <c r="E283" s="1" t="s">
        <v>1563</v>
      </c>
      <c r="F283" s="1" t="s">
        <v>239</v>
      </c>
      <c r="G283" s="1">
        <f>IF(ISNA(VLOOKUP(F283,Monster!B:E,4,FALSE)),0,VLOOKUP(F283,Monster!B:E,4,FALSE))</f>
        <v>33</v>
      </c>
      <c r="I283" s="1" t="s">
        <v>1596</v>
      </c>
      <c r="J283" s="1">
        <v>1138</v>
      </c>
      <c r="K283" s="1">
        <v>20</v>
      </c>
      <c r="L283" s="1">
        <v>1156</v>
      </c>
      <c r="M283" s="1" t="s">
        <v>50</v>
      </c>
      <c r="N283" s="1">
        <f>((NOT(ISNA(VLOOKUP(M283,Monster!$H$2:$I$6,2,FALSE)))*L283)+J283)*(1+K283/100*0.25)</f>
        <v>2408.7000000000003</v>
      </c>
      <c r="O283" s="1" t="str">
        <f t="shared" si="3"/>
        <v>Water - 2408.7</v>
      </c>
      <c r="P283" s="1" t="s">
        <v>38</v>
      </c>
      <c r="Q283" s="1">
        <v>1</v>
      </c>
      <c r="V283" s="1">
        <f t="shared" si="4"/>
        <v>282</v>
      </c>
      <c r="W283" s="1">
        <f t="shared" si="5"/>
        <v>0.50392327811682647</v>
      </c>
    </row>
    <row r="284" spans="1:23" x14ac:dyDescent="0.2">
      <c r="A284" s="1">
        <v>283</v>
      </c>
      <c r="B284" s="1" t="s">
        <v>1597</v>
      </c>
      <c r="C284" s="1" t="s">
        <v>845</v>
      </c>
      <c r="D284" s="1" t="s">
        <v>596</v>
      </c>
      <c r="E284" s="1" t="s">
        <v>1563</v>
      </c>
      <c r="F284" s="1" t="s">
        <v>245</v>
      </c>
      <c r="G284" s="1">
        <f>IF(ISNA(VLOOKUP(F284,Monster!B:E,4,FALSE)),0,VLOOKUP(F284,Monster!B:E,4,FALSE))</f>
        <v>34</v>
      </c>
      <c r="I284" s="1" t="s">
        <v>1597</v>
      </c>
      <c r="J284" s="1">
        <v>1684</v>
      </c>
      <c r="K284" s="1">
        <v>0</v>
      </c>
      <c r="L284" s="1">
        <v>502</v>
      </c>
      <c r="M284" s="1" t="s">
        <v>100</v>
      </c>
      <c r="N284" s="1">
        <f>((NOT(ISNA(VLOOKUP(M284,Monster!$H$2:$I$6,2,FALSE)))*L284)+J284)*(1+K284/100*0.25)</f>
        <v>1684</v>
      </c>
      <c r="O284" s="1" t="str">
        <f t="shared" si="3"/>
        <v>Blast - 1684</v>
      </c>
      <c r="P284" s="1" t="s">
        <v>364</v>
      </c>
      <c r="Q284" s="1">
        <v>2</v>
      </c>
      <c r="R284" s="1" t="s">
        <v>372</v>
      </c>
      <c r="V284" s="1">
        <f t="shared" si="4"/>
        <v>283</v>
      </c>
      <c r="W284" s="1">
        <f t="shared" si="5"/>
        <v>0.22964318389752975</v>
      </c>
    </row>
    <row r="285" spans="1:23" x14ac:dyDescent="0.2">
      <c r="A285" s="1">
        <v>284</v>
      </c>
      <c r="B285" s="1" t="s">
        <v>1598</v>
      </c>
      <c r="C285" s="1" t="s">
        <v>849</v>
      </c>
      <c r="D285" s="1" t="s">
        <v>596</v>
      </c>
      <c r="E285" s="1" t="s">
        <v>1563</v>
      </c>
      <c r="F285" s="1" t="s">
        <v>251</v>
      </c>
      <c r="G285" s="1">
        <f>IF(ISNA(VLOOKUP(F285,Monster!B:E,4,FALSE)),0,VLOOKUP(F285,Monster!B:E,4,FALSE))</f>
        <v>35</v>
      </c>
      <c r="I285" s="1" t="s">
        <v>1599</v>
      </c>
      <c r="J285" s="1">
        <v>1588</v>
      </c>
      <c r="K285" s="1">
        <v>0</v>
      </c>
      <c r="L285" s="1">
        <v>632</v>
      </c>
      <c r="M285" s="1" t="s">
        <v>41</v>
      </c>
      <c r="N285" s="1">
        <f>((NOT(ISNA(VLOOKUP(M285,Monster!$H$2:$I$6,2,FALSE)))*L285)+J285)*(1+K285/100*0.25)</f>
        <v>2220</v>
      </c>
      <c r="O285" s="1" t="str">
        <f t="shared" si="3"/>
        <v>Fire - 2220</v>
      </c>
      <c r="P285" s="1" t="s">
        <v>412</v>
      </c>
      <c r="Q285" s="1">
        <v>1</v>
      </c>
      <c r="V285" s="1">
        <f t="shared" si="4"/>
        <v>284</v>
      </c>
      <c r="W285" s="1">
        <f t="shared" si="5"/>
        <v>0.28468468468468466</v>
      </c>
    </row>
    <row r="286" spans="1:23" x14ac:dyDescent="0.2">
      <c r="A286" s="1">
        <v>285</v>
      </c>
      <c r="B286" s="1" t="s">
        <v>1600</v>
      </c>
      <c r="C286" s="1" t="s">
        <v>853</v>
      </c>
      <c r="D286" s="1" t="s">
        <v>596</v>
      </c>
      <c r="E286" s="1" t="s">
        <v>1563</v>
      </c>
      <c r="F286" s="1" t="s">
        <v>256</v>
      </c>
      <c r="G286" s="1">
        <f>IF(ISNA(VLOOKUP(F286,Monster!B:E,4,FALSE)),0,VLOOKUP(F286,Monster!B:E,4,FALSE))</f>
        <v>36</v>
      </c>
      <c r="I286" s="1" t="s">
        <v>1601</v>
      </c>
      <c r="J286" s="1">
        <v>1516</v>
      </c>
      <c r="K286" s="1">
        <v>0</v>
      </c>
      <c r="L286" s="1">
        <v>496</v>
      </c>
      <c r="M286" s="1" t="s">
        <v>100</v>
      </c>
      <c r="N286" s="1">
        <f>((NOT(ISNA(VLOOKUP(M286,Monster!$H$2:$I$6,2,FALSE)))*L286)+J286)*(1+K286/100*0.25)</f>
        <v>1516</v>
      </c>
      <c r="O286" s="1" t="str">
        <f t="shared" si="3"/>
        <v>Blast - 1516</v>
      </c>
      <c r="P286" s="1" t="s">
        <v>463</v>
      </c>
      <c r="Q286" s="1">
        <v>1</v>
      </c>
      <c r="V286" s="1">
        <f t="shared" si="4"/>
        <v>285</v>
      </c>
      <c r="W286" s="1">
        <f t="shared" si="5"/>
        <v>0.24652087475149106</v>
      </c>
    </row>
    <row r="287" spans="1:23" x14ac:dyDescent="0.2">
      <c r="A287" s="1">
        <v>286</v>
      </c>
      <c r="B287" s="1" t="s">
        <v>1602</v>
      </c>
      <c r="C287" s="1" t="s">
        <v>857</v>
      </c>
      <c r="D287" s="1" t="s">
        <v>596</v>
      </c>
      <c r="E287" s="1" t="s">
        <v>1563</v>
      </c>
      <c r="F287" s="1" t="s">
        <v>263</v>
      </c>
      <c r="G287" s="1">
        <f>IF(ISNA(VLOOKUP(F287,Monster!B:E,4,FALSE)),0,VLOOKUP(F287,Monster!B:E,4,FALSE))</f>
        <v>37</v>
      </c>
      <c r="I287" s="1" t="s">
        <v>1603</v>
      </c>
      <c r="J287" s="1">
        <v>1318</v>
      </c>
      <c r="K287" s="1">
        <v>-30</v>
      </c>
      <c r="L287" s="1">
        <v>1261</v>
      </c>
      <c r="M287" s="1" t="s">
        <v>58</v>
      </c>
      <c r="N287" s="1">
        <f>((NOT(ISNA(VLOOKUP(M287,Monster!$H$2:$I$6,2,FALSE)))*L287)+J287)*(1+K287/100*0.25)</f>
        <v>2385.5750000000003</v>
      </c>
      <c r="O287" s="1" t="str">
        <f t="shared" si="3"/>
        <v>Thunder - 2385.575</v>
      </c>
      <c r="P287" s="1" t="s">
        <v>144</v>
      </c>
      <c r="Q287" s="1">
        <v>2</v>
      </c>
      <c r="V287" s="1">
        <f t="shared" si="4"/>
        <v>286</v>
      </c>
      <c r="W287" s="1">
        <f t="shared" si="5"/>
        <v>0.4889492051182629</v>
      </c>
    </row>
    <row r="288" spans="1:23" x14ac:dyDescent="0.2">
      <c r="A288" s="1">
        <v>287</v>
      </c>
      <c r="B288" s="1" t="s">
        <v>1604</v>
      </c>
      <c r="C288" s="1" t="s">
        <v>863</v>
      </c>
      <c r="D288" s="1" t="s">
        <v>596</v>
      </c>
      <c r="E288" s="1" t="s">
        <v>1563</v>
      </c>
      <c r="F288" s="1" t="s">
        <v>268</v>
      </c>
      <c r="G288" s="1">
        <f>IF(ISNA(VLOOKUP(F288,Monster!B:E,4,FALSE)),0,VLOOKUP(F288,Monster!B:E,4,FALSE))</f>
        <v>38</v>
      </c>
      <c r="I288" s="1" t="s">
        <v>1604</v>
      </c>
      <c r="J288" s="1">
        <v>1553</v>
      </c>
      <c r="K288" s="1">
        <v>0</v>
      </c>
      <c r="L288" s="1">
        <v>974</v>
      </c>
      <c r="M288" s="1" t="s">
        <v>71</v>
      </c>
      <c r="N288" s="1">
        <f>((NOT(ISNA(VLOOKUP(M288,Monster!$H$2:$I$6,2,FALSE)))*L288)+J288)*(1+K288/100*0.25)</f>
        <v>2527</v>
      </c>
      <c r="O288" s="1" t="str">
        <f t="shared" si="3"/>
        <v>Dragon - 2527</v>
      </c>
      <c r="P288" s="1" t="s">
        <v>463</v>
      </c>
      <c r="Q288" s="1">
        <v>2</v>
      </c>
      <c r="R288" s="1" t="s">
        <v>372</v>
      </c>
      <c r="V288" s="1">
        <f t="shared" si="4"/>
        <v>287</v>
      </c>
      <c r="W288" s="1">
        <f t="shared" si="5"/>
        <v>0.38543727740403638</v>
      </c>
    </row>
    <row r="289" spans="1:37" x14ac:dyDescent="0.2">
      <c r="A289" s="1">
        <v>288</v>
      </c>
      <c r="B289" s="1" t="s">
        <v>1605</v>
      </c>
      <c r="C289" s="1" t="s">
        <v>869</v>
      </c>
      <c r="D289" s="1" t="s">
        <v>596</v>
      </c>
      <c r="E289" s="1" t="s">
        <v>1563</v>
      </c>
      <c r="F289" s="1" t="s">
        <v>278</v>
      </c>
      <c r="G289" s="1">
        <f>IF(ISNA(VLOOKUP(F289,Monster!B:E,4,FALSE)),0,VLOOKUP(F289,Monster!B:E,4,FALSE))</f>
        <v>40</v>
      </c>
      <c r="I289" s="1" t="s">
        <v>1606</v>
      </c>
      <c r="J289" s="1">
        <v>1516</v>
      </c>
      <c r="K289" s="1">
        <v>0</v>
      </c>
      <c r="L289" s="1">
        <v>496</v>
      </c>
      <c r="M289" s="1" t="s">
        <v>87</v>
      </c>
      <c r="N289" s="1">
        <f>((NOT(ISNA(VLOOKUP(M289,Monster!$H$2:$I$6,2,FALSE)))*L289)+J289)*(1+K289/100*0.25)</f>
        <v>1516</v>
      </c>
      <c r="O289" s="1" t="str">
        <f t="shared" si="3"/>
        <v>Paralysis - 1516</v>
      </c>
      <c r="P289" s="1" t="s">
        <v>253</v>
      </c>
      <c r="Q289" s="1">
        <v>1</v>
      </c>
      <c r="V289" s="1">
        <f t="shared" si="4"/>
        <v>288</v>
      </c>
      <c r="W289" s="1">
        <f t="shared" si="5"/>
        <v>0.24652087475149106</v>
      </c>
    </row>
    <row r="290" spans="1:37" x14ac:dyDescent="0.2">
      <c r="A290" s="1">
        <v>289</v>
      </c>
      <c r="B290" s="1" t="s">
        <v>1607</v>
      </c>
      <c r="C290" s="1" t="s">
        <v>875</v>
      </c>
      <c r="D290" s="1" t="s">
        <v>596</v>
      </c>
      <c r="E290" s="1" t="s">
        <v>1563</v>
      </c>
      <c r="F290" s="1" t="s">
        <v>293</v>
      </c>
      <c r="G290" s="1">
        <f>IF(ISNA(VLOOKUP(F290,Monster!B:E,4,FALSE)),0,VLOOKUP(F290,Monster!B:E,4,FALSE))</f>
        <v>42</v>
      </c>
      <c r="I290" s="1" t="s">
        <v>1608</v>
      </c>
      <c r="J290" s="1">
        <v>2198</v>
      </c>
      <c r="K290" s="1">
        <v>-40</v>
      </c>
      <c r="L290" s="1">
        <v>0</v>
      </c>
      <c r="M290" s="1" t="s">
        <v>107</v>
      </c>
      <c r="N290" s="1">
        <f>((NOT(ISNA(VLOOKUP(M290,Monster!$H$2:$I$6,2,FALSE)))*L290)+J290)*(1+K290/100*0.25)</f>
        <v>1978.2</v>
      </c>
      <c r="O290" s="1" t="str">
        <f t="shared" si="3"/>
        <v>No Element - 1978.2</v>
      </c>
      <c r="P290" s="1" t="s">
        <v>194</v>
      </c>
      <c r="Q290" s="1">
        <v>1</v>
      </c>
      <c r="V290" s="1">
        <f t="shared" si="4"/>
        <v>289</v>
      </c>
      <c r="W290" s="1">
        <f t="shared" si="5"/>
        <v>0</v>
      </c>
    </row>
    <row r="291" spans="1:37" x14ac:dyDescent="0.2">
      <c r="A291" s="1">
        <v>290</v>
      </c>
      <c r="B291" s="1" t="s">
        <v>1609</v>
      </c>
      <c r="C291" s="1" t="s">
        <v>880</v>
      </c>
      <c r="D291" s="1" t="s">
        <v>596</v>
      </c>
      <c r="E291" s="1" t="s">
        <v>1563</v>
      </c>
      <c r="F291" s="1" t="s">
        <v>298</v>
      </c>
      <c r="G291" s="1">
        <f>IF(ISNA(VLOOKUP(F291,Monster!B:E,4,FALSE)),0,VLOOKUP(F291,Monster!B:E,4,FALSE))</f>
        <v>43</v>
      </c>
      <c r="I291" s="1" t="s">
        <v>1610</v>
      </c>
      <c r="J291" s="1">
        <v>2198</v>
      </c>
      <c r="K291" s="1">
        <v>-10</v>
      </c>
      <c r="L291" s="1">
        <v>0</v>
      </c>
      <c r="M291" s="1" t="s">
        <v>107</v>
      </c>
      <c r="N291" s="1">
        <f>((NOT(ISNA(VLOOKUP(M291,Monster!$H$2:$I$6,2,FALSE)))*L291)+J291)*(1+K291/100*0.25)</f>
        <v>2143.0499999999997</v>
      </c>
      <c r="O291" s="1" t="str">
        <f t="shared" si="3"/>
        <v>No Element - 2143.05</v>
      </c>
      <c r="P291" s="1" t="s">
        <v>204</v>
      </c>
      <c r="Q291" s="1">
        <v>5</v>
      </c>
      <c r="V291" s="1">
        <f t="shared" si="4"/>
        <v>290</v>
      </c>
      <c r="W291" s="1">
        <f t="shared" si="5"/>
        <v>0</v>
      </c>
    </row>
    <row r="292" spans="1:37" x14ac:dyDescent="0.2">
      <c r="A292" s="1">
        <v>291</v>
      </c>
      <c r="B292" s="1" t="s">
        <v>1611</v>
      </c>
      <c r="C292" s="1" t="s">
        <v>885</v>
      </c>
      <c r="D292" s="1" t="s">
        <v>596</v>
      </c>
      <c r="E292" s="1" t="s">
        <v>1563</v>
      </c>
      <c r="F292" s="1" t="s">
        <v>302</v>
      </c>
      <c r="G292" s="1">
        <f>IF(ISNA(VLOOKUP(F292,Monster!B:E,4,FALSE)),0,VLOOKUP(F292,Monster!B:E,4,FALSE))</f>
        <v>44</v>
      </c>
      <c r="I292" s="1" t="s">
        <v>1611</v>
      </c>
      <c r="J292" s="1">
        <v>1205</v>
      </c>
      <c r="K292" s="1">
        <v>0</v>
      </c>
      <c r="L292" s="1">
        <v>1305</v>
      </c>
      <c r="M292" s="1" t="s">
        <v>58</v>
      </c>
      <c r="N292" s="1">
        <f>((NOT(ISNA(VLOOKUP(M292,Monster!$H$2:$I$6,2,FALSE)))*L292)+J292)*(1+K292/100*0.25)</f>
        <v>2510</v>
      </c>
      <c r="O292" s="1" t="str">
        <f t="shared" si="3"/>
        <v>Thunder - 2510</v>
      </c>
      <c r="P292" s="1" t="s">
        <v>400</v>
      </c>
      <c r="Q292" s="1">
        <v>1</v>
      </c>
      <c r="R292" s="1" t="s">
        <v>372</v>
      </c>
      <c r="V292" s="1">
        <f t="shared" si="4"/>
        <v>291</v>
      </c>
      <c r="W292" s="1">
        <f t="shared" si="5"/>
        <v>0.51992031872509958</v>
      </c>
    </row>
    <row r="293" spans="1:37" x14ac:dyDescent="0.2">
      <c r="A293" s="1">
        <v>292</v>
      </c>
      <c r="B293" s="1" t="s">
        <v>1612</v>
      </c>
      <c r="C293" s="1" t="s">
        <v>888</v>
      </c>
      <c r="D293" s="1" t="s">
        <v>596</v>
      </c>
      <c r="E293" s="1" t="s">
        <v>1563</v>
      </c>
      <c r="F293" s="1" t="s">
        <v>305</v>
      </c>
      <c r="G293" s="1">
        <f>IF(ISNA(VLOOKUP(F293,Monster!B:E,4,FALSE)),0,VLOOKUP(F293,Monster!B:E,4,FALSE))</f>
        <v>45</v>
      </c>
      <c r="I293" s="1" t="s">
        <v>1613</v>
      </c>
      <c r="J293" s="1">
        <v>1942</v>
      </c>
      <c r="K293" s="1">
        <v>-30</v>
      </c>
      <c r="L293" s="1">
        <v>297</v>
      </c>
      <c r="M293" s="1" t="s">
        <v>100</v>
      </c>
      <c r="N293" s="1">
        <f>((NOT(ISNA(VLOOKUP(M293,Monster!$H$2:$I$6,2,FALSE)))*L293)+J293)*(1+K293/100*0.25)</f>
        <v>1796.3500000000001</v>
      </c>
      <c r="O293" s="1" t="str">
        <f t="shared" si="3"/>
        <v>Blast - 1796.35</v>
      </c>
      <c r="P293" s="1" t="s">
        <v>440</v>
      </c>
      <c r="Q293" s="1">
        <v>2</v>
      </c>
      <c r="V293" s="1">
        <f t="shared" si="4"/>
        <v>292</v>
      </c>
      <c r="W293" s="1">
        <f t="shared" si="5"/>
        <v>0.13264850379633766</v>
      </c>
    </row>
    <row r="294" spans="1:37" x14ac:dyDescent="0.2">
      <c r="A294" s="1">
        <v>293</v>
      </c>
      <c r="B294" s="1" t="s">
        <v>1614</v>
      </c>
      <c r="C294" s="1" t="s">
        <v>900</v>
      </c>
      <c r="D294" s="1" t="s">
        <v>596</v>
      </c>
      <c r="E294" s="1" t="s">
        <v>1563</v>
      </c>
      <c r="F294" s="1" t="s">
        <v>320</v>
      </c>
      <c r="G294" s="1">
        <f>IF(ISNA(VLOOKUP(F294,Monster!B:E,4,FALSE)),0,VLOOKUP(F294,Monster!B:E,4,FALSE))</f>
        <v>48</v>
      </c>
      <c r="I294" s="1" t="s">
        <v>1615</v>
      </c>
      <c r="J294" s="1">
        <v>1318</v>
      </c>
      <c r="K294" s="1">
        <v>-30</v>
      </c>
      <c r="L294" s="1">
        <v>1261</v>
      </c>
      <c r="M294" s="1" t="s">
        <v>41</v>
      </c>
      <c r="N294" s="1">
        <f>((NOT(ISNA(VLOOKUP(M294,Monster!$H$2:$I$6,2,FALSE)))*L294)+J294)*(1+K294/100*0.25)</f>
        <v>2385.5750000000003</v>
      </c>
      <c r="O294" s="1" t="str">
        <f t="shared" si="3"/>
        <v>Fire - 2385.575</v>
      </c>
      <c r="P294" s="1" t="s">
        <v>194</v>
      </c>
      <c r="Q294" s="1">
        <v>1</v>
      </c>
      <c r="V294" s="1">
        <f t="shared" si="4"/>
        <v>293</v>
      </c>
      <c r="W294" s="1">
        <f t="shared" si="5"/>
        <v>0.4889492051182629</v>
      </c>
    </row>
    <row r="295" spans="1:37" x14ac:dyDescent="0.2">
      <c r="A295" s="1">
        <v>294</v>
      </c>
      <c r="B295" s="1" t="s">
        <v>1616</v>
      </c>
      <c r="C295" s="1" t="s">
        <v>922</v>
      </c>
      <c r="D295" s="1" t="s">
        <v>596</v>
      </c>
      <c r="E295" s="1" t="s">
        <v>1563</v>
      </c>
      <c r="F295" s="1" t="s">
        <v>349</v>
      </c>
      <c r="G295" s="1">
        <f>IF(ISNA(VLOOKUP(F295,Monster!B:E,4,FALSE)),0,VLOOKUP(F295,Monster!B:E,4,FALSE))</f>
        <v>53</v>
      </c>
      <c r="I295" s="1" t="s">
        <v>1616</v>
      </c>
      <c r="J295" s="1">
        <v>1738</v>
      </c>
      <c r="K295" s="1">
        <v>40</v>
      </c>
      <c r="L295" s="1">
        <v>0</v>
      </c>
      <c r="M295" s="1" t="s">
        <v>107</v>
      </c>
      <c r="N295" s="1">
        <f>((NOT(ISNA(VLOOKUP(M295,Monster!$H$2:$I$6,2,FALSE)))*L295)+J295)*(1+K295/100*0.25)</f>
        <v>1911.8000000000002</v>
      </c>
      <c r="O295" s="1" t="str">
        <f t="shared" si="3"/>
        <v>No Element - 1911.8</v>
      </c>
      <c r="P295" s="1" t="s">
        <v>535</v>
      </c>
      <c r="Q295" s="1">
        <v>2</v>
      </c>
      <c r="V295" s="1">
        <f t="shared" si="4"/>
        <v>294</v>
      </c>
      <c r="W295" s="1">
        <f t="shared" si="5"/>
        <v>0</v>
      </c>
    </row>
    <row r="296" spans="1:37" x14ac:dyDescent="0.2">
      <c r="A296" s="1">
        <v>295</v>
      </c>
      <c r="B296" s="1" t="s">
        <v>1617</v>
      </c>
      <c r="C296" s="1" t="s">
        <v>926</v>
      </c>
      <c r="D296" s="1" t="s">
        <v>596</v>
      </c>
      <c r="E296" s="1" t="s">
        <v>1563</v>
      </c>
      <c r="F296" s="1" t="s">
        <v>354</v>
      </c>
      <c r="G296" s="1">
        <f>IF(ISNA(VLOOKUP(F296,Monster!B:E,4,FALSE)),0,VLOOKUP(F296,Monster!B:E,4,FALSE))</f>
        <v>54</v>
      </c>
      <c r="I296" s="1" t="s">
        <v>1617</v>
      </c>
      <c r="J296" s="1">
        <v>1328</v>
      </c>
      <c r="K296" s="1">
        <v>20</v>
      </c>
      <c r="L296" s="1">
        <v>1074</v>
      </c>
      <c r="M296" s="1" t="s">
        <v>50</v>
      </c>
      <c r="N296" s="1">
        <f>((NOT(ISNA(VLOOKUP(M296,Monster!$H$2:$I$6,2,FALSE)))*L296)+J296)*(1+K296/100*0.25)</f>
        <v>2522.1</v>
      </c>
      <c r="O296" s="1" t="str">
        <f t="shared" si="3"/>
        <v>Water - 2522.1</v>
      </c>
      <c r="P296" s="1" t="s">
        <v>677</v>
      </c>
      <c r="Q296" s="1">
        <v>1</v>
      </c>
      <c r="R296" s="1" t="s">
        <v>372</v>
      </c>
      <c r="V296" s="1">
        <f t="shared" si="4"/>
        <v>295</v>
      </c>
      <c r="W296" s="1">
        <f t="shared" si="5"/>
        <v>0.44712739383846795</v>
      </c>
    </row>
    <row r="297" spans="1:37" x14ac:dyDescent="0.2">
      <c r="A297" s="1">
        <v>296</v>
      </c>
      <c r="B297" s="1" t="s">
        <v>1618</v>
      </c>
      <c r="C297" s="1" t="s">
        <v>930</v>
      </c>
      <c r="D297" s="1" t="s">
        <v>596</v>
      </c>
      <c r="E297" s="1" t="s">
        <v>1563</v>
      </c>
      <c r="F297" s="1" t="s">
        <v>360</v>
      </c>
      <c r="G297" s="1">
        <f>IF(ISNA(VLOOKUP(F297,Monster!B:E,4,FALSE)),0,VLOOKUP(F297,Monster!B:E,4,FALSE))</f>
        <v>55</v>
      </c>
      <c r="I297" s="1" t="s">
        <v>1619</v>
      </c>
      <c r="J297" s="1">
        <v>1979</v>
      </c>
      <c r="K297" s="1">
        <v>0</v>
      </c>
      <c r="L297" s="1">
        <v>0</v>
      </c>
      <c r="M297" s="1" t="s">
        <v>107</v>
      </c>
      <c r="N297" s="1">
        <f>((NOT(ISNA(VLOOKUP(M297,Monster!$H$2:$I$6,2,FALSE)))*L297)+J297)*(1+K297/100*0.25)</f>
        <v>1979</v>
      </c>
      <c r="O297" s="1" t="str">
        <f t="shared" si="3"/>
        <v>No Element - 1979</v>
      </c>
      <c r="P297" s="1" t="s">
        <v>515</v>
      </c>
      <c r="Q297" s="1">
        <v>1</v>
      </c>
      <c r="V297" s="1">
        <f t="shared" si="4"/>
        <v>296</v>
      </c>
      <c r="W297" s="1">
        <f t="shared" si="5"/>
        <v>0</v>
      </c>
    </row>
    <row r="298" spans="1:37" x14ac:dyDescent="0.2">
      <c r="A298" s="1">
        <v>297</v>
      </c>
      <c r="B298" s="1" t="s">
        <v>1620</v>
      </c>
      <c r="C298" s="1" t="s">
        <v>934</v>
      </c>
      <c r="D298" s="1" t="s">
        <v>596</v>
      </c>
      <c r="E298" s="1" t="s">
        <v>1563</v>
      </c>
      <c r="F298" s="1" t="s">
        <v>365</v>
      </c>
      <c r="G298" s="1">
        <f>IF(ISNA(VLOOKUP(F298,Monster!B:E,4,FALSE)),0,VLOOKUP(F298,Monster!B:E,4,FALSE))</f>
        <v>56</v>
      </c>
      <c r="I298" s="1" t="s">
        <v>1621</v>
      </c>
      <c r="J298" s="1">
        <v>1020</v>
      </c>
      <c r="K298" s="1">
        <v>0</v>
      </c>
      <c r="L298" s="1">
        <v>1173</v>
      </c>
      <c r="M298" s="1" t="s">
        <v>66</v>
      </c>
      <c r="N298" s="1">
        <f>((NOT(ISNA(VLOOKUP(M298,Monster!$H$2:$I$6,2,FALSE)))*L298)+J298)*(1+K298/100*0.25)</f>
        <v>2193</v>
      </c>
      <c r="O298" s="1" t="str">
        <f t="shared" si="3"/>
        <v>Ice - 2193</v>
      </c>
      <c r="P298" s="1" t="s">
        <v>659</v>
      </c>
      <c r="Q298" s="1">
        <v>1</v>
      </c>
      <c r="V298" s="1">
        <f t="shared" si="4"/>
        <v>297</v>
      </c>
      <c r="W298" s="1">
        <f t="shared" si="5"/>
        <v>0.53488372093023251</v>
      </c>
    </row>
    <row r="299" spans="1:37" x14ac:dyDescent="0.2">
      <c r="A299" s="1">
        <v>298</v>
      </c>
      <c r="B299" s="1" t="s">
        <v>1622</v>
      </c>
      <c r="C299" s="1" t="s">
        <v>939</v>
      </c>
      <c r="D299" s="1" t="s">
        <v>596</v>
      </c>
      <c r="E299" s="1" t="s">
        <v>1563</v>
      </c>
      <c r="F299" s="1" t="s">
        <v>370</v>
      </c>
      <c r="G299" s="1">
        <f>IF(ISNA(VLOOKUP(F299,Monster!B:E,4,FALSE)),0,VLOOKUP(F299,Monster!B:E,4,FALSE))</f>
        <v>57</v>
      </c>
      <c r="I299" s="1" t="s">
        <v>1623</v>
      </c>
      <c r="J299" s="1">
        <v>1197</v>
      </c>
      <c r="K299" s="1">
        <v>20</v>
      </c>
      <c r="L299" s="1">
        <v>1154</v>
      </c>
      <c r="M299" s="1" t="s">
        <v>41</v>
      </c>
      <c r="N299" s="1">
        <f>((NOT(ISNA(VLOOKUP(M299,Monster!$H$2:$I$6,2,FALSE)))*L299)+J299)*(1+K299/100*0.25)</f>
        <v>2468.5500000000002</v>
      </c>
      <c r="O299" s="1" t="str">
        <f t="shared" si="3"/>
        <v>Fire - 2468.55</v>
      </c>
      <c r="P299" s="1" t="s">
        <v>615</v>
      </c>
      <c r="Q299" s="1">
        <v>2</v>
      </c>
      <c r="V299" s="1">
        <f t="shared" si="4"/>
        <v>298</v>
      </c>
      <c r="W299" s="1">
        <f t="shared" si="5"/>
        <v>0.49085495533815399</v>
      </c>
    </row>
    <row r="300" spans="1:37" x14ac:dyDescent="0.2">
      <c r="A300" s="1">
        <v>299</v>
      </c>
      <c r="B300" s="3" t="s">
        <v>1624</v>
      </c>
      <c r="C300" s="3" t="s">
        <v>943</v>
      </c>
      <c r="D300" s="3" t="s">
        <v>596</v>
      </c>
      <c r="E300" s="1" t="s">
        <v>1563</v>
      </c>
      <c r="F300" s="3" t="s">
        <v>374</v>
      </c>
      <c r="G300" s="4">
        <f>IF(ISNA(VLOOKUP(F300,Monster!B:E,4,FALSE)),0,VLOOKUP(F300,Monster!B:E,4,FALSE))</f>
        <v>58</v>
      </c>
      <c r="H300" s="3"/>
      <c r="I300" s="3" t="s">
        <v>1624</v>
      </c>
      <c r="J300" s="4">
        <v>1205</v>
      </c>
      <c r="K300" s="4">
        <v>0</v>
      </c>
      <c r="L300" s="4">
        <v>1305</v>
      </c>
      <c r="M300" s="3" t="s">
        <v>71</v>
      </c>
      <c r="N300" s="4">
        <f>((NOT(ISNA(VLOOKUP(M300,Monster!$H$2:$I$6,2,FALSE)))*L300)+J300)*(1+K300/100*0.25)</f>
        <v>2510</v>
      </c>
      <c r="O300" s="1" t="str">
        <f t="shared" si="3"/>
        <v>Dragon - 2510</v>
      </c>
      <c r="P300" s="3" t="s">
        <v>689</v>
      </c>
      <c r="Q300" s="4">
        <v>1</v>
      </c>
      <c r="R300" s="3" t="s">
        <v>372</v>
      </c>
      <c r="V300" s="1">
        <f t="shared" si="4"/>
        <v>299</v>
      </c>
      <c r="W300" s="1">
        <f t="shared" si="5"/>
        <v>0.51992031872509958</v>
      </c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</row>
    <row r="301" spans="1:37" x14ac:dyDescent="0.2">
      <c r="A301" s="1">
        <v>300</v>
      </c>
      <c r="B301" s="1" t="s">
        <v>1625</v>
      </c>
      <c r="C301" s="1" t="s">
        <v>949</v>
      </c>
      <c r="D301" s="1" t="s">
        <v>596</v>
      </c>
      <c r="E301" s="1" t="s">
        <v>1563</v>
      </c>
      <c r="F301" s="1"/>
      <c r="G301" s="1">
        <f>IF(ISNA(VLOOKUP(F301,Monster!B:E,4,FALSE)),0,VLOOKUP(F301,Monster!B:E,4,FALSE))</f>
        <v>0</v>
      </c>
      <c r="I301" s="1" t="s">
        <v>1626</v>
      </c>
      <c r="J301" s="1">
        <v>1596</v>
      </c>
      <c r="K301" s="1">
        <v>0</v>
      </c>
      <c r="L301" s="1">
        <v>0</v>
      </c>
      <c r="M301" s="1" t="s">
        <v>107</v>
      </c>
      <c r="N301" s="1">
        <f>((NOT(ISNA(VLOOKUP(M301,Monster!$H$2:$I$6,2,FALSE)))*L301)+J301)*(1+K301/100*0.25)</f>
        <v>1596</v>
      </c>
      <c r="O301" s="1" t="str">
        <f t="shared" si="3"/>
        <v>No Element - 1596</v>
      </c>
      <c r="P301" s="1" t="s">
        <v>158</v>
      </c>
      <c r="Q301" s="1">
        <v>1</v>
      </c>
      <c r="V301" s="1">
        <f t="shared" si="4"/>
        <v>300</v>
      </c>
      <c r="W301" s="1">
        <f t="shared" si="5"/>
        <v>0</v>
      </c>
    </row>
    <row r="302" spans="1:37" x14ac:dyDescent="0.2">
      <c r="A302" s="1">
        <v>301</v>
      </c>
      <c r="B302" s="1" t="s">
        <v>1627</v>
      </c>
      <c r="C302" s="1" t="s">
        <v>958</v>
      </c>
      <c r="D302" s="1" t="s">
        <v>596</v>
      </c>
      <c r="E302" s="1" t="s">
        <v>1563</v>
      </c>
      <c r="F302" s="1"/>
      <c r="G302" s="1">
        <f>IF(ISNA(VLOOKUP(F302,Monster!B:E,4,FALSE)),0,VLOOKUP(F302,Monster!B:E,4,FALSE))</f>
        <v>0</v>
      </c>
      <c r="I302" s="1" t="s">
        <v>1628</v>
      </c>
      <c r="J302" s="1">
        <v>1878</v>
      </c>
      <c r="K302" s="1">
        <v>0</v>
      </c>
      <c r="L302" s="1">
        <v>0</v>
      </c>
      <c r="M302" s="1" t="s">
        <v>107</v>
      </c>
      <c r="N302" s="1">
        <f>((NOT(ISNA(VLOOKUP(M302,Monster!$H$2:$I$6,2,FALSE)))*L302)+J302)*(1+K302/100*0.25)</f>
        <v>1878</v>
      </c>
      <c r="O302" s="1" t="str">
        <f t="shared" si="3"/>
        <v>No Element - 1878</v>
      </c>
      <c r="P302" s="1" t="s">
        <v>412</v>
      </c>
      <c r="Q302" s="1">
        <v>1</v>
      </c>
      <c r="V302" s="1">
        <f t="shared" si="4"/>
        <v>301</v>
      </c>
      <c r="W302" s="1">
        <f t="shared" si="5"/>
        <v>0</v>
      </c>
    </row>
    <row r="303" spans="1:37" x14ac:dyDescent="0.2">
      <c r="A303" s="1">
        <v>302</v>
      </c>
      <c r="B303" s="1" t="s">
        <v>1629</v>
      </c>
      <c r="C303" s="1" t="s">
        <v>34</v>
      </c>
      <c r="D303" s="1" t="s">
        <v>596</v>
      </c>
      <c r="E303" s="1" t="s">
        <v>1630</v>
      </c>
      <c r="F303" s="1"/>
      <c r="G303" s="1">
        <f>IF(ISNA(VLOOKUP(F303,Monster!B:E,4,FALSE)),0,VLOOKUP(F303,Monster!B:E,4,FALSE))</f>
        <v>0</v>
      </c>
      <c r="I303" s="1" t="s">
        <v>1631</v>
      </c>
      <c r="J303" s="1">
        <v>1596</v>
      </c>
      <c r="K303" s="1">
        <v>0</v>
      </c>
      <c r="L303" s="1">
        <v>0</v>
      </c>
      <c r="M303" s="1" t="s">
        <v>107</v>
      </c>
      <c r="N303" s="1">
        <f>((NOT(ISNA(VLOOKUP(M303,Monster!$H$2:$I$6,2,FALSE)))*L303)+J303)*(1+K303/100*0.25)</f>
        <v>1596</v>
      </c>
      <c r="O303" s="1" t="str">
        <f t="shared" si="3"/>
        <v>No Element - 1596</v>
      </c>
      <c r="P303" s="1" t="s">
        <v>410</v>
      </c>
      <c r="Q303" s="1">
        <v>2</v>
      </c>
      <c r="S303" s="1" t="s">
        <v>1632</v>
      </c>
      <c r="V303" s="1">
        <f t="shared" si="4"/>
        <v>302</v>
      </c>
      <c r="W303" s="1">
        <f t="shared" si="5"/>
        <v>0</v>
      </c>
    </row>
    <row r="304" spans="1:37" x14ac:dyDescent="0.2">
      <c r="A304" s="1">
        <v>303</v>
      </c>
      <c r="B304" s="1" t="s">
        <v>1633</v>
      </c>
      <c r="C304" s="1" t="s">
        <v>324</v>
      </c>
      <c r="D304" s="1" t="s">
        <v>596</v>
      </c>
      <c r="E304" s="1" t="s">
        <v>1630</v>
      </c>
      <c r="F304" s="1" t="s">
        <v>11</v>
      </c>
      <c r="G304" s="1">
        <f>IF(ISNA(VLOOKUP(F304,Monster!B:E,4,FALSE)),0,VLOOKUP(F304,Monster!B:E,4,FALSE))</f>
        <v>1</v>
      </c>
      <c r="I304" s="1" t="s">
        <v>1634</v>
      </c>
      <c r="J304" s="1">
        <v>1373</v>
      </c>
      <c r="K304" s="1">
        <v>0</v>
      </c>
      <c r="L304" s="1">
        <v>607</v>
      </c>
      <c r="M304" s="1" t="s">
        <v>50</v>
      </c>
      <c r="N304" s="1">
        <f>((NOT(ISNA(VLOOKUP(M304,Monster!$H$2:$I$6,2,FALSE)))*L304)+J304)*(1+K304/100*0.25)</f>
        <v>1980</v>
      </c>
      <c r="O304" s="1" t="str">
        <f t="shared" si="3"/>
        <v>Water - 1980</v>
      </c>
      <c r="P304" s="1" t="s">
        <v>348</v>
      </c>
      <c r="Q304" s="1">
        <v>2</v>
      </c>
      <c r="S304" s="1" t="s">
        <v>1632</v>
      </c>
      <c r="V304" s="1">
        <f t="shared" si="4"/>
        <v>303</v>
      </c>
      <c r="W304" s="1">
        <f t="shared" si="5"/>
        <v>0.30656565656565654</v>
      </c>
    </row>
    <row r="305" spans="1:23" x14ac:dyDescent="0.2">
      <c r="A305" s="1">
        <v>304</v>
      </c>
      <c r="B305" s="1" t="s">
        <v>1635</v>
      </c>
      <c r="C305" s="1" t="s">
        <v>696</v>
      </c>
      <c r="D305" s="1" t="s">
        <v>596</v>
      </c>
      <c r="E305" s="1" t="s">
        <v>1630</v>
      </c>
      <c r="F305" s="1" t="s">
        <v>69</v>
      </c>
      <c r="G305" s="1">
        <f>IF(ISNA(VLOOKUP(F305,Monster!B:E,4,FALSE)),0,VLOOKUP(F305,Monster!B:E,4,FALSE))</f>
        <v>5</v>
      </c>
      <c r="I305" s="1" t="s">
        <v>1636</v>
      </c>
      <c r="J305" s="1">
        <v>1756</v>
      </c>
      <c r="K305" s="1">
        <v>0</v>
      </c>
      <c r="L305" s="1">
        <v>0</v>
      </c>
      <c r="M305" s="1" t="s">
        <v>107</v>
      </c>
      <c r="N305" s="1">
        <f>((NOT(ISNA(VLOOKUP(M305,Monster!$H$2:$I$6,2,FALSE)))*L305)+J305)*(1+K305/100*0.25)</f>
        <v>1756</v>
      </c>
      <c r="O305" s="1" t="str">
        <f t="shared" si="3"/>
        <v>No Element - 1756</v>
      </c>
      <c r="P305" s="1" t="s">
        <v>213</v>
      </c>
      <c r="Q305" s="1">
        <v>2</v>
      </c>
      <c r="S305" s="1" t="s">
        <v>1637</v>
      </c>
      <c r="V305" s="1">
        <f t="shared" si="4"/>
        <v>304</v>
      </c>
      <c r="W305" s="1">
        <f t="shared" si="5"/>
        <v>0</v>
      </c>
    </row>
    <row r="306" spans="1:23" x14ac:dyDescent="0.2">
      <c r="A306" s="1">
        <v>305</v>
      </c>
      <c r="B306" s="1" t="s">
        <v>1638</v>
      </c>
      <c r="C306" s="1" t="s">
        <v>719</v>
      </c>
      <c r="D306" s="1" t="s">
        <v>596</v>
      </c>
      <c r="E306" s="1" t="s">
        <v>1630</v>
      </c>
      <c r="F306" s="1" t="s">
        <v>75</v>
      </c>
      <c r="G306" s="1">
        <f>IF(ISNA(VLOOKUP(F306,Monster!B:E,4,FALSE)),0,VLOOKUP(F306,Monster!B:E,4,FALSE))</f>
        <v>6</v>
      </c>
      <c r="I306" s="1" t="s">
        <v>1639</v>
      </c>
      <c r="J306" s="1">
        <v>1596</v>
      </c>
      <c r="K306" s="1">
        <v>0</v>
      </c>
      <c r="L306" s="1">
        <v>400</v>
      </c>
      <c r="M306" s="1" t="s">
        <v>87</v>
      </c>
      <c r="N306" s="1">
        <f>((NOT(ISNA(VLOOKUP(M306,Monster!$H$2:$I$6,2,FALSE)))*L306)+J306)*(1+K306/100*0.25)</f>
        <v>1596</v>
      </c>
      <c r="O306" s="1" t="str">
        <f t="shared" si="3"/>
        <v>Paralysis - 1596</v>
      </c>
      <c r="P306" s="1" t="s">
        <v>590</v>
      </c>
      <c r="Q306" s="1">
        <v>1</v>
      </c>
      <c r="S306" s="1" t="s">
        <v>1632</v>
      </c>
      <c r="V306" s="1">
        <f t="shared" si="4"/>
        <v>305</v>
      </c>
      <c r="W306" s="1">
        <f t="shared" si="5"/>
        <v>0.20040080160320642</v>
      </c>
    </row>
    <row r="307" spans="1:23" x14ac:dyDescent="0.2">
      <c r="A307" s="1">
        <v>306</v>
      </c>
      <c r="B307" s="1" t="s">
        <v>1640</v>
      </c>
      <c r="C307" s="1" t="s">
        <v>729</v>
      </c>
      <c r="D307" s="1" t="s">
        <v>596</v>
      </c>
      <c r="E307" s="1" t="s">
        <v>1630</v>
      </c>
      <c r="F307" s="1" t="s">
        <v>81</v>
      </c>
      <c r="G307" s="1">
        <f>IF(ISNA(VLOOKUP(F307,Monster!B:E,4,FALSE)),0,VLOOKUP(F307,Monster!B:E,4,FALSE))</f>
        <v>7</v>
      </c>
      <c r="I307" s="1" t="s">
        <v>1641</v>
      </c>
      <c r="J307" s="1">
        <v>1293</v>
      </c>
      <c r="K307" s="1">
        <v>0</v>
      </c>
      <c r="L307" s="1">
        <v>910</v>
      </c>
      <c r="M307" s="1" t="s">
        <v>58</v>
      </c>
      <c r="N307" s="1">
        <f>((NOT(ISNA(VLOOKUP(M307,Monster!$H$2:$I$6,2,FALSE)))*L307)+J307)*(1+K307/100*0.25)</f>
        <v>2203</v>
      </c>
      <c r="O307" s="1" t="str">
        <f t="shared" si="3"/>
        <v>Thunder - 2203</v>
      </c>
      <c r="P307" s="1" t="s">
        <v>253</v>
      </c>
      <c r="Q307" s="1">
        <v>1</v>
      </c>
      <c r="S307" s="1" t="s">
        <v>1642</v>
      </c>
      <c r="V307" s="1">
        <f t="shared" si="4"/>
        <v>306</v>
      </c>
      <c r="W307" s="1">
        <f t="shared" si="5"/>
        <v>0.41307308216068994</v>
      </c>
    </row>
    <row r="308" spans="1:23" x14ac:dyDescent="0.2">
      <c r="A308" s="1">
        <v>307</v>
      </c>
      <c r="B308" s="1" t="s">
        <v>1643</v>
      </c>
      <c r="C308" s="1" t="s">
        <v>745</v>
      </c>
      <c r="D308" s="1" t="s">
        <v>596</v>
      </c>
      <c r="E308" s="1" t="s">
        <v>1630</v>
      </c>
      <c r="F308" s="1" t="s">
        <v>102</v>
      </c>
      <c r="G308" s="1">
        <f>IF(ISNA(VLOOKUP(F308,Monster!B:E,4,FALSE)),0,VLOOKUP(F308,Monster!B:E,4,FALSE))</f>
        <v>10</v>
      </c>
      <c r="I308" s="1" t="s">
        <v>1644</v>
      </c>
      <c r="J308" s="1">
        <v>1293</v>
      </c>
      <c r="K308" s="1">
        <v>0</v>
      </c>
      <c r="L308" s="1">
        <v>910</v>
      </c>
      <c r="M308" s="1" t="s">
        <v>50</v>
      </c>
      <c r="N308" s="1">
        <f>((NOT(ISNA(VLOOKUP(M308,Monster!$H$2:$I$6,2,FALSE)))*L308)+J308)*(1+K308/100*0.25)</f>
        <v>2203</v>
      </c>
      <c r="O308" s="1" t="str">
        <f t="shared" si="3"/>
        <v>Water - 2203</v>
      </c>
      <c r="P308" s="1" t="s">
        <v>394</v>
      </c>
      <c r="Q308" s="1">
        <v>1</v>
      </c>
      <c r="S308" s="1" t="s">
        <v>1637</v>
      </c>
      <c r="V308" s="1">
        <f t="shared" si="4"/>
        <v>307</v>
      </c>
      <c r="W308" s="1">
        <f t="shared" si="5"/>
        <v>0.41307308216068994</v>
      </c>
    </row>
    <row r="309" spans="1:23" x14ac:dyDescent="0.2">
      <c r="A309" s="1">
        <v>308</v>
      </c>
      <c r="B309" s="1" t="s">
        <v>1645</v>
      </c>
      <c r="C309" s="1" t="s">
        <v>750</v>
      </c>
      <c r="D309" s="1" t="s">
        <v>596</v>
      </c>
      <c r="E309" s="1" t="s">
        <v>1630</v>
      </c>
      <c r="F309" s="1" t="s">
        <v>109</v>
      </c>
      <c r="G309" s="1">
        <f>IF(ISNA(VLOOKUP(F309,Monster!B:E,4,FALSE)),0,VLOOKUP(F309,Monster!B:E,4,FALSE))</f>
        <v>11</v>
      </c>
      <c r="I309" s="1" t="s">
        <v>1646</v>
      </c>
      <c r="J309" s="1">
        <v>1293</v>
      </c>
      <c r="K309" s="1">
        <v>0</v>
      </c>
      <c r="L309" s="1">
        <v>910</v>
      </c>
      <c r="M309" s="1" t="s">
        <v>41</v>
      </c>
      <c r="N309" s="1">
        <f>((NOT(ISNA(VLOOKUP(M309,Monster!$H$2:$I$6,2,FALSE)))*L309)+J309)*(1+K309/100*0.25)</f>
        <v>2203</v>
      </c>
      <c r="O309" s="1" t="str">
        <f t="shared" si="3"/>
        <v>Fire - 2203</v>
      </c>
      <c r="P309" s="1" t="s">
        <v>543</v>
      </c>
      <c r="Q309" s="1">
        <v>1</v>
      </c>
      <c r="S309" s="1" t="s">
        <v>1632</v>
      </c>
      <c r="V309" s="1">
        <f t="shared" si="4"/>
        <v>308</v>
      </c>
      <c r="W309" s="1">
        <f t="shared" si="5"/>
        <v>0.41307308216068994</v>
      </c>
    </row>
    <row r="310" spans="1:23" x14ac:dyDescent="0.2">
      <c r="A310" s="1">
        <v>309</v>
      </c>
      <c r="B310" s="1" t="s">
        <v>1647</v>
      </c>
      <c r="C310" s="1" t="s">
        <v>756</v>
      </c>
      <c r="D310" s="1" t="s">
        <v>596</v>
      </c>
      <c r="E310" s="1" t="s">
        <v>1630</v>
      </c>
      <c r="F310" s="1" t="s">
        <v>119</v>
      </c>
      <c r="G310" s="1">
        <f>IF(ISNA(VLOOKUP(F310,Monster!B:E,4,FALSE)),0,VLOOKUP(F310,Monster!B:E,4,FALSE))</f>
        <v>12</v>
      </c>
      <c r="I310" s="1" t="s">
        <v>1647</v>
      </c>
      <c r="J310" s="1">
        <v>1197</v>
      </c>
      <c r="K310" s="1">
        <v>20</v>
      </c>
      <c r="L310" s="1">
        <v>1154</v>
      </c>
      <c r="M310" s="1" t="s">
        <v>58</v>
      </c>
      <c r="N310" s="1">
        <f>((NOT(ISNA(VLOOKUP(M310,Monster!$H$2:$I$6,2,FALSE)))*L310)+J310)*(1+K310/100*0.25)</f>
        <v>2468.5500000000002</v>
      </c>
      <c r="O310" s="1" t="str">
        <f t="shared" si="3"/>
        <v>Thunder - 2468.55</v>
      </c>
      <c r="P310" s="1" t="s">
        <v>175</v>
      </c>
      <c r="Q310" s="1">
        <v>1</v>
      </c>
      <c r="S310" s="1" t="s">
        <v>1637</v>
      </c>
      <c r="V310" s="1">
        <f t="shared" si="4"/>
        <v>309</v>
      </c>
      <c r="W310" s="1">
        <f t="shared" si="5"/>
        <v>0.49085495533815399</v>
      </c>
    </row>
    <row r="311" spans="1:23" x14ac:dyDescent="0.2">
      <c r="A311" s="1">
        <v>310</v>
      </c>
      <c r="B311" s="1" t="s">
        <v>1648</v>
      </c>
      <c r="C311" s="1" t="s">
        <v>761</v>
      </c>
      <c r="D311" s="1" t="s">
        <v>596</v>
      </c>
      <c r="E311" s="1" t="s">
        <v>1630</v>
      </c>
      <c r="F311" s="1" t="s">
        <v>125</v>
      </c>
      <c r="G311" s="1">
        <f>IF(ISNA(VLOOKUP(F311,Monster!B:E,4,FALSE)),0,VLOOKUP(F311,Monster!B:E,4,FALSE))</f>
        <v>13</v>
      </c>
      <c r="I311" s="1" t="s">
        <v>1649</v>
      </c>
      <c r="J311" s="1">
        <v>1516</v>
      </c>
      <c r="K311" s="1">
        <v>0</v>
      </c>
      <c r="L311" s="1">
        <v>496</v>
      </c>
      <c r="M311" s="1" t="s">
        <v>79</v>
      </c>
      <c r="N311" s="1">
        <f>((NOT(ISNA(VLOOKUP(M311,Monster!$H$2:$I$6,2,FALSE)))*L311)+J311)*(1+K311/100*0.25)</f>
        <v>1516</v>
      </c>
      <c r="O311" s="1" t="str">
        <f t="shared" si="3"/>
        <v>Poison - 1516</v>
      </c>
      <c r="P311" s="1" t="s">
        <v>348</v>
      </c>
      <c r="Q311" s="1">
        <v>2</v>
      </c>
      <c r="S311" s="1" t="s">
        <v>1632</v>
      </c>
      <c r="V311" s="1">
        <f t="shared" si="4"/>
        <v>310</v>
      </c>
      <c r="W311" s="1">
        <f t="shared" si="5"/>
        <v>0.24652087475149106</v>
      </c>
    </row>
    <row r="312" spans="1:23" x14ac:dyDescent="0.2">
      <c r="A312" s="1">
        <v>311</v>
      </c>
      <c r="B312" s="1" t="s">
        <v>1650</v>
      </c>
      <c r="C312" s="1" t="s">
        <v>766</v>
      </c>
      <c r="D312" s="1" t="s">
        <v>596</v>
      </c>
      <c r="E312" s="1" t="s">
        <v>1630</v>
      </c>
      <c r="F312" s="1" t="s">
        <v>131</v>
      </c>
      <c r="G312" s="1">
        <f>IF(ISNA(VLOOKUP(F312,Monster!B:E,4,FALSE)),0,VLOOKUP(F312,Monster!B:E,4,FALSE))</f>
        <v>14</v>
      </c>
      <c r="I312" s="1" t="s">
        <v>1651</v>
      </c>
      <c r="J312" s="1">
        <v>1756</v>
      </c>
      <c r="K312" s="1">
        <v>0</v>
      </c>
      <c r="L312" s="1">
        <v>300</v>
      </c>
      <c r="M312" s="1" t="s">
        <v>79</v>
      </c>
      <c r="N312" s="1">
        <f>((NOT(ISNA(VLOOKUP(M312,Monster!$H$2:$I$6,2,FALSE)))*L312)+J312)*(1+K312/100*0.25)</f>
        <v>1756</v>
      </c>
      <c r="O312" s="1" t="str">
        <f t="shared" si="3"/>
        <v>Poison - 1756</v>
      </c>
      <c r="P312" s="1" t="s">
        <v>253</v>
      </c>
      <c r="Q312" s="1">
        <v>1</v>
      </c>
      <c r="S312" s="1" t="s">
        <v>1632</v>
      </c>
      <c r="V312" s="1">
        <f t="shared" si="4"/>
        <v>311</v>
      </c>
      <c r="W312" s="1">
        <f t="shared" si="5"/>
        <v>0.14591439688715954</v>
      </c>
    </row>
    <row r="313" spans="1:23" x14ac:dyDescent="0.2">
      <c r="A313" s="1">
        <v>312</v>
      </c>
      <c r="B313" s="1" t="s">
        <v>1652</v>
      </c>
      <c r="C313" s="1" t="s">
        <v>771</v>
      </c>
      <c r="D313" s="1" t="s">
        <v>596</v>
      </c>
      <c r="E313" s="1" t="s">
        <v>1630</v>
      </c>
      <c r="F313" s="1" t="s">
        <v>137</v>
      </c>
      <c r="G313" s="1">
        <f>IF(ISNA(VLOOKUP(F313,Monster!B:E,4,FALSE)),0,VLOOKUP(F313,Monster!B:E,4,FALSE))</f>
        <v>15</v>
      </c>
      <c r="I313" s="1" t="s">
        <v>1652</v>
      </c>
      <c r="J313" s="1">
        <v>1675</v>
      </c>
      <c r="K313" s="1">
        <v>30</v>
      </c>
      <c r="L313" s="1">
        <v>399</v>
      </c>
      <c r="M313" s="1" t="s">
        <v>79</v>
      </c>
      <c r="N313" s="1">
        <f>((NOT(ISNA(VLOOKUP(M313,Monster!$H$2:$I$6,2,FALSE)))*L313)+J313)*(1+K313/100*0.25)</f>
        <v>1800.625</v>
      </c>
      <c r="O313" s="1" t="str">
        <f t="shared" si="3"/>
        <v>Poison - 1800.625</v>
      </c>
      <c r="P313" s="1" t="s">
        <v>483</v>
      </c>
      <c r="Q313" s="1">
        <v>2</v>
      </c>
      <c r="S313" s="1" t="s">
        <v>1632</v>
      </c>
      <c r="V313" s="1">
        <f t="shared" si="4"/>
        <v>312</v>
      </c>
      <c r="W313" s="1">
        <f t="shared" si="5"/>
        <v>0.19238187078109933</v>
      </c>
    </row>
    <row r="314" spans="1:23" x14ac:dyDescent="0.2">
      <c r="A314" s="1">
        <v>313</v>
      </c>
      <c r="B314" s="1" t="s">
        <v>1653</v>
      </c>
      <c r="C314" s="1" t="s">
        <v>775</v>
      </c>
      <c r="D314" s="1" t="s">
        <v>596</v>
      </c>
      <c r="E314" s="1" t="s">
        <v>1630</v>
      </c>
      <c r="F314" s="1" t="s">
        <v>146</v>
      </c>
      <c r="G314" s="1">
        <f>IF(ISNA(VLOOKUP(F314,Monster!B:E,4,FALSE)),0,VLOOKUP(F314,Monster!B:E,4,FALSE))</f>
        <v>16</v>
      </c>
      <c r="I314" s="1" t="s">
        <v>1654</v>
      </c>
      <c r="J314" s="1">
        <v>1221</v>
      </c>
      <c r="K314" s="1">
        <v>0</v>
      </c>
      <c r="L314" s="1">
        <v>1142</v>
      </c>
      <c r="M314" s="1" t="s">
        <v>66</v>
      </c>
      <c r="N314" s="1">
        <f>((NOT(ISNA(VLOOKUP(M314,Monster!$H$2:$I$6,2,FALSE)))*L314)+J314)*(1+K314/100*0.25)</f>
        <v>2363</v>
      </c>
      <c r="O314" s="1" t="str">
        <f t="shared" si="3"/>
        <v>Ice - 2363</v>
      </c>
      <c r="P314" s="1" t="s">
        <v>228</v>
      </c>
      <c r="Q314" s="1">
        <v>2</v>
      </c>
      <c r="S314" s="1" t="s">
        <v>1632</v>
      </c>
      <c r="V314" s="1">
        <f t="shared" si="4"/>
        <v>313</v>
      </c>
      <c r="W314" s="1">
        <f t="shared" si="5"/>
        <v>0.48328396106644095</v>
      </c>
    </row>
    <row r="315" spans="1:23" x14ac:dyDescent="0.2">
      <c r="A315" s="1">
        <v>314</v>
      </c>
      <c r="B315" s="1" t="s">
        <v>1655</v>
      </c>
      <c r="C315" s="1" t="s">
        <v>786</v>
      </c>
      <c r="D315" s="1" t="s">
        <v>596</v>
      </c>
      <c r="E315" s="1" t="s">
        <v>1630</v>
      </c>
      <c r="F315" s="1" t="s">
        <v>160</v>
      </c>
      <c r="G315" s="1">
        <f>IF(ISNA(VLOOKUP(F315,Monster!B:E,4,FALSE)),0,VLOOKUP(F315,Monster!B:E,4,FALSE))</f>
        <v>19</v>
      </c>
      <c r="I315" s="1" t="s">
        <v>1656</v>
      </c>
      <c r="J315" s="1">
        <v>1221</v>
      </c>
      <c r="K315" s="1">
        <v>0</v>
      </c>
      <c r="L315" s="1">
        <v>1142</v>
      </c>
      <c r="M315" s="1" t="s">
        <v>41</v>
      </c>
      <c r="N315" s="1">
        <f>((NOT(ISNA(VLOOKUP(M315,Monster!$H$2:$I$6,2,FALSE)))*L315)+J315)*(1+K315/100*0.25)</f>
        <v>2363</v>
      </c>
      <c r="O315" s="1" t="str">
        <f t="shared" si="3"/>
        <v>Fire - 2363</v>
      </c>
      <c r="P315" s="1" t="s">
        <v>244</v>
      </c>
      <c r="Q315" s="1">
        <v>1</v>
      </c>
      <c r="S315" s="1" t="s">
        <v>1642</v>
      </c>
      <c r="V315" s="1">
        <f t="shared" si="4"/>
        <v>314</v>
      </c>
      <c r="W315" s="1">
        <f t="shared" si="5"/>
        <v>0.48328396106644095</v>
      </c>
    </row>
    <row r="316" spans="1:23" x14ac:dyDescent="0.2">
      <c r="A316" s="1">
        <v>315</v>
      </c>
      <c r="B316" s="1" t="s">
        <v>1657</v>
      </c>
      <c r="C316" s="1" t="s">
        <v>790</v>
      </c>
      <c r="D316" s="1" t="s">
        <v>596</v>
      </c>
      <c r="E316" s="1" t="s">
        <v>1630</v>
      </c>
      <c r="F316" s="1" t="s">
        <v>165</v>
      </c>
      <c r="G316" s="1">
        <f>IF(ISNA(VLOOKUP(F316,Monster!B:E,4,FALSE)),0,VLOOKUP(F316,Monster!B:E,4,FALSE))</f>
        <v>20</v>
      </c>
      <c r="I316" s="1" t="s">
        <v>1658</v>
      </c>
      <c r="J316" s="1">
        <v>1682</v>
      </c>
      <c r="K316" s="1">
        <v>0</v>
      </c>
      <c r="L316" s="1">
        <v>605</v>
      </c>
      <c r="M316" s="1" t="s">
        <v>41</v>
      </c>
      <c r="N316" s="1">
        <f>((NOT(ISNA(VLOOKUP(M316,Monster!$H$2:$I$6,2,FALSE)))*L316)+J316)*(1+K316/100*0.25)</f>
        <v>2287</v>
      </c>
      <c r="O316" s="1" t="str">
        <f t="shared" si="3"/>
        <v>Fire - 2287</v>
      </c>
      <c r="P316" s="1" t="s">
        <v>602</v>
      </c>
      <c r="Q316" s="1">
        <v>1</v>
      </c>
      <c r="S316" s="1" t="s">
        <v>1642</v>
      </c>
      <c r="V316" s="1">
        <f t="shared" si="4"/>
        <v>315</v>
      </c>
      <c r="W316" s="1">
        <f t="shared" si="5"/>
        <v>0.26453869698294707</v>
      </c>
    </row>
    <row r="317" spans="1:23" x14ac:dyDescent="0.2">
      <c r="A317" s="1">
        <v>316</v>
      </c>
      <c r="B317" s="1" t="s">
        <v>1659</v>
      </c>
      <c r="C317" s="1" t="s">
        <v>794</v>
      </c>
      <c r="D317" s="1" t="s">
        <v>596</v>
      </c>
      <c r="E317" s="1" t="s">
        <v>1630</v>
      </c>
      <c r="F317" s="1" t="s">
        <v>171</v>
      </c>
      <c r="G317" s="1">
        <f>IF(ISNA(VLOOKUP(F317,Monster!B:E,4,FALSE)),0,VLOOKUP(F317,Monster!B:E,4,FALSE))</f>
        <v>21</v>
      </c>
      <c r="I317" s="1" t="s">
        <v>1659</v>
      </c>
      <c r="J317" s="1">
        <v>1258</v>
      </c>
      <c r="K317" s="1">
        <v>30</v>
      </c>
      <c r="L317" s="1">
        <v>1082</v>
      </c>
      <c r="M317" s="1" t="s">
        <v>41</v>
      </c>
      <c r="N317" s="1">
        <f>((NOT(ISNA(VLOOKUP(M317,Monster!$H$2:$I$6,2,FALSE)))*L317)+J317)*(1+K317/100*0.25)</f>
        <v>2515.5</v>
      </c>
      <c r="O317" s="1" t="str">
        <f t="shared" si="3"/>
        <v>Fire - 2515.5</v>
      </c>
      <c r="P317" s="1" t="s">
        <v>175</v>
      </c>
      <c r="Q317" s="1">
        <v>2</v>
      </c>
      <c r="S317" s="1" t="s">
        <v>1642</v>
      </c>
      <c r="V317" s="1">
        <f t="shared" si="4"/>
        <v>316</v>
      </c>
      <c r="W317" s="1">
        <f t="shared" si="5"/>
        <v>0.46239316239316242</v>
      </c>
    </row>
    <row r="318" spans="1:23" x14ac:dyDescent="0.2">
      <c r="A318" s="1">
        <v>317</v>
      </c>
      <c r="B318" s="1" t="s">
        <v>1660</v>
      </c>
      <c r="C318" s="1" t="s">
        <v>800</v>
      </c>
      <c r="D318" s="1" t="s">
        <v>596</v>
      </c>
      <c r="E318" s="1" t="s">
        <v>1630</v>
      </c>
      <c r="F318" s="1" t="s">
        <v>184</v>
      </c>
      <c r="G318" s="1">
        <f>IF(ISNA(VLOOKUP(F318,Monster!B:E,4,FALSE)),0,VLOOKUP(F318,Monster!B:E,4,FALSE))</f>
        <v>23</v>
      </c>
      <c r="I318" s="1" t="s">
        <v>1660</v>
      </c>
      <c r="J318" s="1">
        <v>1764</v>
      </c>
      <c r="K318" s="1">
        <v>0</v>
      </c>
      <c r="L318" s="1">
        <v>0</v>
      </c>
      <c r="M318" s="1" t="s">
        <v>107</v>
      </c>
      <c r="N318" s="1">
        <f>((NOT(ISNA(VLOOKUP(M318,Monster!$H$2:$I$6,2,FALSE)))*L318)+J318)*(1+K318/100*0.25)</f>
        <v>1764</v>
      </c>
      <c r="O318" s="1" t="str">
        <f t="shared" si="3"/>
        <v>No Element - 1764</v>
      </c>
      <c r="P318" s="1" t="s">
        <v>306</v>
      </c>
      <c r="Q318" s="1">
        <v>2</v>
      </c>
      <c r="S318" s="1" t="s">
        <v>1632</v>
      </c>
      <c r="V318" s="1">
        <f t="shared" si="4"/>
        <v>317</v>
      </c>
      <c r="W318" s="1">
        <f t="shared" si="5"/>
        <v>0</v>
      </c>
    </row>
    <row r="319" spans="1:23" x14ac:dyDescent="0.2">
      <c r="A319" s="1">
        <v>318</v>
      </c>
      <c r="B319" s="1" t="s">
        <v>1661</v>
      </c>
      <c r="C319" s="1" t="s">
        <v>803</v>
      </c>
      <c r="D319" s="1" t="s">
        <v>596</v>
      </c>
      <c r="E319" s="1" t="s">
        <v>1630</v>
      </c>
      <c r="F319" s="1" t="s">
        <v>190</v>
      </c>
      <c r="G319" s="1">
        <f>IF(ISNA(VLOOKUP(F319,Monster!B:E,4,FALSE)),0,VLOOKUP(F319,Monster!B:E,4,FALSE))</f>
        <v>24</v>
      </c>
      <c r="I319" s="1" t="s">
        <v>1662</v>
      </c>
      <c r="J319" s="1">
        <v>1191</v>
      </c>
      <c r="K319" s="1">
        <v>20</v>
      </c>
      <c r="L319" s="1">
        <v>910</v>
      </c>
      <c r="M319" s="1" t="s">
        <v>66</v>
      </c>
      <c r="N319" s="1">
        <f>((NOT(ISNA(VLOOKUP(M319,Monster!$H$2:$I$6,2,FALSE)))*L319)+J319)*(1+K319/100*0.25)</f>
        <v>2206.0500000000002</v>
      </c>
      <c r="O319" s="1" t="str">
        <f t="shared" si="3"/>
        <v>Ice - 2206.05</v>
      </c>
      <c r="P319" s="1" t="s">
        <v>253</v>
      </c>
      <c r="Q319" s="1">
        <v>1</v>
      </c>
      <c r="S319" s="1" t="s">
        <v>1637</v>
      </c>
      <c r="V319" s="1">
        <f t="shared" si="4"/>
        <v>318</v>
      </c>
      <c r="W319" s="1">
        <f t="shared" si="5"/>
        <v>0.43312708234174202</v>
      </c>
    </row>
    <row r="320" spans="1:23" x14ac:dyDescent="0.2">
      <c r="A320" s="1">
        <v>319</v>
      </c>
      <c r="B320" s="1" t="s">
        <v>1663</v>
      </c>
      <c r="C320" s="1" t="s">
        <v>807</v>
      </c>
      <c r="D320" s="1" t="s">
        <v>596</v>
      </c>
      <c r="E320" s="1" t="s">
        <v>1630</v>
      </c>
      <c r="F320" s="1" t="s">
        <v>193</v>
      </c>
      <c r="G320" s="1">
        <f>IF(ISNA(VLOOKUP(F320,Monster!B:E,4,FALSE)),0,VLOOKUP(F320,Monster!B:E,4,FALSE))</f>
        <v>25</v>
      </c>
      <c r="I320" s="1" t="s">
        <v>1664</v>
      </c>
      <c r="J320" s="1">
        <v>1221</v>
      </c>
      <c r="K320" s="1">
        <v>0</v>
      </c>
      <c r="L320" s="1">
        <v>1142</v>
      </c>
      <c r="M320" s="1" t="s">
        <v>58</v>
      </c>
      <c r="N320" s="1">
        <f>((NOT(ISNA(VLOOKUP(M320,Monster!$H$2:$I$6,2,FALSE)))*L320)+J320)*(1+K320/100*0.25)</f>
        <v>2363</v>
      </c>
      <c r="O320" s="1" t="str">
        <f t="shared" si="3"/>
        <v>Thunder - 2363</v>
      </c>
      <c r="P320" s="1" t="s">
        <v>38</v>
      </c>
      <c r="Q320" s="1">
        <v>1</v>
      </c>
      <c r="S320" s="1" t="s">
        <v>1632</v>
      </c>
      <c r="V320" s="1">
        <f t="shared" si="4"/>
        <v>319</v>
      </c>
      <c r="W320" s="1">
        <f t="shared" si="5"/>
        <v>0.48328396106644095</v>
      </c>
    </row>
    <row r="321" spans="1:23" x14ac:dyDescent="0.2">
      <c r="A321" s="1">
        <v>320</v>
      </c>
      <c r="B321" s="1" t="s">
        <v>1665</v>
      </c>
      <c r="C321" s="1" t="s">
        <v>821</v>
      </c>
      <c r="D321" s="1" t="s">
        <v>596</v>
      </c>
      <c r="E321" s="1" t="s">
        <v>1630</v>
      </c>
      <c r="F321" s="1" t="s">
        <v>216</v>
      </c>
      <c r="G321" s="1">
        <f>IF(ISNA(VLOOKUP(F321,Monster!B:E,4,FALSE)),0,VLOOKUP(F321,Monster!B:E,4,FALSE))</f>
        <v>29</v>
      </c>
      <c r="I321" s="1" t="s">
        <v>1666</v>
      </c>
      <c r="J321" s="1">
        <v>1318</v>
      </c>
      <c r="K321" s="1">
        <v>-30</v>
      </c>
      <c r="L321" s="1">
        <v>1261</v>
      </c>
      <c r="M321" s="1" t="s">
        <v>71</v>
      </c>
      <c r="N321" s="1">
        <f>((NOT(ISNA(VLOOKUP(M321,Monster!$H$2:$I$6,2,FALSE)))*L321)+J321)*(1+K321/100*0.25)</f>
        <v>2385.5750000000003</v>
      </c>
      <c r="O321" s="1" t="str">
        <f t="shared" si="3"/>
        <v>Dragon - 2385.575</v>
      </c>
      <c r="P321" s="1" t="s">
        <v>46</v>
      </c>
      <c r="Q321" s="1">
        <v>1</v>
      </c>
      <c r="S321" s="1" t="s">
        <v>1642</v>
      </c>
      <c r="V321" s="1">
        <f t="shared" si="4"/>
        <v>320</v>
      </c>
      <c r="W321" s="1">
        <f t="shared" si="5"/>
        <v>0.4889492051182629</v>
      </c>
    </row>
    <row r="322" spans="1:23" x14ac:dyDescent="0.2">
      <c r="A322" s="1">
        <v>321</v>
      </c>
      <c r="B322" s="1" t="s">
        <v>1667</v>
      </c>
      <c r="C322" s="1" t="s">
        <v>829</v>
      </c>
      <c r="D322" s="1" t="s">
        <v>596</v>
      </c>
      <c r="E322" s="1" t="s">
        <v>1630</v>
      </c>
      <c r="F322" s="1" t="s">
        <v>229</v>
      </c>
      <c r="G322" s="1">
        <f>IF(ISNA(VLOOKUP(F322,Monster!B:E,4,FALSE)),0,VLOOKUP(F322,Monster!B:E,4,FALSE))</f>
        <v>31</v>
      </c>
      <c r="I322" s="1" t="s">
        <v>1668</v>
      </c>
      <c r="J322" s="1">
        <v>1194</v>
      </c>
      <c r="K322" s="1">
        <v>20</v>
      </c>
      <c r="L322" s="1">
        <v>913</v>
      </c>
      <c r="M322" s="1" t="s">
        <v>58</v>
      </c>
      <c r="N322" s="1">
        <f>((NOT(ISNA(VLOOKUP(M322,Monster!$H$2:$I$6,2,FALSE)))*L322)+J322)*(1+K322/100*0.25)</f>
        <v>2212.35</v>
      </c>
      <c r="O322" s="1" t="str">
        <f t="shared" si="3"/>
        <v>Thunder - 2212.35</v>
      </c>
      <c r="P322" s="1" t="s">
        <v>470</v>
      </c>
      <c r="Q322" s="1">
        <v>1</v>
      </c>
      <c r="S322" s="1" t="s">
        <v>1637</v>
      </c>
      <c r="V322" s="1">
        <f t="shared" si="4"/>
        <v>321</v>
      </c>
      <c r="W322" s="1">
        <f t="shared" si="5"/>
        <v>0.43331751305173233</v>
      </c>
    </row>
    <row r="323" spans="1:23" x14ac:dyDescent="0.2">
      <c r="A323" s="1">
        <v>322</v>
      </c>
      <c r="B323" s="1" t="s">
        <v>1669</v>
      </c>
      <c r="C323" s="1" t="s">
        <v>834</v>
      </c>
      <c r="D323" s="1" t="s">
        <v>596</v>
      </c>
      <c r="E323" s="1" t="s">
        <v>1630</v>
      </c>
      <c r="F323" s="1" t="s">
        <v>234</v>
      </c>
      <c r="G323" s="1">
        <f>IF(ISNA(VLOOKUP(F323,Monster!B:E,4,FALSE)),0,VLOOKUP(F323,Monster!B:E,4,FALSE))</f>
        <v>32</v>
      </c>
      <c r="I323" s="1" t="s">
        <v>1669</v>
      </c>
      <c r="J323" s="1">
        <v>1553</v>
      </c>
      <c r="K323" s="1">
        <v>0</v>
      </c>
      <c r="L323" s="1">
        <v>974</v>
      </c>
      <c r="M323" s="1" t="s">
        <v>66</v>
      </c>
      <c r="N323" s="1">
        <f>((NOT(ISNA(VLOOKUP(M323,Monster!$H$2:$I$6,2,FALSE)))*L323)+J323)*(1+K323/100*0.25)</f>
        <v>2527</v>
      </c>
      <c r="O323" s="1" t="str">
        <f t="shared" si="3"/>
        <v>Ice - 2527</v>
      </c>
      <c r="P323" s="1" t="s">
        <v>528</v>
      </c>
      <c r="Q323" s="1">
        <v>2</v>
      </c>
      <c r="R323" s="1" t="s">
        <v>372</v>
      </c>
      <c r="S323" s="1" t="s">
        <v>1642</v>
      </c>
      <c r="V323" s="1">
        <f t="shared" si="4"/>
        <v>322</v>
      </c>
      <c r="W323" s="1">
        <f t="shared" si="5"/>
        <v>0.38543727740403638</v>
      </c>
    </row>
    <row r="324" spans="1:23" x14ac:dyDescent="0.2">
      <c r="A324" s="1">
        <v>323</v>
      </c>
      <c r="B324" s="1" t="s">
        <v>1670</v>
      </c>
      <c r="C324" s="1" t="s">
        <v>839</v>
      </c>
      <c r="D324" s="1" t="s">
        <v>596</v>
      </c>
      <c r="E324" s="1" t="s">
        <v>1630</v>
      </c>
      <c r="F324" s="1" t="s">
        <v>239</v>
      </c>
      <c r="G324" s="1">
        <f>IF(ISNA(VLOOKUP(F324,Monster!B:E,4,FALSE)),0,VLOOKUP(F324,Monster!B:E,4,FALSE))</f>
        <v>33</v>
      </c>
      <c r="I324" s="1" t="s">
        <v>1671</v>
      </c>
      <c r="J324" s="1">
        <v>1138</v>
      </c>
      <c r="K324" s="1">
        <v>20</v>
      </c>
      <c r="L324" s="1">
        <v>1156</v>
      </c>
      <c r="M324" s="1" t="s">
        <v>50</v>
      </c>
      <c r="N324" s="1">
        <f>((NOT(ISNA(VLOOKUP(M324,Monster!$H$2:$I$6,2,FALSE)))*L324)+J324)*(1+K324/100*0.25)</f>
        <v>2408.7000000000003</v>
      </c>
      <c r="O324" s="1" t="str">
        <f t="shared" si="3"/>
        <v>Water - 2408.7</v>
      </c>
      <c r="P324" s="1" t="s">
        <v>38</v>
      </c>
      <c r="Q324" s="1">
        <v>1</v>
      </c>
      <c r="S324" s="1" t="s">
        <v>1642</v>
      </c>
      <c r="V324" s="1">
        <f t="shared" si="4"/>
        <v>323</v>
      </c>
      <c r="W324" s="1">
        <f t="shared" si="5"/>
        <v>0.50392327811682647</v>
      </c>
    </row>
    <row r="325" spans="1:23" x14ac:dyDescent="0.2">
      <c r="A325" s="1">
        <v>324</v>
      </c>
      <c r="B325" s="1" t="s">
        <v>1672</v>
      </c>
      <c r="C325" s="1" t="s">
        <v>849</v>
      </c>
      <c r="D325" s="1" t="s">
        <v>596</v>
      </c>
      <c r="E325" s="1" t="s">
        <v>1630</v>
      </c>
      <c r="F325" s="1" t="s">
        <v>251</v>
      </c>
      <c r="G325" s="1">
        <f>IF(ISNA(VLOOKUP(F325,Monster!B:E,4,FALSE)),0,VLOOKUP(F325,Monster!B:E,4,FALSE))</f>
        <v>35</v>
      </c>
      <c r="I325" s="1" t="s">
        <v>1673</v>
      </c>
      <c r="J325" s="1">
        <v>1588</v>
      </c>
      <c r="K325" s="1">
        <v>0</v>
      </c>
      <c r="L325" s="1">
        <v>632</v>
      </c>
      <c r="M325" s="1" t="s">
        <v>41</v>
      </c>
      <c r="N325" s="1">
        <f>((NOT(ISNA(VLOOKUP(M325,Monster!$H$2:$I$6,2,FALSE)))*L325)+J325)*(1+K325/100*0.25)</f>
        <v>2220</v>
      </c>
      <c r="O325" s="1" t="str">
        <f t="shared" si="3"/>
        <v>Fire - 2220</v>
      </c>
      <c r="P325" s="1" t="s">
        <v>412</v>
      </c>
      <c r="Q325" s="1">
        <v>1</v>
      </c>
      <c r="S325" s="1" t="s">
        <v>1632</v>
      </c>
      <c r="V325" s="1">
        <f t="shared" si="4"/>
        <v>324</v>
      </c>
      <c r="W325" s="1">
        <f t="shared" si="5"/>
        <v>0.28468468468468466</v>
      </c>
    </row>
    <row r="326" spans="1:23" x14ac:dyDescent="0.2">
      <c r="A326" s="1">
        <v>325</v>
      </c>
      <c r="B326" s="1" t="s">
        <v>1674</v>
      </c>
      <c r="C326" s="1" t="s">
        <v>853</v>
      </c>
      <c r="D326" s="1" t="s">
        <v>596</v>
      </c>
      <c r="E326" s="1" t="s">
        <v>1630</v>
      </c>
      <c r="F326" s="1" t="s">
        <v>256</v>
      </c>
      <c r="G326" s="1">
        <f>IF(ISNA(VLOOKUP(F326,Monster!B:E,4,FALSE)),0,VLOOKUP(F326,Monster!B:E,4,FALSE))</f>
        <v>36</v>
      </c>
      <c r="I326" s="1" t="s">
        <v>1675</v>
      </c>
      <c r="J326" s="1">
        <v>1516</v>
      </c>
      <c r="K326" s="1">
        <v>0</v>
      </c>
      <c r="L326" s="1">
        <v>496</v>
      </c>
      <c r="M326" s="1" t="s">
        <v>100</v>
      </c>
      <c r="N326" s="1">
        <f>((NOT(ISNA(VLOOKUP(M326,Monster!$H$2:$I$6,2,FALSE)))*L326)+J326)*(1+K326/100*0.25)</f>
        <v>1516</v>
      </c>
      <c r="O326" s="1" t="str">
        <f t="shared" si="3"/>
        <v>Blast - 1516</v>
      </c>
      <c r="P326" s="1" t="s">
        <v>463</v>
      </c>
      <c r="Q326" s="1">
        <v>1</v>
      </c>
      <c r="S326" s="1" t="s">
        <v>1642</v>
      </c>
      <c r="V326" s="1">
        <f t="shared" si="4"/>
        <v>325</v>
      </c>
      <c r="W326" s="1">
        <f t="shared" si="5"/>
        <v>0.24652087475149106</v>
      </c>
    </row>
    <row r="327" spans="1:23" x14ac:dyDescent="0.2">
      <c r="A327" s="1">
        <v>326</v>
      </c>
      <c r="B327" s="1" t="s">
        <v>1676</v>
      </c>
      <c r="C327" s="1" t="s">
        <v>857</v>
      </c>
      <c r="D327" s="1" t="s">
        <v>596</v>
      </c>
      <c r="E327" s="1" t="s">
        <v>1630</v>
      </c>
      <c r="F327" s="1" t="s">
        <v>263</v>
      </c>
      <c r="G327" s="1">
        <f>IF(ISNA(VLOOKUP(F327,Monster!B:E,4,FALSE)),0,VLOOKUP(F327,Monster!B:E,4,FALSE))</f>
        <v>37</v>
      </c>
      <c r="I327" s="1" t="s">
        <v>1677</v>
      </c>
      <c r="J327" s="1">
        <v>1318</v>
      </c>
      <c r="K327" s="1">
        <v>-30</v>
      </c>
      <c r="L327" s="1">
        <v>1261</v>
      </c>
      <c r="M327" s="1" t="s">
        <v>58</v>
      </c>
      <c r="N327" s="1">
        <f>((NOT(ISNA(VLOOKUP(M327,Monster!$H$2:$I$6,2,FALSE)))*L327)+J327)*(1+K327/100*0.25)</f>
        <v>2385.5750000000003</v>
      </c>
      <c r="O327" s="1" t="str">
        <f t="shared" si="3"/>
        <v>Thunder - 2385.575</v>
      </c>
      <c r="P327" s="1" t="s">
        <v>221</v>
      </c>
      <c r="Q327" s="1">
        <v>1</v>
      </c>
      <c r="S327" s="1" t="s">
        <v>1637</v>
      </c>
      <c r="V327" s="1">
        <f t="shared" si="4"/>
        <v>326</v>
      </c>
      <c r="W327" s="1">
        <f t="shared" si="5"/>
        <v>0.4889492051182629</v>
      </c>
    </row>
    <row r="328" spans="1:23" x14ac:dyDescent="0.2">
      <c r="A328" s="1">
        <v>327</v>
      </c>
      <c r="B328" s="1" t="s">
        <v>1678</v>
      </c>
      <c r="C328" s="1" t="s">
        <v>863</v>
      </c>
      <c r="D328" s="1" t="s">
        <v>596</v>
      </c>
      <c r="E328" s="1" t="s">
        <v>1630</v>
      </c>
      <c r="F328" s="1" t="s">
        <v>268</v>
      </c>
      <c r="G328" s="1">
        <f>IF(ISNA(VLOOKUP(F328,Monster!B:E,4,FALSE)),0,VLOOKUP(F328,Monster!B:E,4,FALSE))</f>
        <v>38</v>
      </c>
      <c r="I328" s="1" t="s">
        <v>1678</v>
      </c>
      <c r="J328" s="1">
        <v>1553</v>
      </c>
      <c r="K328" s="1">
        <v>0</v>
      </c>
      <c r="L328" s="1">
        <v>974</v>
      </c>
      <c r="M328" s="1" t="s">
        <v>71</v>
      </c>
      <c r="N328" s="1">
        <f>((NOT(ISNA(VLOOKUP(M328,Monster!$H$2:$I$6,2,FALSE)))*L328)+J328)*(1+K328/100*0.25)</f>
        <v>2527</v>
      </c>
      <c r="O328" s="1" t="str">
        <f t="shared" si="3"/>
        <v>Dragon - 2527</v>
      </c>
      <c r="P328" s="1" t="s">
        <v>463</v>
      </c>
      <c r="Q328" s="1">
        <v>2</v>
      </c>
      <c r="R328" s="1" t="s">
        <v>372</v>
      </c>
      <c r="S328" s="1" t="s">
        <v>1637</v>
      </c>
      <c r="V328" s="1">
        <f t="shared" si="4"/>
        <v>327</v>
      </c>
      <c r="W328" s="1">
        <f t="shared" si="5"/>
        <v>0.38543727740403638</v>
      </c>
    </row>
    <row r="329" spans="1:23" x14ac:dyDescent="0.2">
      <c r="A329" s="1">
        <v>328</v>
      </c>
      <c r="B329" s="1" t="s">
        <v>1679</v>
      </c>
      <c r="C329" s="1" t="s">
        <v>866</v>
      </c>
      <c r="D329" s="1" t="s">
        <v>596</v>
      </c>
      <c r="E329" s="1" t="s">
        <v>1630</v>
      </c>
      <c r="F329" s="1" t="s">
        <v>273</v>
      </c>
      <c r="G329" s="1">
        <f>IF(ISNA(VLOOKUP(F329,Monster!B:E,4,FALSE)),0,VLOOKUP(F329,Monster!B:E,4,FALSE))</f>
        <v>39</v>
      </c>
      <c r="I329" s="1" t="s">
        <v>1680</v>
      </c>
      <c r="J329" s="1">
        <v>1588</v>
      </c>
      <c r="K329" s="1">
        <v>0</v>
      </c>
      <c r="L329" s="1">
        <v>632</v>
      </c>
      <c r="M329" s="1" t="s">
        <v>66</v>
      </c>
      <c r="N329" s="1">
        <f>((NOT(ISNA(VLOOKUP(M329,Monster!$H$2:$I$6,2,FALSE)))*L329)+J329)*(1+K329/100*0.25)</f>
        <v>2220</v>
      </c>
      <c r="O329" s="1" t="str">
        <f t="shared" si="3"/>
        <v>Ice - 2220</v>
      </c>
      <c r="P329" s="1" t="s">
        <v>412</v>
      </c>
      <c r="Q329" s="1">
        <v>1</v>
      </c>
      <c r="S329" s="1" t="s">
        <v>1637</v>
      </c>
      <c r="V329" s="1">
        <f t="shared" si="4"/>
        <v>328</v>
      </c>
      <c r="W329" s="1">
        <f t="shared" si="5"/>
        <v>0.28468468468468466</v>
      </c>
    </row>
    <row r="330" spans="1:23" x14ac:dyDescent="0.2">
      <c r="A330" s="1">
        <v>329</v>
      </c>
      <c r="B330" s="1" t="s">
        <v>1681</v>
      </c>
      <c r="C330" s="1" t="s">
        <v>869</v>
      </c>
      <c r="D330" s="1" t="s">
        <v>596</v>
      </c>
      <c r="E330" s="1" t="s">
        <v>1630</v>
      </c>
      <c r="F330" s="1" t="s">
        <v>278</v>
      </c>
      <c r="G330" s="1">
        <f>IF(ISNA(VLOOKUP(F330,Monster!B:E,4,FALSE)),0,VLOOKUP(F330,Monster!B:E,4,FALSE))</f>
        <v>40</v>
      </c>
      <c r="I330" s="1" t="s">
        <v>1682</v>
      </c>
      <c r="J330" s="1">
        <v>1516</v>
      </c>
      <c r="K330" s="1">
        <v>0</v>
      </c>
      <c r="L330" s="1">
        <v>496</v>
      </c>
      <c r="M330" s="1" t="s">
        <v>87</v>
      </c>
      <c r="N330" s="1">
        <f>((NOT(ISNA(VLOOKUP(M330,Monster!$H$2:$I$6,2,FALSE)))*L330)+J330)*(1+K330/100*0.25)</f>
        <v>1516</v>
      </c>
      <c r="O330" s="1" t="str">
        <f t="shared" si="3"/>
        <v>Paralysis - 1516</v>
      </c>
      <c r="P330" s="1" t="s">
        <v>253</v>
      </c>
      <c r="Q330" s="1">
        <v>1</v>
      </c>
      <c r="S330" s="1" t="s">
        <v>1642</v>
      </c>
      <c r="V330" s="1">
        <f t="shared" si="4"/>
        <v>329</v>
      </c>
      <c r="W330" s="1">
        <f t="shared" si="5"/>
        <v>0.24652087475149106</v>
      </c>
    </row>
    <row r="331" spans="1:23" x14ac:dyDescent="0.2">
      <c r="A331" s="1">
        <v>330</v>
      </c>
      <c r="B331" s="1" t="s">
        <v>1683</v>
      </c>
      <c r="C331" s="1" t="s">
        <v>875</v>
      </c>
      <c r="D331" s="1" t="s">
        <v>596</v>
      </c>
      <c r="E331" s="1" t="s">
        <v>1630</v>
      </c>
      <c r="F331" s="1" t="s">
        <v>293</v>
      </c>
      <c r="G331" s="1">
        <f>IF(ISNA(VLOOKUP(F331,Monster!B:E,4,FALSE)),0,VLOOKUP(F331,Monster!B:E,4,FALSE))</f>
        <v>42</v>
      </c>
      <c r="I331" s="1" t="s">
        <v>1684</v>
      </c>
      <c r="J331" s="1">
        <v>2198</v>
      </c>
      <c r="K331" s="1">
        <v>-40</v>
      </c>
      <c r="L331" s="1">
        <v>0</v>
      </c>
      <c r="M331" s="1" t="s">
        <v>107</v>
      </c>
      <c r="N331" s="1">
        <f>((NOT(ISNA(VLOOKUP(M331,Monster!$H$2:$I$6,2,FALSE)))*L331)+J331)*(1+K331/100*0.25)</f>
        <v>1978.2</v>
      </c>
      <c r="O331" s="1" t="str">
        <f t="shared" si="3"/>
        <v>No Element - 1978.2</v>
      </c>
      <c r="P331" s="1" t="s">
        <v>194</v>
      </c>
      <c r="Q331" s="1">
        <v>1</v>
      </c>
      <c r="S331" s="1" t="s">
        <v>1637</v>
      </c>
      <c r="V331" s="1">
        <f t="shared" si="4"/>
        <v>330</v>
      </c>
      <c r="W331" s="1">
        <f t="shared" si="5"/>
        <v>0</v>
      </c>
    </row>
    <row r="332" spans="1:23" x14ac:dyDescent="0.2">
      <c r="A332" s="1">
        <v>331</v>
      </c>
      <c r="B332" s="1" t="s">
        <v>1685</v>
      </c>
      <c r="C332" s="1" t="s">
        <v>880</v>
      </c>
      <c r="D332" s="1" t="s">
        <v>596</v>
      </c>
      <c r="E332" s="1" t="s">
        <v>1630</v>
      </c>
      <c r="F332" s="1" t="s">
        <v>298</v>
      </c>
      <c r="G332" s="1">
        <f>IF(ISNA(VLOOKUP(F332,Monster!B:E,4,FALSE)),0,VLOOKUP(F332,Monster!B:E,4,FALSE))</f>
        <v>43</v>
      </c>
      <c r="I332" s="1" t="s">
        <v>1686</v>
      </c>
      <c r="J332" s="1">
        <v>2198</v>
      </c>
      <c r="K332" s="1">
        <v>-10</v>
      </c>
      <c r="L332" s="1">
        <v>0</v>
      </c>
      <c r="M332" s="1" t="s">
        <v>107</v>
      </c>
      <c r="N332" s="1">
        <f>((NOT(ISNA(VLOOKUP(M332,Monster!$H$2:$I$6,2,FALSE)))*L332)+J332)*(1+K332/100*0.25)</f>
        <v>2143.0499999999997</v>
      </c>
      <c r="O332" s="1" t="str">
        <f t="shared" si="3"/>
        <v>No Element - 2143.05</v>
      </c>
      <c r="P332" s="1" t="s">
        <v>28</v>
      </c>
      <c r="Q332" s="1">
        <v>5</v>
      </c>
      <c r="S332" s="1" t="s">
        <v>1637</v>
      </c>
      <c r="V332" s="1">
        <f t="shared" si="4"/>
        <v>331</v>
      </c>
      <c r="W332" s="1">
        <f t="shared" si="5"/>
        <v>0</v>
      </c>
    </row>
    <row r="333" spans="1:23" x14ac:dyDescent="0.2">
      <c r="A333" s="1">
        <v>332</v>
      </c>
      <c r="B333" s="1" t="s">
        <v>1687</v>
      </c>
      <c r="C333" s="1" t="s">
        <v>888</v>
      </c>
      <c r="D333" s="1" t="s">
        <v>596</v>
      </c>
      <c r="E333" s="1" t="s">
        <v>1630</v>
      </c>
      <c r="F333" s="1" t="s">
        <v>305</v>
      </c>
      <c r="G333" s="1">
        <f>IF(ISNA(VLOOKUP(F333,Monster!B:E,4,FALSE)),0,VLOOKUP(F333,Monster!B:E,4,FALSE))</f>
        <v>45</v>
      </c>
      <c r="I333" s="1" t="s">
        <v>1687</v>
      </c>
      <c r="J333" s="1">
        <v>1942</v>
      </c>
      <c r="K333" s="1">
        <v>-30</v>
      </c>
      <c r="L333" s="1">
        <v>297</v>
      </c>
      <c r="M333" s="1" t="s">
        <v>100</v>
      </c>
      <c r="N333" s="1">
        <f>((NOT(ISNA(VLOOKUP(M333,Monster!$H$2:$I$6,2,FALSE)))*L333)+J333)*(1+K333/100*0.25)</f>
        <v>1796.3500000000001</v>
      </c>
      <c r="O333" s="1" t="str">
        <f t="shared" si="3"/>
        <v>Blast - 1796.35</v>
      </c>
      <c r="P333" s="1" t="s">
        <v>46</v>
      </c>
      <c r="Q333" s="1">
        <v>1</v>
      </c>
      <c r="S333" s="1" t="s">
        <v>1637</v>
      </c>
      <c r="V333" s="1">
        <f t="shared" si="4"/>
        <v>332</v>
      </c>
      <c r="W333" s="1">
        <f t="shared" si="5"/>
        <v>0.13264850379633766</v>
      </c>
    </row>
    <row r="334" spans="1:23" x14ac:dyDescent="0.2">
      <c r="A334" s="1">
        <v>333</v>
      </c>
      <c r="B334" s="1" t="s">
        <v>1688</v>
      </c>
      <c r="C334" s="1" t="s">
        <v>900</v>
      </c>
      <c r="D334" s="1" t="s">
        <v>596</v>
      </c>
      <c r="E334" s="1" t="s">
        <v>1630</v>
      </c>
      <c r="F334" s="1" t="s">
        <v>320</v>
      </c>
      <c r="G334" s="1">
        <f>IF(ISNA(VLOOKUP(F334,Monster!B:E,4,FALSE)),0,VLOOKUP(F334,Monster!B:E,4,FALSE))</f>
        <v>48</v>
      </c>
      <c r="I334" s="1" t="s">
        <v>1688</v>
      </c>
      <c r="J334" s="1">
        <v>1318</v>
      </c>
      <c r="K334" s="1">
        <v>-30</v>
      </c>
      <c r="L334" s="1">
        <v>1261</v>
      </c>
      <c r="M334" s="1" t="s">
        <v>41</v>
      </c>
      <c r="N334" s="1">
        <f>((NOT(ISNA(VLOOKUP(M334,Monster!$H$2:$I$6,2,FALSE)))*L334)+J334)*(1+K334/100*0.25)</f>
        <v>2385.5750000000003</v>
      </c>
      <c r="O334" s="1" t="str">
        <f t="shared" si="3"/>
        <v>Fire - 2385.575</v>
      </c>
      <c r="P334" s="1" t="s">
        <v>194</v>
      </c>
      <c r="Q334" s="1">
        <v>1</v>
      </c>
      <c r="S334" s="1" t="s">
        <v>1637</v>
      </c>
      <c r="V334" s="1">
        <f t="shared" si="4"/>
        <v>333</v>
      </c>
      <c r="W334" s="1">
        <f t="shared" si="5"/>
        <v>0.4889492051182629</v>
      </c>
    </row>
    <row r="335" spans="1:23" x14ac:dyDescent="0.2">
      <c r="A335" s="1">
        <v>334</v>
      </c>
      <c r="B335" s="1" t="s">
        <v>1689</v>
      </c>
      <c r="C335" s="1" t="s">
        <v>904</v>
      </c>
      <c r="D335" s="1" t="s">
        <v>596</v>
      </c>
      <c r="E335" s="1" t="s">
        <v>1630</v>
      </c>
      <c r="F335" s="1" t="s">
        <v>328</v>
      </c>
      <c r="G335" s="1">
        <f>IF(ISNA(VLOOKUP(F335,Monster!B:E,4,FALSE)),0,VLOOKUP(F335,Monster!B:E,4,FALSE))</f>
        <v>49</v>
      </c>
      <c r="I335" s="1" t="s">
        <v>1689</v>
      </c>
      <c r="J335" s="1">
        <v>1741</v>
      </c>
      <c r="K335" s="1">
        <v>0</v>
      </c>
      <c r="L335" s="1">
        <v>505</v>
      </c>
      <c r="M335" s="1" t="s">
        <v>79</v>
      </c>
      <c r="N335" s="1">
        <f>((NOT(ISNA(VLOOKUP(M335,Monster!$H$2:$I$6,2,FALSE)))*L335)+J335)*(1+K335/100*0.25)</f>
        <v>1741</v>
      </c>
      <c r="O335" s="1" t="str">
        <f t="shared" si="3"/>
        <v>Poison - 1741</v>
      </c>
      <c r="P335" s="1" t="s">
        <v>624</v>
      </c>
      <c r="Q335" s="1">
        <v>2</v>
      </c>
      <c r="S335" s="1" t="s">
        <v>1642</v>
      </c>
      <c r="V335" s="1">
        <f t="shared" si="4"/>
        <v>334</v>
      </c>
      <c r="W335" s="1">
        <f t="shared" si="5"/>
        <v>0.22484416740872662</v>
      </c>
    </row>
    <row r="336" spans="1:23" x14ac:dyDescent="0.2">
      <c r="A336" s="1">
        <v>335</v>
      </c>
      <c r="B336" s="1" t="s">
        <v>1690</v>
      </c>
      <c r="C336" s="1" t="s">
        <v>922</v>
      </c>
      <c r="D336" s="1" t="s">
        <v>596</v>
      </c>
      <c r="E336" s="1" t="s">
        <v>1630</v>
      </c>
      <c r="F336" s="1" t="s">
        <v>349</v>
      </c>
      <c r="G336" s="1">
        <f>IF(ISNA(VLOOKUP(F336,Monster!B:E,4,FALSE)),0,VLOOKUP(F336,Monster!B:E,4,FALSE))</f>
        <v>53</v>
      </c>
      <c r="I336" s="1" t="s">
        <v>1690</v>
      </c>
      <c r="J336" s="1">
        <v>1738</v>
      </c>
      <c r="K336" s="1">
        <v>40</v>
      </c>
      <c r="L336" s="1">
        <v>0</v>
      </c>
      <c r="M336" s="1" t="s">
        <v>107</v>
      </c>
      <c r="N336" s="1">
        <f>((NOT(ISNA(VLOOKUP(M336,Monster!$H$2:$I$6,2,FALSE)))*L336)+J336)*(1+K336/100*0.25)</f>
        <v>1911.8000000000002</v>
      </c>
      <c r="O336" s="1" t="str">
        <f t="shared" si="3"/>
        <v>No Element - 1911.8</v>
      </c>
      <c r="P336" s="1" t="s">
        <v>535</v>
      </c>
      <c r="Q336" s="1">
        <v>2</v>
      </c>
      <c r="S336" s="1" t="s">
        <v>1637</v>
      </c>
      <c r="V336" s="1">
        <f t="shared" si="4"/>
        <v>335</v>
      </c>
      <c r="W336" s="1">
        <f t="shared" si="5"/>
        <v>0</v>
      </c>
    </row>
    <row r="337" spans="1:37" x14ac:dyDescent="0.2">
      <c r="A337" s="1">
        <v>336</v>
      </c>
      <c r="B337" s="1" t="s">
        <v>1691</v>
      </c>
      <c r="C337" s="1" t="s">
        <v>926</v>
      </c>
      <c r="D337" s="1" t="s">
        <v>596</v>
      </c>
      <c r="E337" s="1" t="s">
        <v>1630</v>
      </c>
      <c r="F337" s="1" t="s">
        <v>354</v>
      </c>
      <c r="G337" s="1">
        <f>IF(ISNA(VLOOKUP(F337,Monster!B:E,4,FALSE)),0,VLOOKUP(F337,Monster!B:E,4,FALSE))</f>
        <v>54</v>
      </c>
      <c r="I337" s="1" t="s">
        <v>1691</v>
      </c>
      <c r="J337" s="1">
        <v>1328</v>
      </c>
      <c r="K337" s="1">
        <v>20</v>
      </c>
      <c r="L337" s="1">
        <v>1074</v>
      </c>
      <c r="M337" s="1" t="s">
        <v>50</v>
      </c>
      <c r="N337" s="1">
        <f>((NOT(ISNA(VLOOKUP(M337,Monster!$H$2:$I$6,2,FALSE)))*L337)+J337)*(1+K337/100*0.25)</f>
        <v>2522.1</v>
      </c>
      <c r="O337" s="1" t="str">
        <f t="shared" si="3"/>
        <v>Water - 2522.1</v>
      </c>
      <c r="P337" s="1" t="s">
        <v>677</v>
      </c>
      <c r="Q337" s="1">
        <v>1</v>
      </c>
      <c r="R337" s="1" t="s">
        <v>372</v>
      </c>
      <c r="S337" s="1" t="s">
        <v>1632</v>
      </c>
      <c r="V337" s="1">
        <f t="shared" si="4"/>
        <v>336</v>
      </c>
      <c r="W337" s="1">
        <f t="shared" si="5"/>
        <v>0.44712739383846795</v>
      </c>
    </row>
    <row r="338" spans="1:37" x14ac:dyDescent="0.2">
      <c r="A338" s="1">
        <v>337</v>
      </c>
      <c r="B338" s="1" t="s">
        <v>1692</v>
      </c>
      <c r="C338" s="1" t="s">
        <v>930</v>
      </c>
      <c r="D338" s="1" t="s">
        <v>596</v>
      </c>
      <c r="E338" s="1" t="s">
        <v>1630</v>
      </c>
      <c r="F338" s="1" t="s">
        <v>360</v>
      </c>
      <c r="G338" s="1">
        <f>IF(ISNA(VLOOKUP(F338,Monster!B:E,4,FALSE)),0,VLOOKUP(F338,Monster!B:E,4,FALSE))</f>
        <v>55</v>
      </c>
      <c r="I338" s="1" t="s">
        <v>1693</v>
      </c>
      <c r="J338" s="1">
        <v>1979</v>
      </c>
      <c r="K338" s="1">
        <v>0</v>
      </c>
      <c r="L338" s="1">
        <v>0</v>
      </c>
      <c r="M338" s="1" t="s">
        <v>107</v>
      </c>
      <c r="N338" s="1">
        <f>((NOT(ISNA(VLOOKUP(M338,Monster!$H$2:$I$6,2,FALSE)))*L338)+J338)*(1+K338/100*0.25)</f>
        <v>1979</v>
      </c>
      <c r="O338" s="1" t="str">
        <f t="shared" si="3"/>
        <v>No Element - 1979</v>
      </c>
      <c r="P338" s="1" t="s">
        <v>515</v>
      </c>
      <c r="Q338" s="1">
        <v>1</v>
      </c>
      <c r="S338" s="1" t="s">
        <v>1637</v>
      </c>
      <c r="V338" s="1">
        <f t="shared" si="4"/>
        <v>337</v>
      </c>
      <c r="W338" s="1">
        <f t="shared" si="5"/>
        <v>0</v>
      </c>
    </row>
    <row r="339" spans="1:37" x14ac:dyDescent="0.2">
      <c r="A339" s="1">
        <v>338</v>
      </c>
      <c r="B339" s="1" t="s">
        <v>1694</v>
      </c>
      <c r="C339" s="1" t="s">
        <v>934</v>
      </c>
      <c r="D339" s="1" t="s">
        <v>596</v>
      </c>
      <c r="E339" s="1" t="s">
        <v>1630</v>
      </c>
      <c r="F339" s="1" t="s">
        <v>365</v>
      </c>
      <c r="G339" s="1">
        <f>IF(ISNA(VLOOKUP(F339,Monster!B:E,4,FALSE)),0,VLOOKUP(F339,Monster!B:E,4,FALSE))</f>
        <v>56</v>
      </c>
      <c r="I339" s="1" t="s">
        <v>1695</v>
      </c>
      <c r="J339" s="1">
        <v>1020</v>
      </c>
      <c r="K339" s="1">
        <v>0</v>
      </c>
      <c r="L339" s="1">
        <v>1173</v>
      </c>
      <c r="M339" s="1" t="s">
        <v>66</v>
      </c>
      <c r="N339" s="1">
        <f>((NOT(ISNA(VLOOKUP(M339,Monster!$H$2:$I$6,2,FALSE)))*L339)+J339)*(1+K339/100*0.25)</f>
        <v>2193</v>
      </c>
      <c r="O339" s="1" t="str">
        <f t="shared" si="3"/>
        <v>Ice - 2193</v>
      </c>
      <c r="P339" s="1" t="s">
        <v>659</v>
      </c>
      <c r="Q339" s="1">
        <v>1</v>
      </c>
      <c r="S339" s="1" t="s">
        <v>1642</v>
      </c>
      <c r="V339" s="1">
        <f t="shared" si="4"/>
        <v>338</v>
      </c>
      <c r="W339" s="1">
        <f t="shared" si="5"/>
        <v>0.53488372093023251</v>
      </c>
    </row>
    <row r="340" spans="1:37" x14ac:dyDescent="0.2">
      <c r="A340" s="1">
        <v>339</v>
      </c>
      <c r="B340" s="1" t="s">
        <v>1696</v>
      </c>
      <c r="C340" s="1" t="s">
        <v>939</v>
      </c>
      <c r="D340" s="1" t="s">
        <v>596</v>
      </c>
      <c r="E340" s="1" t="s">
        <v>1630</v>
      </c>
      <c r="F340" s="1" t="s">
        <v>370</v>
      </c>
      <c r="G340" s="1">
        <f>IF(ISNA(VLOOKUP(F340,Monster!B:E,4,FALSE)),0,VLOOKUP(F340,Monster!B:E,4,FALSE))</f>
        <v>57</v>
      </c>
      <c r="I340" s="1" t="s">
        <v>1697</v>
      </c>
      <c r="J340" s="1">
        <v>1756</v>
      </c>
      <c r="K340" s="1">
        <v>20</v>
      </c>
      <c r="L340" s="1">
        <v>282</v>
      </c>
      <c r="M340" s="1" t="s">
        <v>79</v>
      </c>
      <c r="N340" s="1">
        <f>((NOT(ISNA(VLOOKUP(M340,Monster!$H$2:$I$6,2,FALSE)))*L340)+J340)*(1+K340/100*0.25)</f>
        <v>1843.8000000000002</v>
      </c>
      <c r="O340" s="1" t="str">
        <f t="shared" si="3"/>
        <v>Poison - 1843.8</v>
      </c>
      <c r="P340" s="1" t="s">
        <v>615</v>
      </c>
      <c r="Q340" s="1">
        <v>2</v>
      </c>
      <c r="S340" s="1" t="s">
        <v>1637</v>
      </c>
      <c r="V340" s="1">
        <f t="shared" si="4"/>
        <v>339</v>
      </c>
      <c r="W340" s="1">
        <f t="shared" si="5"/>
        <v>0.13837095191364082</v>
      </c>
    </row>
    <row r="341" spans="1:37" x14ac:dyDescent="0.2">
      <c r="A341" s="1">
        <v>340</v>
      </c>
      <c r="B341" s="3" t="s">
        <v>1698</v>
      </c>
      <c r="C341" s="3" t="s">
        <v>943</v>
      </c>
      <c r="D341" s="3" t="s">
        <v>596</v>
      </c>
      <c r="E341" s="1" t="s">
        <v>1630</v>
      </c>
      <c r="F341" s="3" t="s">
        <v>374</v>
      </c>
      <c r="G341" s="4">
        <f>IF(ISNA(VLOOKUP(F341,Monster!B:E,4,FALSE)),0,VLOOKUP(F341,Monster!B:E,4,FALSE))</f>
        <v>58</v>
      </c>
      <c r="H341" s="3"/>
      <c r="I341" s="3" t="s">
        <v>1698</v>
      </c>
      <c r="J341" s="4">
        <v>1205</v>
      </c>
      <c r="K341" s="4">
        <v>0</v>
      </c>
      <c r="L341" s="4">
        <v>1305</v>
      </c>
      <c r="M341" s="3" t="s">
        <v>71</v>
      </c>
      <c r="N341" s="4">
        <f>((NOT(ISNA(VLOOKUP(M341,Monster!$H$2:$I$6,2,FALSE)))*L341)+J341)*(1+K341/100*0.25)</f>
        <v>2510</v>
      </c>
      <c r="O341" s="1" t="str">
        <f t="shared" si="3"/>
        <v>Dragon - 2510</v>
      </c>
      <c r="P341" s="3" t="s">
        <v>689</v>
      </c>
      <c r="Q341" s="4">
        <v>1</v>
      </c>
      <c r="R341" s="3" t="s">
        <v>372</v>
      </c>
      <c r="S341" s="1" t="s">
        <v>1642</v>
      </c>
      <c r="V341" s="1">
        <f t="shared" si="4"/>
        <v>340</v>
      </c>
      <c r="W341" s="1">
        <f t="shared" si="5"/>
        <v>0.51992031872509958</v>
      </c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</row>
    <row r="342" spans="1:37" x14ac:dyDescent="0.2">
      <c r="A342" s="1">
        <v>341</v>
      </c>
      <c r="B342" s="1" t="s">
        <v>1699</v>
      </c>
      <c r="C342" s="1" t="s">
        <v>949</v>
      </c>
      <c r="D342" s="1" t="s">
        <v>596</v>
      </c>
      <c r="E342" s="1" t="s">
        <v>1630</v>
      </c>
      <c r="F342" s="1"/>
      <c r="G342" s="1">
        <f>IF(ISNA(VLOOKUP(F342,Monster!B:E,4,FALSE)),0,VLOOKUP(F342,Monster!B:E,4,FALSE))</f>
        <v>0</v>
      </c>
      <c r="I342" s="1" t="s">
        <v>1700</v>
      </c>
      <c r="J342" s="1">
        <v>1596</v>
      </c>
      <c r="K342" s="1">
        <v>0</v>
      </c>
      <c r="L342" s="1">
        <v>0</v>
      </c>
      <c r="M342" s="1" t="s">
        <v>107</v>
      </c>
      <c r="N342" s="1">
        <f>((NOT(ISNA(VLOOKUP(M342,Monster!$H$2:$I$6,2,FALSE)))*L342)+J342)*(1+K342/100*0.25)</f>
        <v>1596</v>
      </c>
      <c r="O342" s="1" t="str">
        <f t="shared" si="3"/>
        <v>No Element - 1596</v>
      </c>
      <c r="P342" s="1" t="s">
        <v>158</v>
      </c>
      <c r="Q342" s="1">
        <v>1</v>
      </c>
      <c r="S342" s="1" t="s">
        <v>1642</v>
      </c>
      <c r="V342" s="1">
        <f t="shared" si="4"/>
        <v>341</v>
      </c>
      <c r="W342" s="1">
        <f t="shared" si="5"/>
        <v>0</v>
      </c>
    </row>
    <row r="343" spans="1:37" x14ac:dyDescent="0.2">
      <c r="A343" s="1">
        <v>342</v>
      </c>
      <c r="B343" s="1" t="s">
        <v>1701</v>
      </c>
      <c r="C343" s="1" t="s">
        <v>958</v>
      </c>
      <c r="D343" s="1" t="s">
        <v>596</v>
      </c>
      <c r="E343" s="1" t="s">
        <v>1630</v>
      </c>
      <c r="F343" s="1"/>
      <c r="G343" s="1">
        <f>IF(ISNA(VLOOKUP(F343,Monster!B:E,4,FALSE)),0,VLOOKUP(F343,Monster!B:E,4,FALSE))</f>
        <v>0</v>
      </c>
      <c r="I343" s="1" t="s">
        <v>1702</v>
      </c>
      <c r="J343" s="1">
        <v>1878</v>
      </c>
      <c r="K343" s="1">
        <v>0</v>
      </c>
      <c r="L343" s="1">
        <v>0</v>
      </c>
      <c r="M343" s="1" t="s">
        <v>107</v>
      </c>
      <c r="N343" s="1">
        <f>((NOT(ISNA(VLOOKUP(M343,Monster!$H$2:$I$6,2,FALSE)))*L343)+J343)*(1+K343/100*0.25)</f>
        <v>1878</v>
      </c>
      <c r="O343" s="1" t="str">
        <f t="shared" si="3"/>
        <v>No Element - 1878</v>
      </c>
      <c r="P343" s="1" t="s">
        <v>412</v>
      </c>
      <c r="Q343" s="1">
        <v>1</v>
      </c>
      <c r="S343" s="1" t="s">
        <v>1632</v>
      </c>
      <c r="V343" s="1">
        <f t="shared" si="4"/>
        <v>342</v>
      </c>
      <c r="W343" s="1">
        <f t="shared" si="5"/>
        <v>0</v>
      </c>
    </row>
    <row r="344" spans="1:37" x14ac:dyDescent="0.2">
      <c r="A344" s="1">
        <v>343</v>
      </c>
      <c r="B344" s="1" t="s">
        <v>1703</v>
      </c>
      <c r="C344" s="1" t="s">
        <v>34</v>
      </c>
      <c r="D344" s="1" t="s">
        <v>596</v>
      </c>
      <c r="E344" s="1" t="s">
        <v>1704</v>
      </c>
      <c r="F344" s="1"/>
      <c r="G344" s="1">
        <f>IF(ISNA(VLOOKUP(F344,Monster!B:E,4,FALSE)),0,VLOOKUP(F344,Monster!B:E,4,FALSE))</f>
        <v>0</v>
      </c>
      <c r="I344" s="1" t="s">
        <v>1705</v>
      </c>
      <c r="J344" s="1">
        <v>1596</v>
      </c>
      <c r="K344" s="1">
        <v>0</v>
      </c>
      <c r="L344" s="1">
        <v>0</v>
      </c>
      <c r="M344" s="1" t="s">
        <v>107</v>
      </c>
      <c r="N344" s="1">
        <f>((NOT(ISNA(VLOOKUP(M344,Monster!$H$2:$I$6,2,FALSE)))*L344)+J344)*(1+K344/100*0.25)</f>
        <v>1596</v>
      </c>
      <c r="O344" s="1" t="str">
        <f t="shared" si="3"/>
        <v>No Element - 1596</v>
      </c>
      <c r="P344" s="1" t="s">
        <v>410</v>
      </c>
      <c r="Q344" s="1">
        <v>2</v>
      </c>
      <c r="S344" s="1" t="s">
        <v>1706</v>
      </c>
      <c r="V344" s="1">
        <f t="shared" si="4"/>
        <v>343</v>
      </c>
      <c r="W344" s="1">
        <f t="shared" si="5"/>
        <v>0</v>
      </c>
    </row>
    <row r="345" spans="1:37" x14ac:dyDescent="0.2">
      <c r="A345" s="1">
        <v>344</v>
      </c>
      <c r="B345" s="1" t="s">
        <v>1707</v>
      </c>
      <c r="C345" s="1" t="s">
        <v>324</v>
      </c>
      <c r="D345" s="1" t="s">
        <v>596</v>
      </c>
      <c r="E345" s="1" t="s">
        <v>1704</v>
      </c>
      <c r="F345" s="1" t="s">
        <v>11</v>
      </c>
      <c r="G345" s="1">
        <f>IF(ISNA(VLOOKUP(F345,Monster!B:E,4,FALSE)),0,VLOOKUP(F345,Monster!B:E,4,FALSE))</f>
        <v>1</v>
      </c>
      <c r="I345" s="1" t="s">
        <v>1708</v>
      </c>
      <c r="J345" s="1">
        <v>1373</v>
      </c>
      <c r="K345" s="1">
        <v>0</v>
      </c>
      <c r="L345" s="1">
        <v>607</v>
      </c>
      <c r="M345" s="1" t="s">
        <v>50</v>
      </c>
      <c r="N345" s="1">
        <f>((NOT(ISNA(VLOOKUP(M345,Monster!$H$2:$I$6,2,FALSE)))*L345)+J345)*(1+K345/100*0.25)</f>
        <v>1980</v>
      </c>
      <c r="O345" s="1" t="str">
        <f t="shared" si="3"/>
        <v>Water - 1980</v>
      </c>
      <c r="P345" s="1" t="s">
        <v>348</v>
      </c>
      <c r="Q345" s="1">
        <v>2</v>
      </c>
      <c r="S345" s="1" t="s">
        <v>1709</v>
      </c>
      <c r="V345" s="1">
        <f t="shared" si="4"/>
        <v>344</v>
      </c>
      <c r="W345" s="1">
        <f t="shared" si="5"/>
        <v>0.30656565656565654</v>
      </c>
    </row>
    <row r="346" spans="1:37" x14ac:dyDescent="0.2">
      <c r="A346" s="1">
        <v>345</v>
      </c>
      <c r="B346" s="1" t="s">
        <v>1710</v>
      </c>
      <c r="C346" s="1" t="s">
        <v>541</v>
      </c>
      <c r="D346" s="1" t="s">
        <v>596</v>
      </c>
      <c r="E346" s="1" t="s">
        <v>1704</v>
      </c>
      <c r="F346" s="1" t="s">
        <v>52</v>
      </c>
      <c r="G346" s="1">
        <f>IF(ISNA(VLOOKUP(F346,Monster!B:E,4,FALSE)),0,VLOOKUP(F346,Monster!B:E,4,FALSE))</f>
        <v>3</v>
      </c>
      <c r="I346" s="1" t="s">
        <v>1710</v>
      </c>
      <c r="J346" s="1">
        <v>1596</v>
      </c>
      <c r="K346" s="1">
        <v>0</v>
      </c>
      <c r="L346" s="1">
        <v>400</v>
      </c>
      <c r="M346" s="1" t="s">
        <v>79</v>
      </c>
      <c r="N346" s="1">
        <f>((NOT(ISNA(VLOOKUP(M346,Monster!$H$2:$I$6,2,FALSE)))*L346)+J346)*(1+K346/100*0.25)</f>
        <v>1596</v>
      </c>
      <c r="O346" s="1" t="str">
        <f t="shared" si="3"/>
        <v>Poison - 1596</v>
      </c>
      <c r="P346" s="1" t="s">
        <v>590</v>
      </c>
      <c r="Q346" s="1">
        <v>1</v>
      </c>
      <c r="S346" s="1" t="s">
        <v>1711</v>
      </c>
      <c r="V346" s="1">
        <f t="shared" si="4"/>
        <v>345</v>
      </c>
      <c r="W346" s="1">
        <f t="shared" si="5"/>
        <v>0.20040080160320642</v>
      </c>
    </row>
    <row r="347" spans="1:37" x14ac:dyDescent="0.2">
      <c r="A347" s="1">
        <v>346</v>
      </c>
      <c r="B347" s="1" t="s">
        <v>1712</v>
      </c>
      <c r="C347" s="1" t="s">
        <v>617</v>
      </c>
      <c r="D347" s="1" t="s">
        <v>596</v>
      </c>
      <c r="E347" s="1" t="s">
        <v>1704</v>
      </c>
      <c r="F347" s="1" t="s">
        <v>60</v>
      </c>
      <c r="G347" s="1">
        <f>IF(ISNA(VLOOKUP(F347,Monster!B:E,4,FALSE)),0,VLOOKUP(F347,Monster!B:E,4,FALSE))</f>
        <v>4</v>
      </c>
      <c r="I347" s="1" t="s">
        <v>1712</v>
      </c>
      <c r="J347" s="1">
        <v>1221</v>
      </c>
      <c r="K347" s="1">
        <v>0</v>
      </c>
      <c r="L347" s="1">
        <v>1142</v>
      </c>
      <c r="M347" s="1" t="s">
        <v>50</v>
      </c>
      <c r="N347" s="1">
        <f>((NOT(ISNA(VLOOKUP(M347,Monster!$H$2:$I$6,2,FALSE)))*L347)+J347)*(1+K347/100*0.25)</f>
        <v>2363</v>
      </c>
      <c r="O347" s="1" t="str">
        <f t="shared" si="3"/>
        <v>Water - 2363</v>
      </c>
      <c r="P347" s="1" t="s">
        <v>244</v>
      </c>
      <c r="Q347" s="1">
        <v>1</v>
      </c>
      <c r="S347" s="1" t="s">
        <v>1713</v>
      </c>
      <c r="V347" s="1">
        <f t="shared" si="4"/>
        <v>346</v>
      </c>
      <c r="W347" s="1">
        <f t="shared" si="5"/>
        <v>0.48328396106644095</v>
      </c>
    </row>
    <row r="348" spans="1:37" x14ac:dyDescent="0.2">
      <c r="A348" s="1">
        <v>347</v>
      </c>
      <c r="B348" s="1" t="s">
        <v>1714</v>
      </c>
      <c r="C348" s="1" t="s">
        <v>696</v>
      </c>
      <c r="D348" s="1" t="s">
        <v>596</v>
      </c>
      <c r="E348" s="1" t="s">
        <v>1704</v>
      </c>
      <c r="F348" s="1" t="s">
        <v>69</v>
      </c>
      <c r="G348" s="1">
        <f>IF(ISNA(VLOOKUP(F348,Monster!B:E,4,FALSE)),0,VLOOKUP(F348,Monster!B:E,4,FALSE))</f>
        <v>5</v>
      </c>
      <c r="I348" s="1" t="s">
        <v>1715</v>
      </c>
      <c r="J348" s="1">
        <v>1756</v>
      </c>
      <c r="K348" s="1">
        <v>0</v>
      </c>
      <c r="L348" s="1">
        <v>0</v>
      </c>
      <c r="M348" s="1" t="s">
        <v>107</v>
      </c>
      <c r="N348" s="1">
        <f>((NOT(ISNA(VLOOKUP(M348,Monster!$H$2:$I$6,2,FALSE)))*L348)+J348)*(1+K348/100*0.25)</f>
        <v>1756</v>
      </c>
      <c r="O348" s="1" t="str">
        <f t="shared" si="3"/>
        <v>No Element - 1756</v>
      </c>
      <c r="P348" s="1" t="s">
        <v>213</v>
      </c>
      <c r="Q348" s="1">
        <v>2</v>
      </c>
      <c r="S348" s="1" t="s">
        <v>1716</v>
      </c>
      <c r="V348" s="1">
        <f t="shared" si="4"/>
        <v>347</v>
      </c>
      <c r="W348" s="1">
        <f t="shared" si="5"/>
        <v>0</v>
      </c>
    </row>
    <row r="349" spans="1:37" x14ac:dyDescent="0.2">
      <c r="A349" s="1">
        <v>348</v>
      </c>
      <c r="B349" s="1" t="s">
        <v>1717</v>
      </c>
      <c r="C349" s="1" t="s">
        <v>729</v>
      </c>
      <c r="D349" s="1" t="s">
        <v>596</v>
      </c>
      <c r="E349" s="1" t="s">
        <v>1704</v>
      </c>
      <c r="F349" s="1" t="s">
        <v>81</v>
      </c>
      <c r="G349" s="1">
        <f>IF(ISNA(VLOOKUP(F349,Monster!B:E,4,FALSE)),0,VLOOKUP(F349,Monster!B:E,4,FALSE))</f>
        <v>7</v>
      </c>
      <c r="I349" s="1" t="s">
        <v>1718</v>
      </c>
      <c r="J349" s="1">
        <v>1293</v>
      </c>
      <c r="K349" s="1">
        <v>0</v>
      </c>
      <c r="L349" s="1">
        <v>910</v>
      </c>
      <c r="M349" s="1" t="s">
        <v>58</v>
      </c>
      <c r="N349" s="1">
        <f>((NOT(ISNA(VLOOKUP(M349,Monster!$H$2:$I$6,2,FALSE)))*L349)+J349)*(1+K349/100*0.25)</f>
        <v>2203</v>
      </c>
      <c r="O349" s="1" t="str">
        <f t="shared" si="3"/>
        <v>Thunder - 2203</v>
      </c>
      <c r="P349" s="1" t="s">
        <v>253</v>
      </c>
      <c r="Q349" s="1">
        <v>1</v>
      </c>
      <c r="S349" s="1" t="s">
        <v>1711</v>
      </c>
      <c r="V349" s="1">
        <f t="shared" si="4"/>
        <v>348</v>
      </c>
      <c r="W349" s="1">
        <f t="shared" si="5"/>
        <v>0.41307308216068994</v>
      </c>
    </row>
    <row r="350" spans="1:37" x14ac:dyDescent="0.2">
      <c r="A350" s="1">
        <v>349</v>
      </c>
      <c r="B350" s="1" t="s">
        <v>1719</v>
      </c>
      <c r="C350" s="1" t="s">
        <v>735</v>
      </c>
      <c r="D350" s="1" t="s">
        <v>596</v>
      </c>
      <c r="E350" s="1" t="s">
        <v>1704</v>
      </c>
      <c r="F350" s="1" t="s">
        <v>91</v>
      </c>
      <c r="G350" s="1">
        <f>IF(ISNA(VLOOKUP(F350,Monster!B:E,4,FALSE)),0,VLOOKUP(F350,Monster!B:E,4,FALSE))</f>
        <v>8</v>
      </c>
      <c r="I350" s="1" t="s">
        <v>1720</v>
      </c>
      <c r="J350" s="1">
        <v>1764</v>
      </c>
      <c r="K350" s="1">
        <v>0</v>
      </c>
      <c r="L350" s="1">
        <v>0</v>
      </c>
      <c r="M350" s="1" t="s">
        <v>107</v>
      </c>
      <c r="N350" s="1">
        <f>((NOT(ISNA(VLOOKUP(M350,Monster!$H$2:$I$6,2,FALSE)))*L350)+J350)*(1+K350/100*0.25)</f>
        <v>1764</v>
      </c>
      <c r="O350" s="1" t="str">
        <f t="shared" si="3"/>
        <v>No Element - 1764</v>
      </c>
      <c r="P350" s="1" t="s">
        <v>228</v>
      </c>
      <c r="Q350" s="1">
        <v>2</v>
      </c>
      <c r="S350" s="1" t="s">
        <v>1711</v>
      </c>
      <c r="V350" s="1">
        <f t="shared" si="4"/>
        <v>349</v>
      </c>
      <c r="W350" s="1">
        <f t="shared" si="5"/>
        <v>0</v>
      </c>
    </row>
    <row r="351" spans="1:37" x14ac:dyDescent="0.2">
      <c r="A351" s="1">
        <v>350</v>
      </c>
      <c r="B351" s="1" t="s">
        <v>1721</v>
      </c>
      <c r="C351" s="1" t="s">
        <v>740</v>
      </c>
      <c r="D351" s="1" t="s">
        <v>596</v>
      </c>
      <c r="E351" s="1" t="s">
        <v>1704</v>
      </c>
      <c r="F351" s="1" t="s">
        <v>97</v>
      </c>
      <c r="G351" s="1">
        <f>IF(ISNA(VLOOKUP(F351,Monster!B:E,4,FALSE)),0,VLOOKUP(F351,Monster!B:E,4,FALSE))</f>
        <v>9</v>
      </c>
      <c r="I351" s="1" t="s">
        <v>1721</v>
      </c>
      <c r="J351" s="1">
        <v>1756</v>
      </c>
      <c r="K351" s="1">
        <v>0</v>
      </c>
      <c r="L351" s="1">
        <v>300</v>
      </c>
      <c r="M351" s="1" t="s">
        <v>95</v>
      </c>
      <c r="N351" s="1">
        <f>((NOT(ISNA(VLOOKUP(M351,Monster!$H$2:$I$6,2,FALSE)))*L351)+J351)*(1+K351/100*0.25)</f>
        <v>1756</v>
      </c>
      <c r="O351" s="1" t="str">
        <f t="shared" si="3"/>
        <v>Sleep - 1756</v>
      </c>
      <c r="P351" s="1" t="s">
        <v>590</v>
      </c>
      <c r="Q351" s="1">
        <v>1</v>
      </c>
      <c r="S351" s="1" t="s">
        <v>1711</v>
      </c>
      <c r="V351" s="1">
        <f t="shared" si="4"/>
        <v>350</v>
      </c>
      <c r="W351" s="1">
        <f t="shared" si="5"/>
        <v>0.14591439688715954</v>
      </c>
    </row>
    <row r="352" spans="1:37" x14ac:dyDescent="0.2">
      <c r="A352" s="1">
        <v>351</v>
      </c>
      <c r="B352" s="1" t="s">
        <v>1722</v>
      </c>
      <c r="C352" s="1" t="s">
        <v>745</v>
      </c>
      <c r="D352" s="1" t="s">
        <v>596</v>
      </c>
      <c r="E352" s="1" t="s">
        <v>1704</v>
      </c>
      <c r="F352" s="1" t="s">
        <v>102</v>
      </c>
      <c r="G352" s="1">
        <f>IF(ISNA(VLOOKUP(F352,Monster!B:E,4,FALSE)),0,VLOOKUP(F352,Monster!B:E,4,FALSE))</f>
        <v>10</v>
      </c>
      <c r="I352" s="1" t="s">
        <v>1723</v>
      </c>
      <c r="J352" s="1">
        <v>1293</v>
      </c>
      <c r="K352" s="1">
        <v>0</v>
      </c>
      <c r="L352" s="1">
        <v>910</v>
      </c>
      <c r="M352" s="1" t="s">
        <v>50</v>
      </c>
      <c r="N352" s="1">
        <f>((NOT(ISNA(VLOOKUP(M352,Monster!$H$2:$I$6,2,FALSE)))*L352)+J352)*(1+K352/100*0.25)</f>
        <v>2203</v>
      </c>
      <c r="O352" s="1" t="str">
        <f t="shared" si="3"/>
        <v>Water - 2203</v>
      </c>
      <c r="P352" s="1" t="s">
        <v>394</v>
      </c>
      <c r="Q352" s="1">
        <v>1</v>
      </c>
      <c r="S352" s="1" t="s">
        <v>1713</v>
      </c>
      <c r="V352" s="1">
        <f t="shared" si="4"/>
        <v>351</v>
      </c>
      <c r="W352" s="1">
        <f t="shared" si="5"/>
        <v>0.41307308216068994</v>
      </c>
    </row>
    <row r="353" spans="1:23" x14ac:dyDescent="0.2">
      <c r="A353" s="1">
        <v>352</v>
      </c>
      <c r="B353" s="1" t="s">
        <v>1724</v>
      </c>
      <c r="C353" s="1" t="s">
        <v>750</v>
      </c>
      <c r="D353" s="1" t="s">
        <v>596</v>
      </c>
      <c r="E353" s="1" t="s">
        <v>1704</v>
      </c>
      <c r="F353" s="1" t="s">
        <v>109</v>
      </c>
      <c r="G353" s="1">
        <f>IF(ISNA(VLOOKUP(F353,Monster!B:E,4,FALSE)),0,VLOOKUP(F353,Monster!B:E,4,FALSE))</f>
        <v>11</v>
      </c>
      <c r="I353" s="1" t="s">
        <v>1725</v>
      </c>
      <c r="J353" s="1">
        <v>1293</v>
      </c>
      <c r="K353" s="1">
        <v>0</v>
      </c>
      <c r="L353" s="1">
        <v>910</v>
      </c>
      <c r="M353" s="1" t="s">
        <v>41</v>
      </c>
      <c r="N353" s="1">
        <f>((NOT(ISNA(VLOOKUP(M353,Monster!$H$2:$I$6,2,FALSE)))*L353)+J353)*(1+K353/100*0.25)</f>
        <v>2203</v>
      </c>
      <c r="O353" s="1" t="str">
        <f t="shared" si="3"/>
        <v>Fire - 2203</v>
      </c>
      <c r="P353" s="1" t="s">
        <v>543</v>
      </c>
      <c r="Q353" s="1">
        <v>1</v>
      </c>
      <c r="S353" s="1" t="s">
        <v>1713</v>
      </c>
      <c r="V353" s="1">
        <f t="shared" si="4"/>
        <v>352</v>
      </c>
      <c r="W353" s="1">
        <f t="shared" si="5"/>
        <v>0.41307308216068994</v>
      </c>
    </row>
    <row r="354" spans="1:23" x14ac:dyDescent="0.2">
      <c r="A354" s="1">
        <v>353</v>
      </c>
      <c r="B354" s="1" t="s">
        <v>1726</v>
      </c>
      <c r="C354" s="1" t="s">
        <v>756</v>
      </c>
      <c r="D354" s="1" t="s">
        <v>596</v>
      </c>
      <c r="E354" s="1" t="s">
        <v>1704</v>
      </c>
      <c r="F354" s="1" t="s">
        <v>119</v>
      </c>
      <c r="G354" s="1">
        <f>IF(ISNA(VLOOKUP(F354,Monster!B:E,4,FALSE)),0,VLOOKUP(F354,Monster!B:E,4,FALSE))</f>
        <v>12</v>
      </c>
      <c r="I354" s="1" t="s">
        <v>1727</v>
      </c>
      <c r="J354" s="1">
        <v>1197</v>
      </c>
      <c r="K354" s="1">
        <v>20</v>
      </c>
      <c r="L354" s="1">
        <v>1154</v>
      </c>
      <c r="M354" s="1" t="s">
        <v>58</v>
      </c>
      <c r="N354" s="1">
        <f>((NOT(ISNA(VLOOKUP(M354,Monster!$H$2:$I$6,2,FALSE)))*L354)+J354)*(1+K354/100*0.25)</f>
        <v>2468.5500000000002</v>
      </c>
      <c r="O354" s="1" t="str">
        <f t="shared" si="3"/>
        <v>Thunder - 2468.55</v>
      </c>
      <c r="P354" s="1" t="s">
        <v>175</v>
      </c>
      <c r="Q354" s="1">
        <v>1</v>
      </c>
      <c r="S354" s="1" t="s">
        <v>1711</v>
      </c>
      <c r="V354" s="1">
        <f t="shared" si="4"/>
        <v>353</v>
      </c>
      <c r="W354" s="1">
        <f t="shared" si="5"/>
        <v>0.49085495533815399</v>
      </c>
    </row>
    <row r="355" spans="1:23" x14ac:dyDescent="0.2">
      <c r="A355" s="1">
        <v>354</v>
      </c>
      <c r="B355" s="1" t="s">
        <v>1728</v>
      </c>
      <c r="C355" s="1" t="s">
        <v>761</v>
      </c>
      <c r="D355" s="1" t="s">
        <v>596</v>
      </c>
      <c r="E355" s="1" t="s">
        <v>1704</v>
      </c>
      <c r="F355" s="1" t="s">
        <v>125</v>
      </c>
      <c r="G355" s="1">
        <f>IF(ISNA(VLOOKUP(F355,Monster!B:E,4,FALSE)),0,VLOOKUP(F355,Monster!B:E,4,FALSE))</f>
        <v>13</v>
      </c>
      <c r="I355" s="1" t="s">
        <v>1729</v>
      </c>
      <c r="J355" s="1">
        <v>1516</v>
      </c>
      <c r="K355" s="1">
        <v>0</v>
      </c>
      <c r="L355" s="1">
        <v>496</v>
      </c>
      <c r="M355" s="1" t="s">
        <v>79</v>
      </c>
      <c r="N355" s="1">
        <f>((NOT(ISNA(VLOOKUP(M355,Monster!$H$2:$I$6,2,FALSE)))*L355)+J355)*(1+K355/100*0.25)</f>
        <v>1516</v>
      </c>
      <c r="O355" s="1" t="str">
        <f t="shared" si="3"/>
        <v>Poison - 1516</v>
      </c>
      <c r="P355" s="1" t="s">
        <v>348</v>
      </c>
      <c r="Q355" s="1">
        <v>2</v>
      </c>
      <c r="S355" s="1" t="s">
        <v>1713</v>
      </c>
      <c r="V355" s="1">
        <f t="shared" si="4"/>
        <v>354</v>
      </c>
      <c r="W355" s="1">
        <f t="shared" si="5"/>
        <v>0.24652087475149106</v>
      </c>
    </row>
    <row r="356" spans="1:23" x14ac:dyDescent="0.2">
      <c r="A356" s="1">
        <v>355</v>
      </c>
      <c r="B356" s="1" t="s">
        <v>1730</v>
      </c>
      <c r="C356" s="1" t="s">
        <v>771</v>
      </c>
      <c r="D356" s="1" t="s">
        <v>596</v>
      </c>
      <c r="E356" s="1" t="s">
        <v>1704</v>
      </c>
      <c r="F356" s="1" t="s">
        <v>137</v>
      </c>
      <c r="G356" s="1">
        <f>IF(ISNA(VLOOKUP(F356,Monster!B:E,4,FALSE)),0,VLOOKUP(F356,Monster!B:E,4,FALSE))</f>
        <v>15</v>
      </c>
      <c r="I356" s="1" t="s">
        <v>1730</v>
      </c>
      <c r="J356" s="1">
        <v>1675</v>
      </c>
      <c r="K356" s="1">
        <v>30</v>
      </c>
      <c r="L356" s="1">
        <v>399</v>
      </c>
      <c r="M356" s="1" t="s">
        <v>79</v>
      </c>
      <c r="N356" s="1">
        <f>((NOT(ISNA(VLOOKUP(M356,Monster!$H$2:$I$6,2,FALSE)))*L356)+J356)*(1+K356/100*0.25)</f>
        <v>1800.625</v>
      </c>
      <c r="O356" s="1" t="str">
        <f t="shared" si="3"/>
        <v>Poison - 1800.625</v>
      </c>
      <c r="P356" s="1" t="s">
        <v>483</v>
      </c>
      <c r="Q356" s="1">
        <v>2</v>
      </c>
      <c r="S356" s="1" t="s">
        <v>1713</v>
      </c>
      <c r="V356" s="1">
        <f t="shared" si="4"/>
        <v>355</v>
      </c>
      <c r="W356" s="1">
        <f t="shared" si="5"/>
        <v>0.19238187078109933</v>
      </c>
    </row>
    <row r="357" spans="1:23" x14ac:dyDescent="0.2">
      <c r="A357" s="1">
        <v>356</v>
      </c>
      <c r="B357" s="1" t="s">
        <v>1731</v>
      </c>
      <c r="C357" s="1" t="s">
        <v>775</v>
      </c>
      <c r="D357" s="1" t="s">
        <v>596</v>
      </c>
      <c r="E357" s="1" t="s">
        <v>1704</v>
      </c>
      <c r="F357" s="1" t="s">
        <v>146</v>
      </c>
      <c r="G357" s="1">
        <f>IF(ISNA(VLOOKUP(F357,Monster!B:E,4,FALSE)),0,VLOOKUP(F357,Monster!B:E,4,FALSE))</f>
        <v>16</v>
      </c>
      <c r="I357" s="1" t="s">
        <v>1732</v>
      </c>
      <c r="J357" s="1">
        <v>1221</v>
      </c>
      <c r="K357" s="1">
        <v>0</v>
      </c>
      <c r="L357" s="1">
        <v>1142</v>
      </c>
      <c r="M357" s="1" t="s">
        <v>66</v>
      </c>
      <c r="N357" s="1">
        <f>((NOT(ISNA(VLOOKUP(M357,Monster!$H$2:$I$6,2,FALSE)))*L357)+J357)*(1+K357/100*0.25)</f>
        <v>2363</v>
      </c>
      <c r="O357" s="1" t="str">
        <f t="shared" si="3"/>
        <v>Ice - 2363</v>
      </c>
      <c r="P357" s="1" t="s">
        <v>228</v>
      </c>
      <c r="Q357" s="1">
        <v>2</v>
      </c>
      <c r="S357" s="1" t="s">
        <v>1713</v>
      </c>
      <c r="V357" s="1">
        <f t="shared" si="4"/>
        <v>356</v>
      </c>
      <c r="W357" s="1">
        <f t="shared" si="5"/>
        <v>0.48328396106644095</v>
      </c>
    </row>
    <row r="358" spans="1:23" x14ac:dyDescent="0.2">
      <c r="A358" s="1">
        <v>357</v>
      </c>
      <c r="B358" s="1" t="s">
        <v>1733</v>
      </c>
      <c r="C358" s="1" t="s">
        <v>779</v>
      </c>
      <c r="D358" s="1" t="s">
        <v>596</v>
      </c>
      <c r="E358" s="1" t="s">
        <v>1704</v>
      </c>
      <c r="F358" s="1" t="s">
        <v>151</v>
      </c>
      <c r="G358" s="1">
        <f>IF(ISNA(VLOOKUP(F358,Monster!B:E,4,FALSE)),0,VLOOKUP(F358,Monster!B:E,4,FALSE))</f>
        <v>17</v>
      </c>
      <c r="I358" s="1" t="s">
        <v>1734</v>
      </c>
      <c r="J358" s="1">
        <v>1979</v>
      </c>
      <c r="K358" s="1">
        <v>0</v>
      </c>
      <c r="L358" s="1">
        <v>0</v>
      </c>
      <c r="M358" s="1" t="s">
        <v>107</v>
      </c>
      <c r="N358" s="1">
        <f>((NOT(ISNA(VLOOKUP(M358,Monster!$H$2:$I$6,2,FALSE)))*L358)+J358)*(1+K358/100*0.25)</f>
        <v>1979</v>
      </c>
      <c r="O358" s="1" t="str">
        <f t="shared" si="3"/>
        <v>No Element - 1979</v>
      </c>
      <c r="P358" s="1" t="s">
        <v>364</v>
      </c>
      <c r="Q358" s="1">
        <v>1</v>
      </c>
      <c r="S358" s="1" t="s">
        <v>1711</v>
      </c>
      <c r="V358" s="1">
        <f t="shared" si="4"/>
        <v>357</v>
      </c>
      <c r="W358" s="1">
        <f t="shared" si="5"/>
        <v>0</v>
      </c>
    </row>
    <row r="359" spans="1:23" x14ac:dyDescent="0.2">
      <c r="A359" s="1">
        <v>358</v>
      </c>
      <c r="B359" s="1" t="s">
        <v>1735</v>
      </c>
      <c r="C359" s="1" t="s">
        <v>782</v>
      </c>
      <c r="D359" s="1" t="s">
        <v>596</v>
      </c>
      <c r="E359" s="1" t="s">
        <v>1704</v>
      </c>
      <c r="F359" s="1" t="s">
        <v>155</v>
      </c>
      <c r="G359" s="1">
        <f>IF(ISNA(VLOOKUP(F359,Monster!B:E,4,FALSE)),0,VLOOKUP(F359,Monster!B:E,4,FALSE))</f>
        <v>18</v>
      </c>
      <c r="I359" s="1" t="s">
        <v>1736</v>
      </c>
      <c r="J359" s="1">
        <v>2218</v>
      </c>
      <c r="K359" s="1">
        <v>-30</v>
      </c>
      <c r="L359" s="1">
        <v>0</v>
      </c>
      <c r="M359" s="1" t="s">
        <v>107</v>
      </c>
      <c r="N359" s="1">
        <f>((NOT(ISNA(VLOOKUP(M359,Monster!$H$2:$I$6,2,FALSE)))*L359)+J359)*(1+K359/100*0.25)</f>
        <v>2051.65</v>
      </c>
      <c r="O359" s="1" t="str">
        <f t="shared" si="3"/>
        <v>No Element - 2051.65</v>
      </c>
      <c r="P359" s="1" t="s">
        <v>463</v>
      </c>
      <c r="Q359" s="1">
        <v>1</v>
      </c>
      <c r="S359" s="1" t="s">
        <v>1711</v>
      </c>
      <c r="V359" s="1">
        <f t="shared" si="4"/>
        <v>358</v>
      </c>
      <c r="W359" s="1">
        <f t="shared" si="5"/>
        <v>0</v>
      </c>
    </row>
    <row r="360" spans="1:23" x14ac:dyDescent="0.2">
      <c r="A360" s="1">
        <v>359</v>
      </c>
      <c r="B360" s="1" t="s">
        <v>1737</v>
      </c>
      <c r="C360" s="1" t="s">
        <v>786</v>
      </c>
      <c r="D360" s="1" t="s">
        <v>596</v>
      </c>
      <c r="E360" s="1" t="s">
        <v>1704</v>
      </c>
      <c r="F360" s="1" t="s">
        <v>160</v>
      </c>
      <c r="G360" s="1">
        <f>IF(ISNA(VLOOKUP(F360,Monster!B:E,4,FALSE)),0,VLOOKUP(F360,Monster!B:E,4,FALSE))</f>
        <v>19</v>
      </c>
      <c r="I360" s="1" t="s">
        <v>1738</v>
      </c>
      <c r="J360" s="1">
        <v>1221</v>
      </c>
      <c r="K360" s="1">
        <v>0</v>
      </c>
      <c r="L360" s="1">
        <v>1142</v>
      </c>
      <c r="M360" s="1" t="s">
        <v>41</v>
      </c>
      <c r="N360" s="1">
        <f>((NOT(ISNA(VLOOKUP(M360,Monster!$H$2:$I$6,2,FALSE)))*L360)+J360)*(1+K360/100*0.25)</f>
        <v>2363</v>
      </c>
      <c r="O360" s="1" t="str">
        <f t="shared" si="3"/>
        <v>Fire - 2363</v>
      </c>
      <c r="P360" s="1" t="s">
        <v>244</v>
      </c>
      <c r="Q360" s="1">
        <v>1</v>
      </c>
      <c r="S360" s="1" t="s">
        <v>1711</v>
      </c>
      <c r="V360" s="1">
        <f t="shared" si="4"/>
        <v>359</v>
      </c>
      <c r="W360" s="1">
        <f t="shared" si="5"/>
        <v>0.48328396106644095</v>
      </c>
    </row>
    <row r="361" spans="1:23" x14ac:dyDescent="0.2">
      <c r="A361" s="1">
        <v>360</v>
      </c>
      <c r="B361" s="1" t="s">
        <v>1739</v>
      </c>
      <c r="C361" s="1" t="s">
        <v>790</v>
      </c>
      <c r="D361" s="1" t="s">
        <v>596</v>
      </c>
      <c r="E361" s="1" t="s">
        <v>1704</v>
      </c>
      <c r="F361" s="1" t="s">
        <v>165</v>
      </c>
      <c r="G361" s="1">
        <f>IF(ISNA(VLOOKUP(F361,Monster!B:E,4,FALSE)),0,VLOOKUP(F361,Monster!B:E,4,FALSE))</f>
        <v>20</v>
      </c>
      <c r="I361" s="1" t="s">
        <v>1739</v>
      </c>
      <c r="J361" s="1">
        <v>1682</v>
      </c>
      <c r="K361" s="1">
        <v>0</v>
      </c>
      <c r="L361" s="1">
        <v>605</v>
      </c>
      <c r="M361" s="1" t="s">
        <v>41</v>
      </c>
      <c r="N361" s="1">
        <f>((NOT(ISNA(VLOOKUP(M361,Monster!$H$2:$I$6,2,FALSE)))*L361)+J361)*(1+K361/100*0.25)</f>
        <v>2287</v>
      </c>
      <c r="O361" s="1" t="str">
        <f t="shared" si="3"/>
        <v>Fire - 2287</v>
      </c>
      <c r="P361" s="1" t="s">
        <v>602</v>
      </c>
      <c r="Q361" s="1">
        <v>1</v>
      </c>
      <c r="S361" s="1" t="s">
        <v>1711</v>
      </c>
      <c r="V361" s="1">
        <f t="shared" si="4"/>
        <v>360</v>
      </c>
      <c r="W361" s="1">
        <f t="shared" si="5"/>
        <v>0.26453869698294707</v>
      </c>
    </row>
    <row r="362" spans="1:23" x14ac:dyDescent="0.2">
      <c r="A362" s="1">
        <v>361</v>
      </c>
      <c r="B362" s="1" t="s">
        <v>1740</v>
      </c>
      <c r="C362" s="1" t="s">
        <v>794</v>
      </c>
      <c r="D362" s="1" t="s">
        <v>596</v>
      </c>
      <c r="E362" s="1" t="s">
        <v>1704</v>
      </c>
      <c r="F362" s="1" t="s">
        <v>171</v>
      </c>
      <c r="G362" s="1">
        <f>IF(ISNA(VLOOKUP(F362,Monster!B:E,4,FALSE)),0,VLOOKUP(F362,Monster!B:E,4,FALSE))</f>
        <v>21</v>
      </c>
      <c r="I362" s="1" t="s">
        <v>1740</v>
      </c>
      <c r="J362" s="1">
        <v>1258</v>
      </c>
      <c r="K362" s="1">
        <v>30</v>
      </c>
      <c r="L362" s="1">
        <v>1082</v>
      </c>
      <c r="M362" s="1" t="s">
        <v>41</v>
      </c>
      <c r="N362" s="1">
        <f>((NOT(ISNA(VLOOKUP(M362,Monster!$H$2:$I$6,2,FALSE)))*L362)+J362)*(1+K362/100*0.25)</f>
        <v>2515.5</v>
      </c>
      <c r="O362" s="1" t="str">
        <f t="shared" si="3"/>
        <v>Fire - 2515.5</v>
      </c>
      <c r="P362" s="1" t="s">
        <v>175</v>
      </c>
      <c r="Q362" s="1">
        <v>2</v>
      </c>
      <c r="S362" s="1" t="s">
        <v>1713</v>
      </c>
      <c r="V362" s="1">
        <f t="shared" si="4"/>
        <v>361</v>
      </c>
      <c r="W362" s="1">
        <f t="shared" si="5"/>
        <v>0.46239316239316242</v>
      </c>
    </row>
    <row r="363" spans="1:23" x14ac:dyDescent="0.2">
      <c r="A363" s="1">
        <v>362</v>
      </c>
      <c r="B363" s="1" t="s">
        <v>1741</v>
      </c>
      <c r="C363" s="1" t="s">
        <v>800</v>
      </c>
      <c r="D363" s="1" t="s">
        <v>596</v>
      </c>
      <c r="E363" s="1" t="s">
        <v>1704</v>
      </c>
      <c r="F363" s="1" t="s">
        <v>184</v>
      </c>
      <c r="G363" s="1">
        <f>IF(ISNA(VLOOKUP(F363,Monster!B:E,4,FALSE)),0,VLOOKUP(F363,Monster!B:E,4,FALSE))</f>
        <v>23</v>
      </c>
      <c r="I363" s="1" t="s">
        <v>1741</v>
      </c>
      <c r="J363" s="1">
        <v>1764</v>
      </c>
      <c r="K363" s="1">
        <v>0</v>
      </c>
      <c r="L363" s="1">
        <v>0</v>
      </c>
      <c r="M363" s="1" t="s">
        <v>107</v>
      </c>
      <c r="N363" s="1">
        <f>((NOT(ISNA(VLOOKUP(M363,Monster!$H$2:$I$6,2,FALSE)))*L363)+J363)*(1+K363/100*0.25)</f>
        <v>1764</v>
      </c>
      <c r="O363" s="1" t="str">
        <f t="shared" si="3"/>
        <v>No Element - 1764</v>
      </c>
      <c r="P363" s="1" t="s">
        <v>306</v>
      </c>
      <c r="Q363" s="1">
        <v>2</v>
      </c>
      <c r="S363" s="1" t="s">
        <v>1711</v>
      </c>
      <c r="V363" s="1">
        <f t="shared" si="4"/>
        <v>362</v>
      </c>
      <c r="W363" s="1">
        <f t="shared" si="5"/>
        <v>0</v>
      </c>
    </row>
    <row r="364" spans="1:23" x14ac:dyDescent="0.2">
      <c r="A364" s="1">
        <v>363</v>
      </c>
      <c r="B364" s="1" t="s">
        <v>1742</v>
      </c>
      <c r="C364" s="1" t="s">
        <v>803</v>
      </c>
      <c r="D364" s="1" t="s">
        <v>596</v>
      </c>
      <c r="E364" s="1" t="s">
        <v>1704</v>
      </c>
      <c r="F364" s="1" t="s">
        <v>190</v>
      </c>
      <c r="G364" s="1">
        <f>IF(ISNA(VLOOKUP(F364,Monster!B:E,4,FALSE)),0,VLOOKUP(F364,Monster!B:E,4,FALSE))</f>
        <v>24</v>
      </c>
      <c r="I364" s="1" t="s">
        <v>1743</v>
      </c>
      <c r="J364" s="1">
        <v>1191</v>
      </c>
      <c r="K364" s="1">
        <v>20</v>
      </c>
      <c r="L364" s="1">
        <v>910</v>
      </c>
      <c r="M364" s="1" t="s">
        <v>66</v>
      </c>
      <c r="N364" s="1">
        <f>((NOT(ISNA(VLOOKUP(M364,Monster!$H$2:$I$6,2,FALSE)))*L364)+J364)*(1+K364/100*0.25)</f>
        <v>2206.0500000000002</v>
      </c>
      <c r="O364" s="1" t="str">
        <f t="shared" si="3"/>
        <v>Ice - 2206.05</v>
      </c>
      <c r="P364" s="1" t="s">
        <v>253</v>
      </c>
      <c r="Q364" s="1">
        <v>1</v>
      </c>
      <c r="S364" s="1" t="s">
        <v>1711</v>
      </c>
      <c r="V364" s="1">
        <f t="shared" si="4"/>
        <v>363</v>
      </c>
      <c r="W364" s="1">
        <f t="shared" si="5"/>
        <v>0.43312708234174202</v>
      </c>
    </row>
    <row r="365" spans="1:23" x14ac:dyDescent="0.2">
      <c r="A365" s="1">
        <v>364</v>
      </c>
      <c r="B365" s="1" t="s">
        <v>1744</v>
      </c>
      <c r="C365" s="1" t="s">
        <v>807</v>
      </c>
      <c r="D365" s="1" t="s">
        <v>596</v>
      </c>
      <c r="E365" s="1" t="s">
        <v>1704</v>
      </c>
      <c r="F365" s="1" t="s">
        <v>193</v>
      </c>
      <c r="G365" s="1">
        <f>IF(ISNA(VLOOKUP(F365,Monster!B:E,4,FALSE)),0,VLOOKUP(F365,Monster!B:E,4,FALSE))</f>
        <v>25</v>
      </c>
      <c r="I365" s="1" t="s">
        <v>1744</v>
      </c>
      <c r="J365" s="1">
        <v>1221</v>
      </c>
      <c r="K365" s="1">
        <v>0</v>
      </c>
      <c r="L365" s="1">
        <v>1142</v>
      </c>
      <c r="M365" s="1" t="s">
        <v>58</v>
      </c>
      <c r="N365" s="1">
        <f>((NOT(ISNA(VLOOKUP(M365,Monster!$H$2:$I$6,2,FALSE)))*L365)+J365)*(1+K365/100*0.25)</f>
        <v>2363</v>
      </c>
      <c r="O365" s="1" t="str">
        <f t="shared" si="3"/>
        <v>Thunder - 2363</v>
      </c>
      <c r="P365" s="1" t="s">
        <v>38</v>
      </c>
      <c r="Q365" s="1">
        <v>1</v>
      </c>
      <c r="S365" s="1" t="s">
        <v>1713</v>
      </c>
      <c r="V365" s="1">
        <f t="shared" si="4"/>
        <v>364</v>
      </c>
      <c r="W365" s="1">
        <f t="shared" si="5"/>
        <v>0.48328396106644095</v>
      </c>
    </row>
    <row r="366" spans="1:23" x14ac:dyDescent="0.2">
      <c r="A366" s="1">
        <v>365</v>
      </c>
      <c r="B366" s="1" t="s">
        <v>1745</v>
      </c>
      <c r="C366" s="1" t="s">
        <v>821</v>
      </c>
      <c r="D366" s="1" t="s">
        <v>596</v>
      </c>
      <c r="E366" s="1" t="s">
        <v>1704</v>
      </c>
      <c r="F366" s="1" t="s">
        <v>216</v>
      </c>
      <c r="G366" s="1">
        <f>IF(ISNA(VLOOKUP(F366,Monster!B:E,4,FALSE)),0,VLOOKUP(F366,Monster!B:E,4,FALSE))</f>
        <v>29</v>
      </c>
      <c r="I366" s="1" t="s">
        <v>1746</v>
      </c>
      <c r="J366" s="1">
        <v>1318</v>
      </c>
      <c r="K366" s="1">
        <v>-30</v>
      </c>
      <c r="L366" s="1">
        <v>1261</v>
      </c>
      <c r="M366" s="1" t="s">
        <v>71</v>
      </c>
      <c r="N366" s="1">
        <f>((NOT(ISNA(VLOOKUP(M366,Monster!$H$2:$I$6,2,FALSE)))*L366)+J366)*(1+K366/100*0.25)</f>
        <v>2385.5750000000003</v>
      </c>
      <c r="O366" s="1" t="str">
        <f t="shared" si="3"/>
        <v>Dragon - 2385.575</v>
      </c>
      <c r="P366" s="1" t="s">
        <v>583</v>
      </c>
      <c r="Q366" s="1">
        <v>1</v>
      </c>
      <c r="S366" s="1" t="s">
        <v>1711</v>
      </c>
      <c r="V366" s="1">
        <f t="shared" si="4"/>
        <v>365</v>
      </c>
      <c r="W366" s="1">
        <f t="shared" si="5"/>
        <v>0.4889492051182629</v>
      </c>
    </row>
    <row r="367" spans="1:23" x14ac:dyDescent="0.2">
      <c r="A367" s="1">
        <v>366</v>
      </c>
      <c r="B367" s="1" t="s">
        <v>1747</v>
      </c>
      <c r="C367" s="1" t="s">
        <v>829</v>
      </c>
      <c r="D367" s="1" t="s">
        <v>596</v>
      </c>
      <c r="E367" s="1" t="s">
        <v>1704</v>
      </c>
      <c r="F367" s="1" t="s">
        <v>229</v>
      </c>
      <c r="G367" s="1">
        <f>IF(ISNA(VLOOKUP(F367,Monster!B:E,4,FALSE)),0,VLOOKUP(F367,Monster!B:E,4,FALSE))</f>
        <v>31</v>
      </c>
      <c r="I367" s="1" t="s">
        <v>1748</v>
      </c>
      <c r="J367" s="1">
        <v>1194</v>
      </c>
      <c r="K367" s="1">
        <v>20</v>
      </c>
      <c r="L367" s="1">
        <v>913</v>
      </c>
      <c r="M367" s="1" t="s">
        <v>58</v>
      </c>
      <c r="N367" s="1">
        <f>((NOT(ISNA(VLOOKUP(M367,Monster!$H$2:$I$6,2,FALSE)))*L367)+J367)*(1+K367/100*0.25)</f>
        <v>2212.35</v>
      </c>
      <c r="O367" s="1" t="str">
        <f t="shared" si="3"/>
        <v>Thunder - 2212.35</v>
      </c>
      <c r="P367" s="1" t="s">
        <v>470</v>
      </c>
      <c r="Q367" s="1">
        <v>1</v>
      </c>
      <c r="S367" s="1" t="s">
        <v>1713</v>
      </c>
      <c r="V367" s="1">
        <f t="shared" si="4"/>
        <v>366</v>
      </c>
      <c r="W367" s="1">
        <f t="shared" si="5"/>
        <v>0.43331751305173233</v>
      </c>
    </row>
    <row r="368" spans="1:23" x14ac:dyDescent="0.2">
      <c r="A368" s="1">
        <v>367</v>
      </c>
      <c r="B368" s="1" t="s">
        <v>1749</v>
      </c>
      <c r="C368" s="1" t="s">
        <v>834</v>
      </c>
      <c r="D368" s="1" t="s">
        <v>596</v>
      </c>
      <c r="E368" s="1" t="s">
        <v>1704</v>
      </c>
      <c r="F368" s="1" t="s">
        <v>234</v>
      </c>
      <c r="G368" s="1">
        <f>IF(ISNA(VLOOKUP(F368,Monster!B:E,4,FALSE)),0,VLOOKUP(F368,Monster!B:E,4,FALSE))</f>
        <v>32</v>
      </c>
      <c r="I368" s="1" t="s">
        <v>1749</v>
      </c>
      <c r="J368" s="1">
        <v>1553</v>
      </c>
      <c r="K368" s="1">
        <v>0</v>
      </c>
      <c r="L368" s="1">
        <v>974</v>
      </c>
      <c r="M368" s="1" t="s">
        <v>66</v>
      </c>
      <c r="N368" s="1">
        <f>((NOT(ISNA(VLOOKUP(M368,Monster!$H$2:$I$6,2,FALSE)))*L368)+J368)*(1+K368/100*0.25)</f>
        <v>2527</v>
      </c>
      <c r="O368" s="1" t="str">
        <f t="shared" si="3"/>
        <v>Ice - 2527</v>
      </c>
      <c r="P368" s="1" t="s">
        <v>528</v>
      </c>
      <c r="Q368" s="1">
        <v>2</v>
      </c>
      <c r="S368" s="1" t="s">
        <v>1711</v>
      </c>
      <c r="V368" s="1">
        <f t="shared" si="4"/>
        <v>367</v>
      </c>
      <c r="W368" s="1">
        <f t="shared" si="5"/>
        <v>0.38543727740403638</v>
      </c>
    </row>
    <row r="369" spans="1:23" x14ac:dyDescent="0.2">
      <c r="A369" s="1">
        <v>368</v>
      </c>
      <c r="B369" s="1" t="s">
        <v>1750</v>
      </c>
      <c r="C369" s="1" t="s">
        <v>839</v>
      </c>
      <c r="D369" s="1" t="s">
        <v>596</v>
      </c>
      <c r="E369" s="1" t="s">
        <v>1704</v>
      </c>
      <c r="F369" s="1" t="s">
        <v>239</v>
      </c>
      <c r="G369" s="1">
        <f>IF(ISNA(VLOOKUP(F369,Monster!B:E,4,FALSE)),0,VLOOKUP(F369,Monster!B:E,4,FALSE))</f>
        <v>33</v>
      </c>
      <c r="I369" s="1" t="s">
        <v>1751</v>
      </c>
      <c r="J369" s="1">
        <v>1138</v>
      </c>
      <c r="K369" s="1">
        <v>20</v>
      </c>
      <c r="L369" s="1">
        <v>1156</v>
      </c>
      <c r="M369" s="1" t="s">
        <v>50</v>
      </c>
      <c r="N369" s="1">
        <f>((NOT(ISNA(VLOOKUP(M369,Monster!$H$2:$I$6,2,FALSE)))*L369)+J369)*(1+K369/100*0.25)</f>
        <v>2408.7000000000003</v>
      </c>
      <c r="O369" s="1" t="str">
        <f t="shared" si="3"/>
        <v>Water - 2408.7</v>
      </c>
      <c r="P369" s="1" t="s">
        <v>38</v>
      </c>
      <c r="Q369" s="1">
        <v>1</v>
      </c>
      <c r="S369" s="1" t="s">
        <v>1711</v>
      </c>
      <c r="V369" s="1">
        <f t="shared" si="4"/>
        <v>368</v>
      </c>
      <c r="W369" s="1">
        <f t="shared" si="5"/>
        <v>0.50392327811682647</v>
      </c>
    </row>
    <row r="370" spans="1:23" x14ac:dyDescent="0.2">
      <c r="A370" s="1">
        <v>369</v>
      </c>
      <c r="B370" s="1" t="s">
        <v>1752</v>
      </c>
      <c r="C370" s="1" t="s">
        <v>845</v>
      </c>
      <c r="D370" s="1" t="s">
        <v>596</v>
      </c>
      <c r="E370" s="1" t="s">
        <v>1704</v>
      </c>
      <c r="F370" s="1" t="s">
        <v>245</v>
      </c>
      <c r="G370" s="1">
        <f>IF(ISNA(VLOOKUP(F370,Monster!B:E,4,FALSE)),0,VLOOKUP(F370,Monster!B:E,4,FALSE))</f>
        <v>34</v>
      </c>
      <c r="I370" s="1" t="s">
        <v>1752</v>
      </c>
      <c r="J370" s="1">
        <v>1684</v>
      </c>
      <c r="K370" s="1">
        <v>0</v>
      </c>
      <c r="L370" s="1">
        <v>502</v>
      </c>
      <c r="M370" s="1" t="s">
        <v>100</v>
      </c>
      <c r="N370" s="1">
        <f>((NOT(ISNA(VLOOKUP(M370,Monster!$H$2:$I$6,2,FALSE)))*L370)+J370)*(1+K370/100*0.25)</f>
        <v>1684</v>
      </c>
      <c r="O370" s="1" t="str">
        <f t="shared" si="3"/>
        <v>Blast - 1684</v>
      </c>
      <c r="P370" s="1" t="s">
        <v>364</v>
      </c>
      <c r="Q370" s="1">
        <v>2</v>
      </c>
      <c r="S370" s="1" t="s">
        <v>1711</v>
      </c>
      <c r="V370" s="1">
        <f t="shared" si="4"/>
        <v>369</v>
      </c>
      <c r="W370" s="1">
        <f t="shared" si="5"/>
        <v>0.22964318389752975</v>
      </c>
    </row>
    <row r="371" spans="1:23" x14ac:dyDescent="0.2">
      <c r="A371" s="1">
        <v>370</v>
      </c>
      <c r="B371" s="1" t="s">
        <v>1753</v>
      </c>
      <c r="C371" s="1" t="s">
        <v>849</v>
      </c>
      <c r="D371" s="1" t="s">
        <v>596</v>
      </c>
      <c r="E371" s="1" t="s">
        <v>1704</v>
      </c>
      <c r="F371" s="1" t="s">
        <v>251</v>
      </c>
      <c r="G371" s="1">
        <f>IF(ISNA(VLOOKUP(F371,Monster!B:E,4,FALSE)),0,VLOOKUP(F371,Monster!B:E,4,FALSE))</f>
        <v>35</v>
      </c>
      <c r="I371" s="1" t="s">
        <v>1754</v>
      </c>
      <c r="J371" s="1">
        <v>1588</v>
      </c>
      <c r="K371" s="1">
        <v>0</v>
      </c>
      <c r="L371" s="1">
        <v>632</v>
      </c>
      <c r="M371" s="1" t="s">
        <v>41</v>
      </c>
      <c r="N371" s="1">
        <f>((NOT(ISNA(VLOOKUP(M371,Monster!$H$2:$I$6,2,FALSE)))*L371)+J371)*(1+K371/100*0.25)</f>
        <v>2220</v>
      </c>
      <c r="O371" s="1" t="str">
        <f t="shared" si="3"/>
        <v>Fire - 2220</v>
      </c>
      <c r="P371" s="1" t="s">
        <v>412</v>
      </c>
      <c r="Q371" s="1">
        <v>1</v>
      </c>
      <c r="S371" s="1" t="s">
        <v>1711</v>
      </c>
      <c r="V371" s="1">
        <f t="shared" si="4"/>
        <v>370</v>
      </c>
      <c r="W371" s="1">
        <f t="shared" si="5"/>
        <v>0.28468468468468466</v>
      </c>
    </row>
    <row r="372" spans="1:23" x14ac:dyDescent="0.2">
      <c r="A372" s="1">
        <v>371</v>
      </c>
      <c r="B372" s="1" t="s">
        <v>1755</v>
      </c>
      <c r="C372" s="1" t="s">
        <v>853</v>
      </c>
      <c r="D372" s="1" t="s">
        <v>596</v>
      </c>
      <c r="E372" s="1" t="s">
        <v>1704</v>
      </c>
      <c r="F372" s="1" t="s">
        <v>256</v>
      </c>
      <c r="G372" s="1">
        <f>IF(ISNA(VLOOKUP(F372,Monster!B:E,4,FALSE)),0,VLOOKUP(F372,Monster!B:E,4,FALSE))</f>
        <v>36</v>
      </c>
      <c r="I372" s="1" t="s">
        <v>1756</v>
      </c>
      <c r="J372" s="1">
        <v>1516</v>
      </c>
      <c r="K372" s="1">
        <v>0</v>
      </c>
      <c r="L372" s="1">
        <v>496</v>
      </c>
      <c r="M372" s="1" t="s">
        <v>100</v>
      </c>
      <c r="N372" s="1">
        <f>((NOT(ISNA(VLOOKUP(M372,Monster!$H$2:$I$6,2,FALSE)))*L372)+J372)*(1+K372/100*0.25)</f>
        <v>1516</v>
      </c>
      <c r="O372" s="1" t="str">
        <f t="shared" si="3"/>
        <v>Blast - 1516</v>
      </c>
      <c r="P372" s="1" t="s">
        <v>463</v>
      </c>
      <c r="Q372" s="1">
        <v>1</v>
      </c>
      <c r="S372" s="1" t="s">
        <v>1711</v>
      </c>
      <c r="V372" s="1">
        <f t="shared" si="4"/>
        <v>371</v>
      </c>
      <c r="W372" s="1">
        <f t="shared" si="5"/>
        <v>0.24652087475149106</v>
      </c>
    </row>
    <row r="373" spans="1:23" x14ac:dyDescent="0.2">
      <c r="A373" s="1">
        <v>372</v>
      </c>
      <c r="B373" s="1" t="s">
        <v>1757</v>
      </c>
      <c r="C373" s="1" t="s">
        <v>857</v>
      </c>
      <c r="D373" s="1" t="s">
        <v>596</v>
      </c>
      <c r="E373" s="1" t="s">
        <v>1704</v>
      </c>
      <c r="F373" s="1" t="s">
        <v>263</v>
      </c>
      <c r="G373" s="1">
        <f>IF(ISNA(VLOOKUP(F373,Monster!B:E,4,FALSE)),0,VLOOKUP(F373,Monster!B:E,4,FALSE))</f>
        <v>37</v>
      </c>
      <c r="I373" s="1" t="s">
        <v>1758</v>
      </c>
      <c r="J373" s="1">
        <v>1318</v>
      </c>
      <c r="K373" s="1">
        <v>-30</v>
      </c>
      <c r="L373" s="1">
        <v>1261</v>
      </c>
      <c r="M373" s="1" t="s">
        <v>58</v>
      </c>
      <c r="N373" s="1">
        <f>((NOT(ISNA(VLOOKUP(M373,Monster!$H$2:$I$6,2,FALSE)))*L373)+J373)*(1+K373/100*0.25)</f>
        <v>2385.5750000000003</v>
      </c>
      <c r="O373" s="1" t="str">
        <f t="shared" si="3"/>
        <v>Thunder - 2385.575</v>
      </c>
      <c r="P373" s="1" t="s">
        <v>463</v>
      </c>
      <c r="Q373" s="1">
        <v>1</v>
      </c>
      <c r="S373" s="1" t="s">
        <v>1711</v>
      </c>
      <c r="V373" s="1">
        <f t="shared" si="4"/>
        <v>372</v>
      </c>
      <c r="W373" s="1">
        <f t="shared" si="5"/>
        <v>0.4889492051182629</v>
      </c>
    </row>
    <row r="374" spans="1:23" x14ac:dyDescent="0.2">
      <c r="A374" s="1">
        <v>373</v>
      </c>
      <c r="B374" s="1" t="s">
        <v>1759</v>
      </c>
      <c r="C374" s="1" t="s">
        <v>863</v>
      </c>
      <c r="D374" s="1" t="s">
        <v>596</v>
      </c>
      <c r="E374" s="1" t="s">
        <v>1704</v>
      </c>
      <c r="F374" s="1" t="s">
        <v>268</v>
      </c>
      <c r="G374" s="1">
        <f>IF(ISNA(VLOOKUP(F374,Monster!B:E,4,FALSE)),0,VLOOKUP(F374,Monster!B:E,4,FALSE))</f>
        <v>38</v>
      </c>
      <c r="I374" s="1" t="s">
        <v>1759</v>
      </c>
      <c r="J374" s="1">
        <v>1553</v>
      </c>
      <c r="K374" s="1">
        <v>0</v>
      </c>
      <c r="L374" s="1">
        <v>974</v>
      </c>
      <c r="M374" s="1" t="s">
        <v>71</v>
      </c>
      <c r="N374" s="1">
        <f>((NOT(ISNA(VLOOKUP(M374,Monster!$H$2:$I$6,2,FALSE)))*L374)+J374)*(1+K374/100*0.25)</f>
        <v>2527</v>
      </c>
      <c r="O374" s="1" t="str">
        <f t="shared" si="3"/>
        <v>Dragon - 2527</v>
      </c>
      <c r="P374" s="1" t="s">
        <v>463</v>
      </c>
      <c r="Q374" s="1">
        <v>2</v>
      </c>
      <c r="S374" s="1" t="s">
        <v>1711</v>
      </c>
      <c r="V374" s="1">
        <f t="shared" si="4"/>
        <v>373</v>
      </c>
      <c r="W374" s="1">
        <f t="shared" si="5"/>
        <v>0.38543727740403638</v>
      </c>
    </row>
    <row r="375" spans="1:23" x14ac:dyDescent="0.2">
      <c r="A375" s="1">
        <v>374</v>
      </c>
      <c r="B375" s="1" t="s">
        <v>1760</v>
      </c>
      <c r="C375" s="1" t="s">
        <v>866</v>
      </c>
      <c r="D375" s="1" t="s">
        <v>596</v>
      </c>
      <c r="E375" s="1" t="s">
        <v>1704</v>
      </c>
      <c r="F375" s="1" t="s">
        <v>273</v>
      </c>
      <c r="G375" s="1">
        <f>IF(ISNA(VLOOKUP(F375,Monster!B:E,4,FALSE)),0,VLOOKUP(F375,Monster!B:E,4,FALSE))</f>
        <v>39</v>
      </c>
      <c r="I375" s="1" t="s">
        <v>1761</v>
      </c>
      <c r="J375" s="1">
        <v>1588</v>
      </c>
      <c r="K375" s="1">
        <v>0</v>
      </c>
      <c r="L375" s="1">
        <v>632</v>
      </c>
      <c r="M375" s="1" t="s">
        <v>66</v>
      </c>
      <c r="N375" s="1">
        <f>((NOT(ISNA(VLOOKUP(M375,Monster!$H$2:$I$6,2,FALSE)))*L375)+J375)*(1+K375/100*0.25)</f>
        <v>2220</v>
      </c>
      <c r="O375" s="1" t="str">
        <f t="shared" si="3"/>
        <v>Ice - 2220</v>
      </c>
      <c r="P375" s="1" t="s">
        <v>412</v>
      </c>
      <c r="Q375" s="1">
        <v>1</v>
      </c>
      <c r="S375" s="1" t="s">
        <v>1713</v>
      </c>
      <c r="V375" s="1">
        <f t="shared" si="4"/>
        <v>374</v>
      </c>
      <c r="W375" s="1">
        <f t="shared" si="5"/>
        <v>0.28468468468468466</v>
      </c>
    </row>
    <row r="376" spans="1:23" x14ac:dyDescent="0.2">
      <c r="A376" s="1">
        <v>375</v>
      </c>
      <c r="B376" s="1" t="s">
        <v>1762</v>
      </c>
      <c r="C376" s="1" t="s">
        <v>869</v>
      </c>
      <c r="D376" s="1" t="s">
        <v>596</v>
      </c>
      <c r="E376" s="1" t="s">
        <v>1704</v>
      </c>
      <c r="F376" s="1" t="s">
        <v>278</v>
      </c>
      <c r="G376" s="1">
        <f>IF(ISNA(VLOOKUP(F376,Monster!B:E,4,FALSE)),0,VLOOKUP(F376,Monster!B:E,4,FALSE))</f>
        <v>40</v>
      </c>
      <c r="I376" s="1" t="s">
        <v>1763</v>
      </c>
      <c r="J376" s="1">
        <v>1516</v>
      </c>
      <c r="K376" s="1">
        <v>0</v>
      </c>
      <c r="L376" s="1">
        <v>496</v>
      </c>
      <c r="M376" s="1" t="s">
        <v>87</v>
      </c>
      <c r="N376" s="1">
        <f>((NOT(ISNA(VLOOKUP(M376,Monster!$H$2:$I$6,2,FALSE)))*L376)+J376)*(1+K376/100*0.25)</f>
        <v>1516</v>
      </c>
      <c r="O376" s="1" t="str">
        <f t="shared" si="3"/>
        <v>Paralysis - 1516</v>
      </c>
      <c r="P376" s="1" t="s">
        <v>253</v>
      </c>
      <c r="Q376" s="1">
        <v>1</v>
      </c>
      <c r="S376" s="1" t="s">
        <v>1713</v>
      </c>
      <c r="V376" s="1">
        <f t="shared" si="4"/>
        <v>375</v>
      </c>
      <c r="W376" s="1">
        <f t="shared" si="5"/>
        <v>0.24652087475149106</v>
      </c>
    </row>
    <row r="377" spans="1:23" x14ac:dyDescent="0.2">
      <c r="A377" s="1">
        <v>376</v>
      </c>
      <c r="B377" s="1" t="s">
        <v>1764</v>
      </c>
      <c r="C377" s="1" t="s">
        <v>875</v>
      </c>
      <c r="D377" s="1" t="s">
        <v>596</v>
      </c>
      <c r="E377" s="1" t="s">
        <v>1704</v>
      </c>
      <c r="F377" s="1" t="s">
        <v>293</v>
      </c>
      <c r="G377" s="1">
        <f>IF(ISNA(VLOOKUP(F377,Monster!B:E,4,FALSE)),0,VLOOKUP(F377,Monster!B:E,4,FALSE))</f>
        <v>42</v>
      </c>
      <c r="I377" s="1" t="s">
        <v>1764</v>
      </c>
      <c r="J377" s="1">
        <v>2198</v>
      </c>
      <c r="K377" s="1">
        <v>-40</v>
      </c>
      <c r="L377" s="1">
        <v>0</v>
      </c>
      <c r="M377" s="1" t="s">
        <v>107</v>
      </c>
      <c r="N377" s="1">
        <f>((NOT(ISNA(VLOOKUP(M377,Monster!$H$2:$I$6,2,FALSE)))*L377)+J377)*(1+K377/100*0.25)</f>
        <v>1978.2</v>
      </c>
      <c r="O377" s="1" t="str">
        <f t="shared" si="3"/>
        <v>No Element - 1978.2</v>
      </c>
      <c r="P377" s="1" t="s">
        <v>194</v>
      </c>
      <c r="Q377" s="1">
        <v>1</v>
      </c>
      <c r="S377" s="1" t="s">
        <v>1711</v>
      </c>
      <c r="V377" s="1">
        <f t="shared" si="4"/>
        <v>376</v>
      </c>
      <c r="W377" s="1">
        <f t="shared" si="5"/>
        <v>0</v>
      </c>
    </row>
    <row r="378" spans="1:23" x14ac:dyDescent="0.2">
      <c r="A378" s="1">
        <v>377</v>
      </c>
      <c r="B378" s="1" t="s">
        <v>1765</v>
      </c>
      <c r="C378" s="1" t="s">
        <v>880</v>
      </c>
      <c r="D378" s="1" t="s">
        <v>596</v>
      </c>
      <c r="E378" s="1" t="s">
        <v>1704</v>
      </c>
      <c r="F378" s="1" t="s">
        <v>298</v>
      </c>
      <c r="G378" s="1">
        <f>IF(ISNA(VLOOKUP(F378,Monster!B:E,4,FALSE)),0,VLOOKUP(F378,Monster!B:E,4,FALSE))</f>
        <v>43</v>
      </c>
      <c r="I378" s="1" t="s">
        <v>1765</v>
      </c>
      <c r="J378" s="1">
        <v>2198</v>
      </c>
      <c r="K378" s="1">
        <v>-10</v>
      </c>
      <c r="L378" s="1">
        <v>0</v>
      </c>
      <c r="M378" s="1" t="s">
        <v>107</v>
      </c>
      <c r="N378" s="1">
        <f>((NOT(ISNA(VLOOKUP(M378,Monster!$H$2:$I$6,2,FALSE)))*L378)+J378)*(1+K378/100*0.25)</f>
        <v>2143.0499999999997</v>
      </c>
      <c r="O378" s="1" t="str">
        <f t="shared" si="3"/>
        <v>No Element - 2143.05</v>
      </c>
      <c r="P378" s="1" t="s">
        <v>28</v>
      </c>
      <c r="Q378" s="1">
        <v>5</v>
      </c>
      <c r="S378" s="1" t="s">
        <v>1709</v>
      </c>
      <c r="V378" s="1">
        <f t="shared" si="4"/>
        <v>377</v>
      </c>
      <c r="W378" s="1">
        <f t="shared" si="5"/>
        <v>0</v>
      </c>
    </row>
    <row r="379" spans="1:23" x14ac:dyDescent="0.2">
      <c r="A379" s="1">
        <v>378</v>
      </c>
      <c r="B379" s="1" t="s">
        <v>1766</v>
      </c>
      <c r="C379" s="1" t="s">
        <v>885</v>
      </c>
      <c r="D379" s="1" t="s">
        <v>596</v>
      </c>
      <c r="E379" s="1" t="s">
        <v>1704</v>
      </c>
      <c r="F379" s="1" t="s">
        <v>302</v>
      </c>
      <c r="G379" s="1">
        <f>IF(ISNA(VLOOKUP(F379,Monster!B:E,4,FALSE)),0,VLOOKUP(F379,Monster!B:E,4,FALSE))</f>
        <v>44</v>
      </c>
      <c r="I379" s="1" t="s">
        <v>1766</v>
      </c>
      <c r="J379" s="1">
        <v>1205</v>
      </c>
      <c r="K379" s="1">
        <v>0</v>
      </c>
      <c r="L379" s="1">
        <v>1305</v>
      </c>
      <c r="M379" s="1" t="s">
        <v>58</v>
      </c>
      <c r="N379" s="1">
        <f>((NOT(ISNA(VLOOKUP(M379,Monster!$H$2:$I$6,2,FALSE)))*L379)+J379)*(1+K379/100*0.25)</f>
        <v>2510</v>
      </c>
      <c r="O379" s="1" t="str">
        <f t="shared" si="3"/>
        <v>Thunder - 2510</v>
      </c>
      <c r="P379" s="1" t="s">
        <v>400</v>
      </c>
      <c r="Q379" s="1">
        <v>1</v>
      </c>
      <c r="S379" s="1" t="s">
        <v>1713</v>
      </c>
      <c r="V379" s="1">
        <f t="shared" si="4"/>
        <v>378</v>
      </c>
      <c r="W379" s="1">
        <f t="shared" si="5"/>
        <v>0.51992031872509958</v>
      </c>
    </row>
    <row r="380" spans="1:23" x14ac:dyDescent="0.2">
      <c r="A380" s="1">
        <v>379</v>
      </c>
      <c r="B380" s="1" t="s">
        <v>1767</v>
      </c>
      <c r="C380" s="1" t="s">
        <v>888</v>
      </c>
      <c r="D380" s="1" t="s">
        <v>596</v>
      </c>
      <c r="E380" s="1" t="s">
        <v>1704</v>
      </c>
      <c r="F380" s="1" t="s">
        <v>305</v>
      </c>
      <c r="G380" s="1">
        <f>IF(ISNA(VLOOKUP(F380,Monster!B:E,4,FALSE)),0,VLOOKUP(F380,Monster!B:E,4,FALSE))</f>
        <v>45</v>
      </c>
      <c r="I380" s="1" t="s">
        <v>1767</v>
      </c>
      <c r="J380" s="1">
        <v>1942</v>
      </c>
      <c r="K380" s="1">
        <v>-30</v>
      </c>
      <c r="L380" s="1">
        <v>297</v>
      </c>
      <c r="M380" s="1" t="s">
        <v>100</v>
      </c>
      <c r="N380" s="1">
        <f>((NOT(ISNA(VLOOKUP(M380,Monster!$H$2:$I$6,2,FALSE)))*L380)+J380)*(1+K380/100*0.25)</f>
        <v>1796.3500000000001</v>
      </c>
      <c r="O380" s="1" t="str">
        <f t="shared" si="3"/>
        <v>Blast - 1796.35</v>
      </c>
      <c r="P380" s="1" t="s">
        <v>194</v>
      </c>
      <c r="Q380" s="1">
        <v>1</v>
      </c>
      <c r="S380" s="1" t="s">
        <v>1711</v>
      </c>
      <c r="V380" s="1">
        <f t="shared" si="4"/>
        <v>379</v>
      </c>
      <c r="W380" s="1">
        <f t="shared" si="5"/>
        <v>0.13264850379633766</v>
      </c>
    </row>
    <row r="381" spans="1:23" x14ac:dyDescent="0.2">
      <c r="A381" s="1">
        <v>380</v>
      </c>
      <c r="B381" s="1" t="s">
        <v>1768</v>
      </c>
      <c r="C381" s="1" t="s">
        <v>896</v>
      </c>
      <c r="D381" s="1" t="s">
        <v>596</v>
      </c>
      <c r="E381" s="1" t="s">
        <v>1704</v>
      </c>
      <c r="F381" s="1" t="s">
        <v>316</v>
      </c>
      <c r="G381" s="1">
        <f>IF(ISNA(VLOOKUP(F381,Monster!B:E,4,FALSE)),0,VLOOKUP(F381,Monster!B:E,4,FALSE))</f>
        <v>47</v>
      </c>
      <c r="I381" s="1" t="s">
        <v>1769</v>
      </c>
      <c r="J381" s="1">
        <v>1971</v>
      </c>
      <c r="K381" s="1">
        <v>-20</v>
      </c>
      <c r="L381" s="1">
        <v>0</v>
      </c>
      <c r="M381" s="1" t="s">
        <v>107</v>
      </c>
      <c r="N381" s="1">
        <f>((NOT(ISNA(VLOOKUP(M381,Monster!$H$2:$I$6,2,FALSE)))*L381)+J381)*(1+K381/100*0.25)</f>
        <v>1872.4499999999998</v>
      </c>
      <c r="O381" s="1" t="str">
        <f t="shared" si="3"/>
        <v>No Element - 1872.45</v>
      </c>
      <c r="P381" s="1" t="s">
        <v>602</v>
      </c>
      <c r="Q381" s="1">
        <v>2</v>
      </c>
      <c r="S381" s="1" t="s">
        <v>1706</v>
      </c>
      <c r="V381" s="1">
        <f t="shared" si="4"/>
        <v>380</v>
      </c>
      <c r="W381" s="1">
        <f t="shared" si="5"/>
        <v>0</v>
      </c>
    </row>
    <row r="382" spans="1:23" x14ac:dyDescent="0.2">
      <c r="A382" s="1">
        <v>381</v>
      </c>
      <c r="B382" s="1" t="s">
        <v>1770</v>
      </c>
      <c r="C382" s="1" t="s">
        <v>900</v>
      </c>
      <c r="D382" s="1" t="s">
        <v>596</v>
      </c>
      <c r="E382" s="1" t="s">
        <v>1704</v>
      </c>
      <c r="F382" s="1" t="s">
        <v>320</v>
      </c>
      <c r="G382" s="1">
        <f>IF(ISNA(VLOOKUP(F382,Monster!B:E,4,FALSE)),0,VLOOKUP(F382,Monster!B:E,4,FALSE))</f>
        <v>48</v>
      </c>
      <c r="I382" s="1" t="s">
        <v>1770</v>
      </c>
      <c r="J382" s="1">
        <v>1318</v>
      </c>
      <c r="K382" s="1">
        <v>-30</v>
      </c>
      <c r="L382" s="1">
        <v>1261</v>
      </c>
      <c r="M382" s="1" t="s">
        <v>41</v>
      </c>
      <c r="N382" s="1">
        <f>((NOT(ISNA(VLOOKUP(M382,Monster!$H$2:$I$6,2,FALSE)))*L382)+J382)*(1+K382/100*0.25)</f>
        <v>2385.5750000000003</v>
      </c>
      <c r="O382" s="1" t="str">
        <f t="shared" si="3"/>
        <v>Fire - 2385.575</v>
      </c>
      <c r="P382" s="1" t="s">
        <v>194</v>
      </c>
      <c r="Q382" s="1">
        <v>1</v>
      </c>
      <c r="S382" s="1" t="s">
        <v>1711</v>
      </c>
      <c r="V382" s="1">
        <f t="shared" si="4"/>
        <v>381</v>
      </c>
      <c r="W382" s="1">
        <f t="shared" si="5"/>
        <v>0.4889492051182629</v>
      </c>
    </row>
    <row r="383" spans="1:23" x14ac:dyDescent="0.2">
      <c r="A383" s="1">
        <v>382</v>
      </c>
      <c r="B383" s="1" t="s">
        <v>1771</v>
      </c>
      <c r="C383" s="1" t="s">
        <v>904</v>
      </c>
      <c r="D383" s="1" t="s">
        <v>596</v>
      </c>
      <c r="E383" s="1" t="s">
        <v>1704</v>
      </c>
      <c r="F383" s="1" t="s">
        <v>328</v>
      </c>
      <c r="G383" s="1">
        <f>IF(ISNA(VLOOKUP(F383,Monster!B:E,4,FALSE)),0,VLOOKUP(F383,Monster!B:E,4,FALSE))</f>
        <v>49</v>
      </c>
      <c r="I383" s="1" t="s">
        <v>1771</v>
      </c>
      <c r="J383" s="1">
        <v>1741</v>
      </c>
      <c r="K383" s="1">
        <v>0</v>
      </c>
      <c r="L383" s="1">
        <v>505</v>
      </c>
      <c r="M383" s="1" t="s">
        <v>79</v>
      </c>
      <c r="N383" s="1">
        <f>((NOT(ISNA(VLOOKUP(M383,Monster!$H$2:$I$6,2,FALSE)))*L383)+J383)*(1+K383/100*0.25)</f>
        <v>1741</v>
      </c>
      <c r="O383" s="1" t="str">
        <f t="shared" si="3"/>
        <v>Poison - 1741</v>
      </c>
      <c r="P383" s="1" t="s">
        <v>624</v>
      </c>
      <c r="Q383" s="1">
        <v>2</v>
      </c>
      <c r="S383" s="1" t="s">
        <v>1711</v>
      </c>
      <c r="V383" s="1">
        <f t="shared" si="4"/>
        <v>382</v>
      </c>
      <c r="W383" s="1">
        <f t="shared" si="5"/>
        <v>0.22484416740872662</v>
      </c>
    </row>
    <row r="384" spans="1:23" x14ac:dyDescent="0.2">
      <c r="A384" s="1">
        <v>383</v>
      </c>
      <c r="B384" s="1" t="s">
        <v>1772</v>
      </c>
      <c r="C384" s="1" t="s">
        <v>913</v>
      </c>
      <c r="D384" s="1" t="s">
        <v>596</v>
      </c>
      <c r="E384" s="1" t="s">
        <v>1704</v>
      </c>
      <c r="F384" s="1" t="s">
        <v>339</v>
      </c>
      <c r="G384" s="1">
        <f>IF(ISNA(VLOOKUP(F384,Monster!B:E,4,FALSE)),0,VLOOKUP(F384,Monster!B:E,4,FALSE))</f>
        <v>51</v>
      </c>
      <c r="I384" s="1" t="s">
        <v>1773</v>
      </c>
      <c r="J384" s="1">
        <v>1764</v>
      </c>
      <c r="K384" s="1">
        <v>0</v>
      </c>
      <c r="L384" s="1">
        <v>0</v>
      </c>
      <c r="M384" s="1" t="s">
        <v>107</v>
      </c>
      <c r="N384" s="1">
        <f>((NOT(ISNA(VLOOKUP(M384,Monster!$H$2:$I$6,2,FALSE)))*L384)+J384)*(1+K384/100*0.25)</f>
        <v>1764</v>
      </c>
      <c r="O384" s="1" t="str">
        <f t="shared" si="3"/>
        <v>No Element - 1764</v>
      </c>
      <c r="P384" s="1" t="s">
        <v>560</v>
      </c>
      <c r="Q384" s="1">
        <v>2</v>
      </c>
      <c r="S384" s="1" t="s">
        <v>1774</v>
      </c>
      <c r="V384" s="1">
        <f t="shared" si="4"/>
        <v>383</v>
      </c>
      <c r="W384" s="1">
        <f t="shared" si="5"/>
        <v>0</v>
      </c>
    </row>
    <row r="385" spans="1:37" x14ac:dyDescent="0.2">
      <c r="A385" s="1">
        <v>384</v>
      </c>
      <c r="B385" s="1" t="s">
        <v>1775</v>
      </c>
      <c r="C385" s="1" t="s">
        <v>922</v>
      </c>
      <c r="D385" s="1" t="s">
        <v>596</v>
      </c>
      <c r="E385" s="1" t="s">
        <v>1704</v>
      </c>
      <c r="F385" s="1" t="s">
        <v>349</v>
      </c>
      <c r="G385" s="1">
        <f>IF(ISNA(VLOOKUP(F385,Monster!B:E,4,FALSE)),0,VLOOKUP(F385,Monster!B:E,4,FALSE))</f>
        <v>53</v>
      </c>
      <c r="I385" s="1" t="s">
        <v>1776</v>
      </c>
      <c r="J385" s="1">
        <v>1738</v>
      </c>
      <c r="K385" s="1">
        <v>40</v>
      </c>
      <c r="L385" s="1">
        <v>0</v>
      </c>
      <c r="M385" s="1" t="s">
        <v>107</v>
      </c>
      <c r="N385" s="1">
        <f>((NOT(ISNA(VLOOKUP(M385,Monster!$H$2:$I$6,2,FALSE)))*L385)+J385)*(1+K385/100*0.25)</f>
        <v>1911.8000000000002</v>
      </c>
      <c r="O385" s="1" t="str">
        <f t="shared" si="3"/>
        <v>No Element - 1911.8</v>
      </c>
      <c r="P385" s="1" t="s">
        <v>535</v>
      </c>
      <c r="Q385" s="1">
        <v>2</v>
      </c>
      <c r="S385" s="1" t="s">
        <v>1711</v>
      </c>
      <c r="V385" s="1">
        <f t="shared" si="4"/>
        <v>384</v>
      </c>
      <c r="W385" s="1">
        <f t="shared" si="5"/>
        <v>0</v>
      </c>
    </row>
    <row r="386" spans="1:37" x14ac:dyDescent="0.2">
      <c r="A386" s="1">
        <v>385</v>
      </c>
      <c r="B386" s="1" t="s">
        <v>1777</v>
      </c>
      <c r="C386" s="1" t="s">
        <v>926</v>
      </c>
      <c r="D386" s="1" t="s">
        <v>596</v>
      </c>
      <c r="E386" s="1" t="s">
        <v>1704</v>
      </c>
      <c r="F386" s="1" t="s">
        <v>354</v>
      </c>
      <c r="G386" s="1">
        <f>IF(ISNA(VLOOKUP(F386,Monster!B:E,4,FALSE)),0,VLOOKUP(F386,Monster!B:E,4,FALSE))</f>
        <v>54</v>
      </c>
      <c r="I386" s="1" t="s">
        <v>1777</v>
      </c>
      <c r="J386" s="1">
        <v>1328</v>
      </c>
      <c r="K386" s="1">
        <v>20</v>
      </c>
      <c r="L386" s="1">
        <v>1074</v>
      </c>
      <c r="M386" s="1" t="s">
        <v>50</v>
      </c>
      <c r="N386" s="1">
        <f>((NOT(ISNA(VLOOKUP(M386,Monster!$H$2:$I$6,2,FALSE)))*L386)+J386)*(1+K386/100*0.25)</f>
        <v>2522.1</v>
      </c>
      <c r="O386" s="1" t="str">
        <f t="shared" si="3"/>
        <v>Water - 2522.1</v>
      </c>
      <c r="P386" s="1" t="s">
        <v>677</v>
      </c>
      <c r="Q386" s="1">
        <v>1</v>
      </c>
      <c r="S386" s="1" t="s">
        <v>1711</v>
      </c>
      <c r="V386" s="1">
        <f t="shared" si="4"/>
        <v>385</v>
      </c>
      <c r="W386" s="1">
        <f t="shared" si="5"/>
        <v>0.44712739383846795</v>
      </c>
    </row>
    <row r="387" spans="1:37" x14ac:dyDescent="0.2">
      <c r="A387" s="1">
        <v>386</v>
      </c>
      <c r="B387" s="1" t="s">
        <v>1778</v>
      </c>
      <c r="C387" s="1" t="s">
        <v>930</v>
      </c>
      <c r="D387" s="1" t="s">
        <v>596</v>
      </c>
      <c r="E387" s="1" t="s">
        <v>1704</v>
      </c>
      <c r="F387" s="1" t="s">
        <v>360</v>
      </c>
      <c r="G387" s="1">
        <f>IF(ISNA(VLOOKUP(F387,Monster!B:E,4,FALSE)),0,VLOOKUP(F387,Monster!B:E,4,FALSE))</f>
        <v>55</v>
      </c>
      <c r="I387" s="1" t="s">
        <v>1779</v>
      </c>
      <c r="J387" s="1">
        <v>1979</v>
      </c>
      <c r="K387" s="1">
        <v>0</v>
      </c>
      <c r="L387" s="1">
        <v>0</v>
      </c>
      <c r="M387" s="1" t="s">
        <v>107</v>
      </c>
      <c r="N387" s="1">
        <f>((NOT(ISNA(VLOOKUP(M387,Monster!$H$2:$I$6,2,FALSE)))*L387)+J387)*(1+K387/100*0.25)</f>
        <v>1979</v>
      </c>
      <c r="O387" s="1" t="str">
        <f t="shared" si="3"/>
        <v>No Element - 1979</v>
      </c>
      <c r="P387" s="1" t="s">
        <v>515</v>
      </c>
      <c r="Q387" s="1">
        <v>1</v>
      </c>
      <c r="S387" s="1" t="s">
        <v>1709</v>
      </c>
      <c r="V387" s="1">
        <f t="shared" si="4"/>
        <v>386</v>
      </c>
      <c r="W387" s="1">
        <f t="shared" si="5"/>
        <v>0</v>
      </c>
    </row>
    <row r="388" spans="1:37" x14ac:dyDescent="0.2">
      <c r="A388" s="1">
        <v>387</v>
      </c>
      <c r="B388" s="1" t="s">
        <v>1780</v>
      </c>
      <c r="C388" s="1" t="s">
        <v>934</v>
      </c>
      <c r="D388" s="1" t="s">
        <v>596</v>
      </c>
      <c r="E388" s="1" t="s">
        <v>1704</v>
      </c>
      <c r="F388" s="1" t="s">
        <v>365</v>
      </c>
      <c r="G388" s="1">
        <f>IF(ISNA(VLOOKUP(F388,Monster!B:E,4,FALSE)),0,VLOOKUP(F388,Monster!B:E,4,FALSE))</f>
        <v>56</v>
      </c>
      <c r="I388" s="1" t="s">
        <v>1781</v>
      </c>
      <c r="J388" s="1">
        <v>1020</v>
      </c>
      <c r="K388" s="1">
        <v>0</v>
      </c>
      <c r="L388" s="1">
        <v>1173</v>
      </c>
      <c r="M388" s="1" t="s">
        <v>66</v>
      </c>
      <c r="N388" s="1">
        <f>((NOT(ISNA(VLOOKUP(M388,Monster!$H$2:$I$6,2,FALSE)))*L388)+J388)*(1+K388/100*0.25)</f>
        <v>2193</v>
      </c>
      <c r="O388" s="1" t="str">
        <f t="shared" si="3"/>
        <v>Ice - 2193</v>
      </c>
      <c r="P388" s="1" t="s">
        <v>659</v>
      </c>
      <c r="Q388" s="1">
        <v>1</v>
      </c>
      <c r="S388" s="1" t="s">
        <v>1711</v>
      </c>
      <c r="V388" s="1">
        <f t="shared" si="4"/>
        <v>387</v>
      </c>
      <c r="W388" s="1">
        <f t="shared" si="5"/>
        <v>0.53488372093023251</v>
      </c>
    </row>
    <row r="389" spans="1:37" x14ac:dyDescent="0.2">
      <c r="A389" s="1">
        <v>388</v>
      </c>
      <c r="B389" s="1" t="s">
        <v>1782</v>
      </c>
      <c r="C389" s="1" t="s">
        <v>939</v>
      </c>
      <c r="D389" s="1" t="s">
        <v>596</v>
      </c>
      <c r="E389" s="1" t="s">
        <v>1704</v>
      </c>
      <c r="F389" s="1" t="s">
        <v>370</v>
      </c>
      <c r="G389" s="1">
        <f>IF(ISNA(VLOOKUP(F389,Monster!B:E,4,FALSE)),0,VLOOKUP(F389,Monster!B:E,4,FALSE))</f>
        <v>57</v>
      </c>
      <c r="I389" s="1" t="s">
        <v>1783</v>
      </c>
      <c r="J389" s="1">
        <v>1197</v>
      </c>
      <c r="K389" s="1">
        <v>20</v>
      </c>
      <c r="L389" s="1">
        <v>1154</v>
      </c>
      <c r="M389" s="1" t="s">
        <v>41</v>
      </c>
      <c r="N389" s="1">
        <f>((NOT(ISNA(VLOOKUP(M389,Monster!$H$2:$I$6,2,FALSE)))*L389)+J389)*(1+K389/100*0.25)</f>
        <v>2468.5500000000002</v>
      </c>
      <c r="O389" s="1" t="str">
        <f t="shared" si="3"/>
        <v>Fire - 2468.55</v>
      </c>
      <c r="P389" s="1" t="s">
        <v>615</v>
      </c>
      <c r="Q389" s="1">
        <v>2</v>
      </c>
      <c r="S389" s="1" t="s">
        <v>1713</v>
      </c>
      <c r="V389" s="1">
        <f t="shared" si="4"/>
        <v>388</v>
      </c>
      <c r="W389" s="1">
        <f t="shared" si="5"/>
        <v>0.49085495533815399</v>
      </c>
    </row>
    <row r="390" spans="1:37" x14ac:dyDescent="0.2">
      <c r="A390" s="1">
        <v>389</v>
      </c>
      <c r="B390" s="3" t="s">
        <v>1784</v>
      </c>
      <c r="C390" s="3" t="s">
        <v>943</v>
      </c>
      <c r="D390" s="3" t="s">
        <v>596</v>
      </c>
      <c r="E390" s="1" t="s">
        <v>1704</v>
      </c>
      <c r="F390" s="3" t="s">
        <v>374</v>
      </c>
      <c r="G390" s="4">
        <f>IF(ISNA(VLOOKUP(F390,Monster!B:E,4,FALSE)),0,VLOOKUP(F390,Monster!B:E,4,FALSE))</f>
        <v>58</v>
      </c>
      <c r="H390" s="3"/>
      <c r="I390" s="3" t="s">
        <v>1784</v>
      </c>
      <c r="J390" s="4">
        <v>1205</v>
      </c>
      <c r="K390" s="4">
        <v>0</v>
      </c>
      <c r="L390" s="4">
        <v>1305</v>
      </c>
      <c r="M390" s="3" t="s">
        <v>71</v>
      </c>
      <c r="N390" s="4">
        <f>((NOT(ISNA(VLOOKUP(M390,Monster!$H$2:$I$6,2,FALSE)))*L390)+J390)*(1+K390/100*0.25)</f>
        <v>2510</v>
      </c>
      <c r="O390" s="1" t="str">
        <f t="shared" si="3"/>
        <v>Dragon - 2510</v>
      </c>
      <c r="P390" s="3" t="s">
        <v>689</v>
      </c>
      <c r="Q390" s="4">
        <v>1</v>
      </c>
      <c r="R390" s="3" t="s">
        <v>372</v>
      </c>
      <c r="S390" s="1" t="s">
        <v>1711</v>
      </c>
      <c r="V390" s="1">
        <f t="shared" si="4"/>
        <v>389</v>
      </c>
      <c r="W390" s="1">
        <f t="shared" si="5"/>
        <v>0.51992031872509958</v>
      </c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</row>
    <row r="391" spans="1:37" x14ac:dyDescent="0.2">
      <c r="A391" s="1">
        <v>390</v>
      </c>
      <c r="B391" s="1" t="s">
        <v>1785</v>
      </c>
      <c r="C391" s="1" t="s">
        <v>949</v>
      </c>
      <c r="D391" s="1" t="s">
        <v>596</v>
      </c>
      <c r="E391" s="1" t="s">
        <v>1704</v>
      </c>
      <c r="F391" s="1"/>
      <c r="G391" s="1">
        <f>IF(ISNA(VLOOKUP(F391,Monster!B:E,4,FALSE)),0,VLOOKUP(F391,Monster!B:E,4,FALSE))</f>
        <v>0</v>
      </c>
      <c r="I391" s="1" t="s">
        <v>1786</v>
      </c>
      <c r="J391" s="1">
        <v>1596</v>
      </c>
      <c r="K391" s="1">
        <v>0</v>
      </c>
      <c r="L391" s="1">
        <v>0</v>
      </c>
      <c r="M391" s="1" t="s">
        <v>107</v>
      </c>
      <c r="N391" s="1">
        <f>((NOT(ISNA(VLOOKUP(M391,Monster!$H$2:$I$6,2,FALSE)))*L391)+J391)*(1+K391/100*0.25)</f>
        <v>1596</v>
      </c>
      <c r="O391" s="1" t="str">
        <f t="shared" si="3"/>
        <v>No Element - 1596</v>
      </c>
      <c r="P391" s="1" t="s">
        <v>158</v>
      </c>
      <c r="Q391" s="1">
        <v>1</v>
      </c>
      <c r="S391" s="1" t="s">
        <v>1711</v>
      </c>
      <c r="V391" s="1">
        <f t="shared" si="4"/>
        <v>390</v>
      </c>
      <c r="W391" s="1">
        <f t="shared" si="5"/>
        <v>0</v>
      </c>
    </row>
    <row r="392" spans="1:37" x14ac:dyDescent="0.2">
      <c r="A392" s="1">
        <v>391</v>
      </c>
      <c r="B392" s="1" t="s">
        <v>1787</v>
      </c>
      <c r="C392" s="1" t="s">
        <v>958</v>
      </c>
      <c r="D392" s="1" t="s">
        <v>596</v>
      </c>
      <c r="E392" s="1" t="s">
        <v>1704</v>
      </c>
      <c r="F392" s="1"/>
      <c r="G392" s="1">
        <f>IF(ISNA(VLOOKUP(F392,Monster!B:E,4,FALSE)),0,VLOOKUP(F392,Monster!B:E,4,FALSE))</f>
        <v>0</v>
      </c>
      <c r="I392" s="1" t="s">
        <v>1788</v>
      </c>
      <c r="J392" s="1">
        <v>1878</v>
      </c>
      <c r="K392" s="1">
        <v>0</v>
      </c>
      <c r="L392" s="1">
        <v>0</v>
      </c>
      <c r="M392" s="1" t="s">
        <v>107</v>
      </c>
      <c r="N392" s="1">
        <f>((NOT(ISNA(VLOOKUP(M392,Monster!$H$2:$I$6,2,FALSE)))*L392)+J392)*(1+K392/100*0.25)</f>
        <v>1878</v>
      </c>
      <c r="O392" s="1" t="str">
        <f t="shared" si="3"/>
        <v>No Element - 1878</v>
      </c>
      <c r="P392" s="1" t="s">
        <v>412</v>
      </c>
      <c r="Q392" s="1">
        <v>1</v>
      </c>
      <c r="S392" s="1" t="s">
        <v>1711</v>
      </c>
      <c r="V392" s="1">
        <f t="shared" si="4"/>
        <v>391</v>
      </c>
      <c r="W392" s="1">
        <f t="shared" si="5"/>
        <v>0</v>
      </c>
    </row>
    <row r="393" spans="1:37" x14ac:dyDescent="0.2">
      <c r="A393" s="1">
        <v>392</v>
      </c>
      <c r="B393" s="1" t="s">
        <v>1789</v>
      </c>
      <c r="C393" s="1" t="s">
        <v>34</v>
      </c>
      <c r="D393" s="1" t="s">
        <v>596</v>
      </c>
      <c r="E393" s="1" t="s">
        <v>1790</v>
      </c>
      <c r="F393" s="1"/>
      <c r="G393" s="1">
        <f>IF(ISNA(VLOOKUP(F393,Monster!B:E,4,FALSE)),0,VLOOKUP(F393,Monster!B:E,4,FALSE))</f>
        <v>0</v>
      </c>
      <c r="I393" s="1" t="s">
        <v>1791</v>
      </c>
      <c r="J393" s="1">
        <v>1596</v>
      </c>
      <c r="K393" s="1">
        <v>0</v>
      </c>
      <c r="L393" s="1">
        <v>0</v>
      </c>
      <c r="M393" s="1" t="s">
        <v>107</v>
      </c>
      <c r="N393" s="1">
        <f>((NOT(ISNA(VLOOKUP(M393,Monster!$H$2:$I$6,2,FALSE)))*L393)+J393)*(1+K393/100*0.25)</f>
        <v>1596</v>
      </c>
      <c r="O393" s="1" t="str">
        <f t="shared" si="3"/>
        <v>No Element - 1596</v>
      </c>
      <c r="P393" s="1" t="s">
        <v>410</v>
      </c>
      <c r="Q393" s="1">
        <v>2</v>
      </c>
      <c r="S393" s="1" t="s">
        <v>1792</v>
      </c>
      <c r="V393" s="1">
        <f t="shared" si="4"/>
        <v>392</v>
      </c>
      <c r="W393" s="1">
        <f t="shared" si="5"/>
        <v>0</v>
      </c>
    </row>
    <row r="394" spans="1:37" x14ac:dyDescent="0.2">
      <c r="A394" s="1">
        <v>393</v>
      </c>
      <c r="B394" s="1" t="s">
        <v>1793</v>
      </c>
      <c r="C394" s="1" t="s">
        <v>324</v>
      </c>
      <c r="D394" s="1" t="s">
        <v>596</v>
      </c>
      <c r="E394" s="1" t="s">
        <v>1790</v>
      </c>
      <c r="F394" s="1" t="s">
        <v>11</v>
      </c>
      <c r="G394" s="1">
        <f>IF(ISNA(VLOOKUP(F394,Monster!B:E,4,FALSE)),0,VLOOKUP(F394,Monster!B:E,4,FALSE))</f>
        <v>1</v>
      </c>
      <c r="I394" s="1" t="s">
        <v>1794</v>
      </c>
      <c r="J394" s="1">
        <v>1373</v>
      </c>
      <c r="K394" s="1">
        <v>0</v>
      </c>
      <c r="L394" s="1">
        <v>607</v>
      </c>
      <c r="M394" s="1" t="s">
        <v>50</v>
      </c>
      <c r="N394" s="1">
        <f>((NOT(ISNA(VLOOKUP(M394,Monster!$H$2:$I$6,2,FALSE)))*L394)+J394)*(1+K394/100*0.25)</f>
        <v>1980</v>
      </c>
      <c r="O394" s="1" t="str">
        <f t="shared" si="3"/>
        <v>Water - 1980</v>
      </c>
      <c r="P394" s="1" t="s">
        <v>348</v>
      </c>
      <c r="Q394" s="1">
        <v>2</v>
      </c>
      <c r="S394" s="1" t="s">
        <v>1792</v>
      </c>
      <c r="V394" s="1">
        <f t="shared" si="4"/>
        <v>393</v>
      </c>
      <c r="W394" s="1">
        <f t="shared" si="5"/>
        <v>0.30656565656565654</v>
      </c>
    </row>
    <row r="395" spans="1:37" x14ac:dyDescent="0.2">
      <c r="A395" s="1">
        <v>394</v>
      </c>
      <c r="B395" s="1" t="s">
        <v>1795</v>
      </c>
      <c r="C395" s="1" t="s">
        <v>719</v>
      </c>
      <c r="D395" s="1" t="s">
        <v>596</v>
      </c>
      <c r="E395" s="1" t="s">
        <v>1790</v>
      </c>
      <c r="F395" s="1" t="s">
        <v>75</v>
      </c>
      <c r="G395" s="1">
        <f>IF(ISNA(VLOOKUP(F395,Monster!B:E,4,FALSE)),0,VLOOKUP(F395,Monster!B:E,4,FALSE))</f>
        <v>6</v>
      </c>
      <c r="I395" s="1" t="s">
        <v>1796</v>
      </c>
      <c r="J395" s="1">
        <v>1596</v>
      </c>
      <c r="K395" s="1">
        <v>0</v>
      </c>
      <c r="L395" s="1">
        <v>400</v>
      </c>
      <c r="M395" s="1" t="s">
        <v>87</v>
      </c>
      <c r="N395" s="1">
        <f>((NOT(ISNA(VLOOKUP(M395,Monster!$H$2:$I$6,2,FALSE)))*L395)+J395)*(1+K395/100*0.25)</f>
        <v>1596</v>
      </c>
      <c r="O395" s="1" t="str">
        <f t="shared" si="3"/>
        <v>Paralysis - 1596</v>
      </c>
      <c r="P395" s="1" t="s">
        <v>590</v>
      </c>
      <c r="Q395" s="1">
        <v>1</v>
      </c>
      <c r="S395" s="1" t="s">
        <v>1792</v>
      </c>
      <c r="V395" s="1">
        <f t="shared" si="4"/>
        <v>394</v>
      </c>
      <c r="W395" s="1">
        <f t="shared" si="5"/>
        <v>0.20040080160320642</v>
      </c>
    </row>
    <row r="396" spans="1:37" x14ac:dyDescent="0.2">
      <c r="A396" s="1">
        <v>395</v>
      </c>
      <c r="B396" s="1" t="s">
        <v>1797</v>
      </c>
      <c r="C396" s="1" t="s">
        <v>729</v>
      </c>
      <c r="D396" s="1" t="s">
        <v>596</v>
      </c>
      <c r="E396" s="1" t="s">
        <v>1790</v>
      </c>
      <c r="F396" s="1" t="s">
        <v>81</v>
      </c>
      <c r="G396" s="1">
        <f>IF(ISNA(VLOOKUP(F396,Monster!B:E,4,FALSE)),0,VLOOKUP(F396,Monster!B:E,4,FALSE))</f>
        <v>7</v>
      </c>
      <c r="I396" s="1" t="s">
        <v>1798</v>
      </c>
      <c r="J396" s="1">
        <v>1293</v>
      </c>
      <c r="K396" s="1">
        <v>0</v>
      </c>
      <c r="L396" s="1">
        <v>910</v>
      </c>
      <c r="M396" s="1" t="s">
        <v>58</v>
      </c>
      <c r="N396" s="1">
        <f>((NOT(ISNA(VLOOKUP(M396,Monster!$H$2:$I$6,2,FALSE)))*L396)+J396)*(1+K396/100*0.25)</f>
        <v>2203</v>
      </c>
      <c r="O396" s="1" t="str">
        <f t="shared" si="3"/>
        <v>Thunder - 2203</v>
      </c>
      <c r="P396" s="1" t="s">
        <v>253</v>
      </c>
      <c r="Q396" s="1">
        <v>1</v>
      </c>
      <c r="S396" s="1" t="s">
        <v>1799</v>
      </c>
      <c r="V396" s="1">
        <f t="shared" si="4"/>
        <v>395</v>
      </c>
      <c r="W396" s="1">
        <f t="shared" si="5"/>
        <v>0.41307308216068994</v>
      </c>
    </row>
    <row r="397" spans="1:37" x14ac:dyDescent="0.2">
      <c r="A397" s="1">
        <v>396</v>
      </c>
      <c r="B397" s="1" t="s">
        <v>1800</v>
      </c>
      <c r="C397" s="1" t="s">
        <v>745</v>
      </c>
      <c r="D397" s="1" t="s">
        <v>596</v>
      </c>
      <c r="E397" s="1" t="s">
        <v>1790</v>
      </c>
      <c r="F397" s="1" t="s">
        <v>102</v>
      </c>
      <c r="G397" s="1">
        <f>IF(ISNA(VLOOKUP(F397,Monster!B:E,4,FALSE)),0,VLOOKUP(F397,Monster!B:E,4,FALSE))</f>
        <v>10</v>
      </c>
      <c r="I397" s="1" t="s">
        <v>1801</v>
      </c>
      <c r="J397" s="1">
        <v>1293</v>
      </c>
      <c r="K397" s="1">
        <v>0</v>
      </c>
      <c r="L397" s="1">
        <v>910</v>
      </c>
      <c r="M397" s="1" t="s">
        <v>50</v>
      </c>
      <c r="N397" s="1">
        <f>((NOT(ISNA(VLOOKUP(M397,Monster!$H$2:$I$6,2,FALSE)))*L397)+J397)*(1+K397/100*0.25)</f>
        <v>2203</v>
      </c>
      <c r="O397" s="1" t="str">
        <f t="shared" si="3"/>
        <v>Water - 2203</v>
      </c>
      <c r="P397" s="1" t="s">
        <v>394</v>
      </c>
      <c r="Q397" s="1">
        <v>1</v>
      </c>
      <c r="S397" s="1" t="s">
        <v>1799</v>
      </c>
      <c r="V397" s="1">
        <f t="shared" si="4"/>
        <v>396</v>
      </c>
      <c r="W397" s="1">
        <f t="shared" si="5"/>
        <v>0.41307308216068994</v>
      </c>
    </row>
    <row r="398" spans="1:37" x14ac:dyDescent="0.2">
      <c r="A398" s="1">
        <v>397</v>
      </c>
      <c r="B398" s="1" t="s">
        <v>1802</v>
      </c>
      <c r="C398" s="1" t="s">
        <v>761</v>
      </c>
      <c r="D398" s="1" t="s">
        <v>596</v>
      </c>
      <c r="E398" s="1" t="s">
        <v>1790</v>
      </c>
      <c r="F398" s="1" t="s">
        <v>125</v>
      </c>
      <c r="G398" s="1">
        <f>IF(ISNA(VLOOKUP(F398,Monster!B:E,4,FALSE)),0,VLOOKUP(F398,Monster!B:E,4,FALSE))</f>
        <v>13</v>
      </c>
      <c r="I398" s="1" t="s">
        <v>1802</v>
      </c>
      <c r="J398" s="1">
        <v>1516</v>
      </c>
      <c r="K398" s="1">
        <v>0</v>
      </c>
      <c r="L398" s="1">
        <v>496</v>
      </c>
      <c r="M398" s="1" t="s">
        <v>79</v>
      </c>
      <c r="N398" s="1">
        <f>((NOT(ISNA(VLOOKUP(M398,Monster!$H$2:$I$6,2,FALSE)))*L398)+J398)*(1+K398/100*0.25)</f>
        <v>1516</v>
      </c>
      <c r="O398" s="1" t="str">
        <f t="shared" si="3"/>
        <v>Poison - 1516</v>
      </c>
      <c r="P398" s="1" t="s">
        <v>348</v>
      </c>
      <c r="Q398" s="1">
        <v>2</v>
      </c>
      <c r="S398" s="1" t="s">
        <v>1792</v>
      </c>
      <c r="V398" s="1">
        <f t="shared" si="4"/>
        <v>397</v>
      </c>
      <c r="W398" s="1">
        <f t="shared" si="5"/>
        <v>0.24652087475149106</v>
      </c>
    </row>
    <row r="399" spans="1:37" x14ac:dyDescent="0.2">
      <c r="A399" s="1">
        <v>398</v>
      </c>
      <c r="B399" s="1" t="s">
        <v>1803</v>
      </c>
      <c r="C399" s="1" t="s">
        <v>766</v>
      </c>
      <c r="D399" s="1" t="s">
        <v>596</v>
      </c>
      <c r="E399" s="1" t="s">
        <v>1790</v>
      </c>
      <c r="F399" s="1" t="s">
        <v>131</v>
      </c>
      <c r="G399" s="1">
        <f>IF(ISNA(VLOOKUP(F399,Monster!B:E,4,FALSE)),0,VLOOKUP(F399,Monster!B:E,4,FALSE))</f>
        <v>14</v>
      </c>
      <c r="I399" s="1" t="s">
        <v>1804</v>
      </c>
      <c r="J399" s="1">
        <v>1756</v>
      </c>
      <c r="K399" s="1">
        <v>0</v>
      </c>
      <c r="L399" s="1">
        <v>300</v>
      </c>
      <c r="M399" s="1" t="s">
        <v>79</v>
      </c>
      <c r="N399" s="1">
        <f>((NOT(ISNA(VLOOKUP(M399,Monster!$H$2:$I$6,2,FALSE)))*L399)+J399)*(1+K399/100*0.25)</f>
        <v>1756</v>
      </c>
      <c r="O399" s="1" t="str">
        <f t="shared" si="3"/>
        <v>Poison - 1756</v>
      </c>
      <c r="P399" s="1" t="s">
        <v>253</v>
      </c>
      <c r="Q399" s="1">
        <v>1</v>
      </c>
      <c r="S399" s="1" t="s">
        <v>1792</v>
      </c>
      <c r="V399" s="1">
        <f t="shared" si="4"/>
        <v>398</v>
      </c>
      <c r="W399" s="1">
        <f t="shared" si="5"/>
        <v>0.14591439688715954</v>
      </c>
    </row>
    <row r="400" spans="1:37" x14ac:dyDescent="0.2">
      <c r="A400" s="1">
        <v>399</v>
      </c>
      <c r="B400" s="1" t="s">
        <v>1805</v>
      </c>
      <c r="C400" s="1" t="s">
        <v>771</v>
      </c>
      <c r="D400" s="1" t="s">
        <v>596</v>
      </c>
      <c r="E400" s="1" t="s">
        <v>1790</v>
      </c>
      <c r="F400" s="1" t="s">
        <v>137</v>
      </c>
      <c r="G400" s="1">
        <f>IF(ISNA(VLOOKUP(F400,Monster!B:E,4,FALSE)),0,VLOOKUP(F400,Monster!B:E,4,FALSE))</f>
        <v>15</v>
      </c>
      <c r="I400" s="1" t="s">
        <v>1805</v>
      </c>
      <c r="J400" s="1">
        <v>1675</v>
      </c>
      <c r="K400" s="1">
        <v>30</v>
      </c>
      <c r="L400" s="1">
        <v>399</v>
      </c>
      <c r="M400" s="1" t="s">
        <v>79</v>
      </c>
      <c r="N400" s="1">
        <f>((NOT(ISNA(VLOOKUP(M400,Monster!$H$2:$I$6,2,FALSE)))*L400)+J400)*(1+K400/100*0.25)</f>
        <v>1800.625</v>
      </c>
      <c r="O400" s="1" t="str">
        <f t="shared" si="3"/>
        <v>Poison - 1800.625</v>
      </c>
      <c r="P400" s="1" t="s">
        <v>483</v>
      </c>
      <c r="Q400" s="1">
        <v>2</v>
      </c>
      <c r="S400" s="1" t="s">
        <v>1792</v>
      </c>
      <c r="V400" s="1">
        <f t="shared" si="4"/>
        <v>399</v>
      </c>
      <c r="W400" s="1">
        <f t="shared" si="5"/>
        <v>0.19238187078109933</v>
      </c>
    </row>
    <row r="401" spans="1:23" x14ac:dyDescent="0.2">
      <c r="A401" s="1">
        <v>400</v>
      </c>
      <c r="B401" s="1" t="s">
        <v>1806</v>
      </c>
      <c r="C401" s="1" t="s">
        <v>775</v>
      </c>
      <c r="D401" s="1" t="s">
        <v>596</v>
      </c>
      <c r="E401" s="1" t="s">
        <v>1790</v>
      </c>
      <c r="F401" s="1" t="s">
        <v>146</v>
      </c>
      <c r="G401" s="1">
        <f>IF(ISNA(VLOOKUP(F401,Monster!B:E,4,FALSE)),0,VLOOKUP(F401,Monster!B:E,4,FALSE))</f>
        <v>16</v>
      </c>
      <c r="I401" s="1" t="s">
        <v>1807</v>
      </c>
      <c r="J401" s="1">
        <v>1221</v>
      </c>
      <c r="K401" s="1">
        <v>0</v>
      </c>
      <c r="L401" s="1">
        <v>1142</v>
      </c>
      <c r="M401" s="1" t="s">
        <v>66</v>
      </c>
      <c r="N401" s="1">
        <f>((NOT(ISNA(VLOOKUP(M401,Monster!$H$2:$I$6,2,FALSE)))*L401)+J401)*(1+K401/100*0.25)</f>
        <v>2363</v>
      </c>
      <c r="O401" s="1" t="str">
        <f t="shared" si="3"/>
        <v>Ice - 2363</v>
      </c>
      <c r="P401" s="1" t="s">
        <v>228</v>
      </c>
      <c r="Q401" s="1">
        <v>2</v>
      </c>
      <c r="S401" s="1" t="s">
        <v>1799</v>
      </c>
      <c r="V401" s="1">
        <f t="shared" si="4"/>
        <v>400</v>
      </c>
      <c r="W401" s="1">
        <f t="shared" si="5"/>
        <v>0.48328396106644095</v>
      </c>
    </row>
    <row r="402" spans="1:23" x14ac:dyDescent="0.2">
      <c r="A402" s="1">
        <v>401</v>
      </c>
      <c r="B402" s="1" t="s">
        <v>1808</v>
      </c>
      <c r="C402" s="1" t="s">
        <v>779</v>
      </c>
      <c r="D402" s="1" t="s">
        <v>596</v>
      </c>
      <c r="E402" s="1" t="s">
        <v>1790</v>
      </c>
      <c r="F402" s="1" t="s">
        <v>151</v>
      </c>
      <c r="G402" s="1">
        <f>IF(ISNA(VLOOKUP(F402,Monster!B:E,4,FALSE)),0,VLOOKUP(F402,Monster!B:E,4,FALSE))</f>
        <v>17</v>
      </c>
      <c r="I402" s="1" t="s">
        <v>1809</v>
      </c>
      <c r="J402" s="1">
        <v>1979</v>
      </c>
      <c r="K402" s="1">
        <v>0</v>
      </c>
      <c r="L402" s="1">
        <v>0</v>
      </c>
      <c r="M402" s="1" t="s">
        <v>107</v>
      </c>
      <c r="N402" s="1">
        <f>((NOT(ISNA(VLOOKUP(M402,Monster!$H$2:$I$6,2,FALSE)))*L402)+J402)*(1+K402/100*0.25)</f>
        <v>1979</v>
      </c>
      <c r="O402" s="1" t="str">
        <f t="shared" si="3"/>
        <v>No Element - 1979</v>
      </c>
      <c r="P402" s="1" t="s">
        <v>364</v>
      </c>
      <c r="Q402" s="1">
        <v>1</v>
      </c>
      <c r="S402" s="1" t="s">
        <v>1792</v>
      </c>
      <c r="V402" s="1">
        <f t="shared" si="4"/>
        <v>401</v>
      </c>
      <c r="W402" s="1">
        <f t="shared" si="5"/>
        <v>0</v>
      </c>
    </row>
    <row r="403" spans="1:23" x14ac:dyDescent="0.2">
      <c r="A403" s="1">
        <v>402</v>
      </c>
      <c r="B403" s="1" t="s">
        <v>1810</v>
      </c>
      <c r="C403" s="1" t="s">
        <v>782</v>
      </c>
      <c r="D403" s="1" t="s">
        <v>596</v>
      </c>
      <c r="E403" s="1" t="s">
        <v>1790</v>
      </c>
      <c r="F403" s="1" t="s">
        <v>155</v>
      </c>
      <c r="G403" s="1">
        <f>IF(ISNA(VLOOKUP(F403,Monster!B:E,4,FALSE)),0,VLOOKUP(F403,Monster!B:E,4,FALSE))</f>
        <v>18</v>
      </c>
      <c r="I403" s="1" t="s">
        <v>1810</v>
      </c>
      <c r="J403" s="1">
        <v>2218</v>
      </c>
      <c r="K403" s="1">
        <v>-30</v>
      </c>
      <c r="L403" s="1">
        <v>0</v>
      </c>
      <c r="M403" s="1" t="s">
        <v>107</v>
      </c>
      <c r="N403" s="1">
        <f>((NOT(ISNA(VLOOKUP(M403,Monster!$H$2:$I$6,2,FALSE)))*L403)+J403)*(1+K403/100*0.25)</f>
        <v>2051.65</v>
      </c>
      <c r="O403" s="1" t="str">
        <f t="shared" si="3"/>
        <v>No Element - 2051.65</v>
      </c>
      <c r="P403" s="1" t="s">
        <v>463</v>
      </c>
      <c r="Q403" s="1">
        <v>1</v>
      </c>
      <c r="S403" s="1" t="s">
        <v>1792</v>
      </c>
      <c r="V403" s="1">
        <f t="shared" si="4"/>
        <v>402</v>
      </c>
      <c r="W403" s="1">
        <f t="shared" si="5"/>
        <v>0</v>
      </c>
    </row>
    <row r="404" spans="1:23" x14ac:dyDescent="0.2">
      <c r="A404" s="1">
        <v>403</v>
      </c>
      <c r="B404" s="1" t="s">
        <v>1811</v>
      </c>
      <c r="C404" s="1" t="s">
        <v>786</v>
      </c>
      <c r="D404" s="1" t="s">
        <v>596</v>
      </c>
      <c r="E404" s="1" t="s">
        <v>1790</v>
      </c>
      <c r="F404" s="1" t="s">
        <v>160</v>
      </c>
      <c r="G404" s="1">
        <f>IF(ISNA(VLOOKUP(F404,Monster!B:E,4,FALSE)),0,VLOOKUP(F404,Monster!B:E,4,FALSE))</f>
        <v>19</v>
      </c>
      <c r="I404" s="1" t="s">
        <v>1812</v>
      </c>
      <c r="J404" s="1">
        <v>1221</v>
      </c>
      <c r="K404" s="1">
        <v>0</v>
      </c>
      <c r="L404" s="1">
        <v>1142</v>
      </c>
      <c r="M404" s="1" t="s">
        <v>41</v>
      </c>
      <c r="N404" s="1">
        <f>((NOT(ISNA(VLOOKUP(M404,Monster!$H$2:$I$6,2,FALSE)))*L404)+J404)*(1+K404/100*0.25)</f>
        <v>2363</v>
      </c>
      <c r="O404" s="1" t="str">
        <f t="shared" si="3"/>
        <v>Fire - 2363</v>
      </c>
      <c r="P404" s="1" t="s">
        <v>244</v>
      </c>
      <c r="Q404" s="1">
        <v>1</v>
      </c>
      <c r="S404" s="1" t="s">
        <v>1799</v>
      </c>
      <c r="V404" s="1">
        <f t="shared" si="4"/>
        <v>403</v>
      </c>
      <c r="W404" s="1">
        <f t="shared" si="5"/>
        <v>0.48328396106644095</v>
      </c>
    </row>
    <row r="405" spans="1:23" x14ac:dyDescent="0.2">
      <c r="A405" s="1">
        <v>404</v>
      </c>
      <c r="B405" s="1" t="s">
        <v>1813</v>
      </c>
      <c r="C405" s="1" t="s">
        <v>790</v>
      </c>
      <c r="D405" s="1" t="s">
        <v>596</v>
      </c>
      <c r="E405" s="1" t="s">
        <v>1790</v>
      </c>
      <c r="F405" s="1" t="s">
        <v>165</v>
      </c>
      <c r="G405" s="1">
        <f>IF(ISNA(VLOOKUP(F405,Monster!B:E,4,FALSE)),0,VLOOKUP(F405,Monster!B:E,4,FALSE))</f>
        <v>20</v>
      </c>
      <c r="I405" s="1" t="s">
        <v>1813</v>
      </c>
      <c r="J405" s="1">
        <v>1682</v>
      </c>
      <c r="K405" s="1">
        <v>0</v>
      </c>
      <c r="L405" s="1">
        <v>605</v>
      </c>
      <c r="M405" s="1" t="s">
        <v>41</v>
      </c>
      <c r="N405" s="1">
        <f>((NOT(ISNA(VLOOKUP(M405,Monster!$H$2:$I$6,2,FALSE)))*L405)+J405)*(1+K405/100*0.25)</f>
        <v>2287</v>
      </c>
      <c r="O405" s="1" t="str">
        <f t="shared" si="3"/>
        <v>Fire - 2287</v>
      </c>
      <c r="P405" s="1" t="s">
        <v>602</v>
      </c>
      <c r="Q405" s="1">
        <v>1</v>
      </c>
      <c r="S405" s="1" t="s">
        <v>1799</v>
      </c>
      <c r="V405" s="1">
        <f t="shared" si="4"/>
        <v>404</v>
      </c>
      <c r="W405" s="1">
        <f t="shared" si="5"/>
        <v>0.26453869698294707</v>
      </c>
    </row>
    <row r="406" spans="1:23" x14ac:dyDescent="0.2">
      <c r="A406" s="1">
        <v>405</v>
      </c>
      <c r="B406" s="1" t="s">
        <v>1814</v>
      </c>
      <c r="C406" s="1" t="s">
        <v>794</v>
      </c>
      <c r="D406" s="1" t="s">
        <v>596</v>
      </c>
      <c r="E406" s="1" t="s">
        <v>1790</v>
      </c>
      <c r="F406" s="1" t="s">
        <v>171</v>
      </c>
      <c r="G406" s="1">
        <f>IF(ISNA(VLOOKUP(F406,Monster!B:E,4,FALSE)),0,VLOOKUP(F406,Monster!B:E,4,FALSE))</f>
        <v>21</v>
      </c>
      <c r="I406" s="1" t="s">
        <v>1814</v>
      </c>
      <c r="J406" s="1">
        <v>1258</v>
      </c>
      <c r="K406" s="1">
        <v>30</v>
      </c>
      <c r="L406" s="1">
        <v>1082</v>
      </c>
      <c r="M406" s="1" t="s">
        <v>41</v>
      </c>
      <c r="N406" s="1">
        <f>((NOT(ISNA(VLOOKUP(M406,Monster!$H$2:$I$6,2,FALSE)))*L406)+J406)*(1+K406/100*0.25)</f>
        <v>2515.5</v>
      </c>
      <c r="O406" s="1" t="str">
        <f t="shared" si="3"/>
        <v>Fire - 2515.5</v>
      </c>
      <c r="P406" s="1" t="s">
        <v>175</v>
      </c>
      <c r="Q406" s="1">
        <v>2</v>
      </c>
      <c r="S406" s="1" t="s">
        <v>1799</v>
      </c>
      <c r="V406" s="1">
        <f t="shared" si="4"/>
        <v>405</v>
      </c>
      <c r="W406" s="1">
        <f t="shared" si="5"/>
        <v>0.46239316239316242</v>
      </c>
    </row>
    <row r="407" spans="1:23" x14ac:dyDescent="0.2">
      <c r="A407" s="1">
        <v>406</v>
      </c>
      <c r="B407" s="1" t="s">
        <v>1815</v>
      </c>
      <c r="C407" s="1" t="s">
        <v>803</v>
      </c>
      <c r="D407" s="1" t="s">
        <v>596</v>
      </c>
      <c r="E407" s="1" t="s">
        <v>1790</v>
      </c>
      <c r="F407" s="1" t="s">
        <v>190</v>
      </c>
      <c r="G407" s="1">
        <f>IF(ISNA(VLOOKUP(F407,Monster!B:E,4,FALSE)),0,VLOOKUP(F407,Monster!B:E,4,FALSE))</f>
        <v>24</v>
      </c>
      <c r="I407" s="1" t="s">
        <v>1816</v>
      </c>
      <c r="J407" s="1">
        <v>1191</v>
      </c>
      <c r="K407" s="1">
        <v>20</v>
      </c>
      <c r="L407" s="1">
        <v>910</v>
      </c>
      <c r="M407" s="1" t="s">
        <v>66</v>
      </c>
      <c r="N407" s="1">
        <f>((NOT(ISNA(VLOOKUP(M407,Monster!$H$2:$I$6,2,FALSE)))*L407)+J407)*(1+K407/100*0.25)</f>
        <v>2206.0500000000002</v>
      </c>
      <c r="O407" s="1" t="str">
        <f t="shared" si="3"/>
        <v>Ice - 2206.05</v>
      </c>
      <c r="P407" s="1" t="s">
        <v>253</v>
      </c>
      <c r="Q407" s="1">
        <v>1</v>
      </c>
      <c r="S407" s="1" t="s">
        <v>1799</v>
      </c>
      <c r="V407" s="1">
        <f t="shared" si="4"/>
        <v>406</v>
      </c>
      <c r="W407" s="1">
        <f t="shared" si="5"/>
        <v>0.43312708234174202</v>
      </c>
    </row>
    <row r="408" spans="1:23" x14ac:dyDescent="0.2">
      <c r="A408" s="1">
        <v>407</v>
      </c>
      <c r="B408" s="1" t="s">
        <v>1817</v>
      </c>
      <c r="C408" s="1" t="s">
        <v>807</v>
      </c>
      <c r="D408" s="1" t="s">
        <v>596</v>
      </c>
      <c r="E408" s="1" t="s">
        <v>1790</v>
      </c>
      <c r="F408" s="1" t="s">
        <v>193</v>
      </c>
      <c r="G408" s="1">
        <f>IF(ISNA(VLOOKUP(F408,Monster!B:E,4,FALSE)),0,VLOOKUP(F408,Monster!B:E,4,FALSE))</f>
        <v>25</v>
      </c>
      <c r="I408" s="1" t="s">
        <v>1818</v>
      </c>
      <c r="J408" s="1">
        <v>1221</v>
      </c>
      <c r="K408" s="1">
        <v>0</v>
      </c>
      <c r="L408" s="1">
        <v>1142</v>
      </c>
      <c r="M408" s="1" t="s">
        <v>58</v>
      </c>
      <c r="N408" s="1">
        <f>((NOT(ISNA(VLOOKUP(M408,Monster!$H$2:$I$6,2,FALSE)))*L408)+J408)*(1+K408/100*0.25)</f>
        <v>2363</v>
      </c>
      <c r="O408" s="1" t="str">
        <f t="shared" si="3"/>
        <v>Thunder - 2363</v>
      </c>
      <c r="P408" s="1" t="s">
        <v>38</v>
      </c>
      <c r="Q408" s="1">
        <v>1</v>
      </c>
      <c r="S408" s="1" t="s">
        <v>1799</v>
      </c>
      <c r="V408" s="1">
        <f t="shared" si="4"/>
        <v>407</v>
      </c>
      <c r="W408" s="1">
        <f t="shared" si="5"/>
        <v>0.48328396106644095</v>
      </c>
    </row>
    <row r="409" spans="1:23" x14ac:dyDescent="0.2">
      <c r="A409" s="1">
        <v>408</v>
      </c>
      <c r="B409" s="1" t="s">
        <v>1819</v>
      </c>
      <c r="C409" s="1" t="s">
        <v>813</v>
      </c>
      <c r="D409" s="1" t="s">
        <v>596</v>
      </c>
      <c r="E409" s="1" t="s">
        <v>1790</v>
      </c>
      <c r="F409" s="1" t="s">
        <v>205</v>
      </c>
      <c r="G409" s="1">
        <f>IF(ISNA(VLOOKUP(F409,Monster!B:E,4,FALSE)),0,VLOOKUP(F409,Monster!B:E,4,FALSE))</f>
        <v>27</v>
      </c>
      <c r="I409" s="1" t="s">
        <v>1820</v>
      </c>
      <c r="J409" s="1">
        <v>1719</v>
      </c>
      <c r="K409" s="1">
        <v>20</v>
      </c>
      <c r="L409" s="1">
        <v>0</v>
      </c>
      <c r="M409" s="1" t="s">
        <v>107</v>
      </c>
      <c r="N409" s="1">
        <f>((NOT(ISNA(VLOOKUP(M409,Monster!$H$2:$I$6,2,FALSE)))*L409)+J409)*(1+K409/100*0.25)</f>
        <v>1804.95</v>
      </c>
      <c r="O409" s="1" t="str">
        <f t="shared" si="3"/>
        <v>No Element - 1804.95</v>
      </c>
      <c r="P409" s="1" t="s">
        <v>269</v>
      </c>
      <c r="Q409" s="1">
        <v>1</v>
      </c>
      <c r="S409" s="1" t="s">
        <v>1792</v>
      </c>
      <c r="V409" s="1">
        <f t="shared" si="4"/>
        <v>408</v>
      </c>
      <c r="W409" s="1">
        <f t="shared" si="5"/>
        <v>0</v>
      </c>
    </row>
    <row r="410" spans="1:23" x14ac:dyDescent="0.2">
      <c r="A410" s="1">
        <v>409</v>
      </c>
      <c r="B410" s="1" t="s">
        <v>1821</v>
      </c>
      <c r="C410" s="1" t="s">
        <v>816</v>
      </c>
      <c r="D410" s="1" t="s">
        <v>596</v>
      </c>
      <c r="E410" s="1" t="s">
        <v>1790</v>
      </c>
      <c r="F410" s="1" t="s">
        <v>210</v>
      </c>
      <c r="G410" s="1">
        <f>IF(ISNA(VLOOKUP(F410,Monster!B:E,4,FALSE)),0,VLOOKUP(F410,Monster!B:E,4,FALSE))</f>
        <v>28</v>
      </c>
      <c r="I410" s="1" t="s">
        <v>1822</v>
      </c>
      <c r="J410" s="1">
        <v>1138</v>
      </c>
      <c r="K410" s="1">
        <v>20</v>
      </c>
      <c r="L410" s="1">
        <v>1156</v>
      </c>
      <c r="M410" s="1" t="s">
        <v>71</v>
      </c>
      <c r="N410" s="1">
        <f>((NOT(ISNA(VLOOKUP(M410,Monster!$H$2:$I$6,2,FALSE)))*L410)+J410)*(1+K410/100*0.25)</f>
        <v>2408.7000000000003</v>
      </c>
      <c r="O410" s="1" t="str">
        <f t="shared" si="3"/>
        <v>Dragon - 2408.7</v>
      </c>
      <c r="P410" s="1" t="s">
        <v>166</v>
      </c>
      <c r="Q410" s="1">
        <v>1</v>
      </c>
      <c r="S410" s="1" t="s">
        <v>1799</v>
      </c>
      <c r="V410" s="1">
        <f t="shared" si="4"/>
        <v>409</v>
      </c>
      <c r="W410" s="1">
        <f t="shared" si="5"/>
        <v>0.50392327811682647</v>
      </c>
    </row>
    <row r="411" spans="1:23" x14ac:dyDescent="0.2">
      <c r="A411" s="1">
        <v>410</v>
      </c>
      <c r="B411" s="1" t="s">
        <v>1823</v>
      </c>
      <c r="C411" s="1" t="s">
        <v>821</v>
      </c>
      <c r="D411" s="1" t="s">
        <v>596</v>
      </c>
      <c r="E411" s="1" t="s">
        <v>1790</v>
      </c>
      <c r="F411" s="1" t="s">
        <v>216</v>
      </c>
      <c r="G411" s="1">
        <f>IF(ISNA(VLOOKUP(F411,Monster!B:E,4,FALSE)),0,VLOOKUP(F411,Monster!B:E,4,FALSE))</f>
        <v>29</v>
      </c>
      <c r="I411" s="1" t="s">
        <v>1824</v>
      </c>
      <c r="J411" s="1">
        <v>1318</v>
      </c>
      <c r="K411" s="1">
        <v>-30</v>
      </c>
      <c r="L411" s="1">
        <v>1261</v>
      </c>
      <c r="M411" s="1" t="s">
        <v>71</v>
      </c>
      <c r="N411" s="1">
        <f>((NOT(ISNA(VLOOKUP(M411,Monster!$H$2:$I$6,2,FALSE)))*L411)+J411)*(1+K411/100*0.25)</f>
        <v>2385.5750000000003</v>
      </c>
      <c r="O411" s="1" t="str">
        <f t="shared" si="3"/>
        <v>Dragon - 2385.575</v>
      </c>
      <c r="P411" s="1" t="s">
        <v>583</v>
      </c>
      <c r="Q411" s="1">
        <v>1</v>
      </c>
      <c r="S411" s="1" t="s">
        <v>1799</v>
      </c>
      <c r="V411" s="1">
        <f t="shared" si="4"/>
        <v>410</v>
      </c>
      <c r="W411" s="1">
        <f t="shared" si="5"/>
        <v>0.4889492051182629</v>
      </c>
    </row>
    <row r="412" spans="1:23" x14ac:dyDescent="0.2">
      <c r="A412" s="1">
        <v>411</v>
      </c>
      <c r="B412" s="1" t="s">
        <v>1825</v>
      </c>
      <c r="C412" s="1" t="s">
        <v>825</v>
      </c>
      <c r="D412" s="1" t="s">
        <v>596</v>
      </c>
      <c r="E412" s="1" t="s">
        <v>1790</v>
      </c>
      <c r="F412" s="1" t="s">
        <v>223</v>
      </c>
      <c r="G412" s="1">
        <f>IF(ISNA(VLOOKUP(F412,Monster!B:E,4,FALSE)),0,VLOOKUP(F412,Monster!B:E,4,FALSE))</f>
        <v>30</v>
      </c>
      <c r="I412" s="1" t="s">
        <v>1826</v>
      </c>
      <c r="J412" s="1">
        <v>1671</v>
      </c>
      <c r="K412" s="1">
        <v>-15</v>
      </c>
      <c r="L412" s="1">
        <v>342</v>
      </c>
      <c r="M412" s="1" t="s">
        <v>79</v>
      </c>
      <c r="N412" s="1">
        <f>((NOT(ISNA(VLOOKUP(M412,Monster!$H$2:$I$6,2,FALSE)))*L412)+J412)*(1+K412/100*0.25)</f>
        <v>1608.3375000000001</v>
      </c>
      <c r="O412" s="1" t="str">
        <f t="shared" si="3"/>
        <v>Poison - 1608.3375</v>
      </c>
      <c r="P412" s="1" t="s">
        <v>364</v>
      </c>
      <c r="Q412" s="1">
        <v>1</v>
      </c>
      <c r="S412" s="1" t="s">
        <v>1792</v>
      </c>
      <c r="V412" s="1">
        <f t="shared" si="4"/>
        <v>411</v>
      </c>
      <c r="W412" s="1">
        <f t="shared" si="5"/>
        <v>0.16989567809239942</v>
      </c>
    </row>
    <row r="413" spans="1:23" x14ac:dyDescent="0.2">
      <c r="A413" s="1">
        <v>412</v>
      </c>
      <c r="B413" s="1" t="s">
        <v>1827</v>
      </c>
      <c r="C413" s="1" t="s">
        <v>834</v>
      </c>
      <c r="D413" s="1" t="s">
        <v>596</v>
      </c>
      <c r="E413" s="1" t="s">
        <v>1790</v>
      </c>
      <c r="F413" s="1" t="s">
        <v>234</v>
      </c>
      <c r="G413" s="1">
        <f>IF(ISNA(VLOOKUP(F413,Monster!B:E,4,FALSE)),0,VLOOKUP(F413,Monster!B:E,4,FALSE))</f>
        <v>32</v>
      </c>
      <c r="I413" s="1" t="s">
        <v>1827</v>
      </c>
      <c r="J413" s="1">
        <v>1553</v>
      </c>
      <c r="K413" s="1">
        <v>0</v>
      </c>
      <c r="L413" s="1">
        <v>974</v>
      </c>
      <c r="M413" s="1" t="s">
        <v>66</v>
      </c>
      <c r="N413" s="1">
        <f>((NOT(ISNA(VLOOKUP(M413,Monster!$H$2:$I$6,2,FALSE)))*L413)+J413)*(1+K413/100*0.25)</f>
        <v>2527</v>
      </c>
      <c r="O413" s="1" t="str">
        <f t="shared" si="3"/>
        <v>Ice - 2527</v>
      </c>
      <c r="P413" s="1" t="s">
        <v>528</v>
      </c>
      <c r="Q413" s="1">
        <v>2</v>
      </c>
      <c r="R413" s="1" t="s">
        <v>372</v>
      </c>
      <c r="S413" s="1" t="s">
        <v>1792</v>
      </c>
      <c r="V413" s="1">
        <f t="shared" si="4"/>
        <v>412</v>
      </c>
      <c r="W413" s="1">
        <f t="shared" si="5"/>
        <v>0.38543727740403638</v>
      </c>
    </row>
    <row r="414" spans="1:23" x14ac:dyDescent="0.2">
      <c r="A414" s="1">
        <v>413</v>
      </c>
      <c r="B414" s="1" t="s">
        <v>1828</v>
      </c>
      <c r="C414" s="1" t="s">
        <v>839</v>
      </c>
      <c r="D414" s="1" t="s">
        <v>596</v>
      </c>
      <c r="E414" s="1" t="s">
        <v>1790</v>
      </c>
      <c r="F414" s="1" t="s">
        <v>239</v>
      </c>
      <c r="G414" s="1">
        <f>IF(ISNA(VLOOKUP(F414,Monster!B:E,4,FALSE)),0,VLOOKUP(F414,Monster!B:E,4,FALSE))</f>
        <v>33</v>
      </c>
      <c r="I414" s="1" t="s">
        <v>1829</v>
      </c>
      <c r="J414" s="1">
        <v>1138</v>
      </c>
      <c r="K414" s="1">
        <v>20</v>
      </c>
      <c r="L414" s="1">
        <v>1156</v>
      </c>
      <c r="M414" s="1" t="s">
        <v>50</v>
      </c>
      <c r="N414" s="1">
        <f>((NOT(ISNA(VLOOKUP(M414,Monster!$H$2:$I$6,2,FALSE)))*L414)+J414)*(1+K414/100*0.25)</f>
        <v>2408.7000000000003</v>
      </c>
      <c r="O414" s="1" t="str">
        <f t="shared" si="3"/>
        <v>Water - 2408.7</v>
      </c>
      <c r="P414" s="1" t="s">
        <v>38</v>
      </c>
      <c r="Q414" s="1">
        <v>1</v>
      </c>
      <c r="S414" s="1" t="s">
        <v>1792</v>
      </c>
      <c r="V414" s="1">
        <f t="shared" si="4"/>
        <v>413</v>
      </c>
      <c r="W414" s="1">
        <f t="shared" si="5"/>
        <v>0.50392327811682647</v>
      </c>
    </row>
    <row r="415" spans="1:23" x14ac:dyDescent="0.2">
      <c r="A415" s="1">
        <v>414</v>
      </c>
      <c r="B415" s="1" t="s">
        <v>1830</v>
      </c>
      <c r="C415" s="1" t="s">
        <v>845</v>
      </c>
      <c r="D415" s="1" t="s">
        <v>596</v>
      </c>
      <c r="E415" s="1" t="s">
        <v>1790</v>
      </c>
      <c r="F415" s="1" t="s">
        <v>245</v>
      </c>
      <c r="G415" s="1">
        <f>IF(ISNA(VLOOKUP(F415,Monster!B:E,4,FALSE)),0,VLOOKUP(F415,Monster!B:E,4,FALSE))</f>
        <v>34</v>
      </c>
      <c r="I415" s="1" t="s">
        <v>1830</v>
      </c>
      <c r="J415" s="1">
        <v>1684</v>
      </c>
      <c r="K415" s="1">
        <v>0</v>
      </c>
      <c r="L415" s="1">
        <v>502</v>
      </c>
      <c r="M415" s="1" t="s">
        <v>100</v>
      </c>
      <c r="N415" s="1">
        <f>((NOT(ISNA(VLOOKUP(M415,Monster!$H$2:$I$6,2,FALSE)))*L415)+J415)*(1+K415/100*0.25)</f>
        <v>1684</v>
      </c>
      <c r="O415" s="1" t="str">
        <f t="shared" si="3"/>
        <v>Blast - 1684</v>
      </c>
      <c r="P415" s="1" t="s">
        <v>364</v>
      </c>
      <c r="Q415" s="1">
        <v>2</v>
      </c>
      <c r="R415" s="1" t="s">
        <v>372</v>
      </c>
      <c r="S415" s="1" t="s">
        <v>1792</v>
      </c>
      <c r="V415" s="1">
        <f t="shared" si="4"/>
        <v>414</v>
      </c>
      <c r="W415" s="1">
        <f t="shared" si="5"/>
        <v>0.22964318389752975</v>
      </c>
    </row>
    <row r="416" spans="1:23" x14ac:dyDescent="0.2">
      <c r="A416" s="1">
        <v>415</v>
      </c>
      <c r="B416" s="1" t="s">
        <v>1831</v>
      </c>
      <c r="C416" s="1" t="s">
        <v>853</v>
      </c>
      <c r="D416" s="1" t="s">
        <v>596</v>
      </c>
      <c r="E416" s="1" t="s">
        <v>1790</v>
      </c>
      <c r="F416" s="1" t="s">
        <v>256</v>
      </c>
      <c r="G416" s="1">
        <f>IF(ISNA(VLOOKUP(F416,Monster!B:E,4,FALSE)),0,VLOOKUP(F416,Monster!B:E,4,FALSE))</f>
        <v>36</v>
      </c>
      <c r="I416" s="1" t="s">
        <v>1832</v>
      </c>
      <c r="J416" s="1">
        <v>1516</v>
      </c>
      <c r="K416" s="1">
        <v>0</v>
      </c>
      <c r="L416" s="1">
        <v>496</v>
      </c>
      <c r="M416" s="1" t="s">
        <v>100</v>
      </c>
      <c r="N416" s="1">
        <f>((NOT(ISNA(VLOOKUP(M416,Monster!$H$2:$I$6,2,FALSE)))*L416)+J416)*(1+K416/100*0.25)</f>
        <v>1516</v>
      </c>
      <c r="O416" s="1" t="str">
        <f t="shared" si="3"/>
        <v>Blast - 1516</v>
      </c>
      <c r="P416" s="1" t="s">
        <v>463</v>
      </c>
      <c r="Q416" s="1">
        <v>1</v>
      </c>
      <c r="S416" s="1" t="s">
        <v>1792</v>
      </c>
      <c r="V416" s="1">
        <f t="shared" si="4"/>
        <v>415</v>
      </c>
      <c r="W416" s="1">
        <f t="shared" si="5"/>
        <v>0.24652087475149106</v>
      </c>
    </row>
    <row r="417" spans="1:23" x14ac:dyDescent="0.2">
      <c r="A417" s="1">
        <v>416</v>
      </c>
      <c r="B417" s="1" t="s">
        <v>1833</v>
      </c>
      <c r="C417" s="1" t="s">
        <v>857</v>
      </c>
      <c r="D417" s="1" t="s">
        <v>596</v>
      </c>
      <c r="E417" s="1" t="s">
        <v>1790</v>
      </c>
      <c r="F417" s="1" t="s">
        <v>263</v>
      </c>
      <c r="G417" s="1">
        <f>IF(ISNA(VLOOKUP(F417,Monster!B:E,4,FALSE)),0,VLOOKUP(F417,Monster!B:E,4,FALSE))</f>
        <v>37</v>
      </c>
      <c r="I417" s="1" t="s">
        <v>1834</v>
      </c>
      <c r="J417" s="1">
        <v>1318</v>
      </c>
      <c r="K417" s="1">
        <v>-30</v>
      </c>
      <c r="L417" s="1">
        <v>1261</v>
      </c>
      <c r="M417" s="1" t="s">
        <v>58</v>
      </c>
      <c r="N417" s="1">
        <f>((NOT(ISNA(VLOOKUP(M417,Monster!$H$2:$I$6,2,FALSE)))*L417)+J417)*(1+K417/100*0.25)</f>
        <v>2385.5750000000003</v>
      </c>
      <c r="O417" s="1" t="str">
        <f t="shared" si="3"/>
        <v>Thunder - 2385.575</v>
      </c>
      <c r="P417" s="1" t="s">
        <v>463</v>
      </c>
      <c r="Q417" s="1">
        <v>1</v>
      </c>
      <c r="S417" s="1" t="s">
        <v>1792</v>
      </c>
      <c r="V417" s="1">
        <f t="shared" si="4"/>
        <v>416</v>
      </c>
      <c r="W417" s="1">
        <f t="shared" si="5"/>
        <v>0.4889492051182629</v>
      </c>
    </row>
    <row r="418" spans="1:23" x14ac:dyDescent="0.2">
      <c r="A418" s="1">
        <v>417</v>
      </c>
      <c r="B418" s="1" t="s">
        <v>1835</v>
      </c>
      <c r="C418" s="1" t="s">
        <v>863</v>
      </c>
      <c r="D418" s="1" t="s">
        <v>596</v>
      </c>
      <c r="E418" s="1" t="s">
        <v>1790</v>
      </c>
      <c r="F418" s="1" t="s">
        <v>268</v>
      </c>
      <c r="G418" s="1">
        <f>IF(ISNA(VLOOKUP(F418,Monster!B:E,4,FALSE)),0,VLOOKUP(F418,Monster!B:E,4,FALSE))</f>
        <v>38</v>
      </c>
      <c r="I418" s="1" t="s">
        <v>1835</v>
      </c>
      <c r="J418" s="1">
        <v>1553</v>
      </c>
      <c r="K418" s="1">
        <v>0</v>
      </c>
      <c r="L418" s="1">
        <v>974</v>
      </c>
      <c r="M418" s="1" t="s">
        <v>71</v>
      </c>
      <c r="N418" s="1">
        <f>((NOT(ISNA(VLOOKUP(M418,Monster!$H$2:$I$6,2,FALSE)))*L418)+J418)*(1+K418/100*0.25)</f>
        <v>2527</v>
      </c>
      <c r="O418" s="1" t="str">
        <f t="shared" si="3"/>
        <v>Dragon - 2527</v>
      </c>
      <c r="P418" s="1" t="s">
        <v>463</v>
      </c>
      <c r="Q418" s="1">
        <v>2</v>
      </c>
      <c r="R418" s="1" t="s">
        <v>372</v>
      </c>
      <c r="S418" s="1" t="s">
        <v>1792</v>
      </c>
      <c r="V418" s="1">
        <f t="shared" si="4"/>
        <v>417</v>
      </c>
      <c r="W418" s="1">
        <f t="shared" si="5"/>
        <v>0.38543727740403638</v>
      </c>
    </row>
    <row r="419" spans="1:23" x14ac:dyDescent="0.2">
      <c r="A419" s="1">
        <v>418</v>
      </c>
      <c r="B419" s="1" t="s">
        <v>1836</v>
      </c>
      <c r="C419" s="1" t="s">
        <v>869</v>
      </c>
      <c r="D419" s="1" t="s">
        <v>596</v>
      </c>
      <c r="E419" s="1" t="s">
        <v>1790</v>
      </c>
      <c r="F419" s="1" t="s">
        <v>278</v>
      </c>
      <c r="G419" s="1">
        <f>IF(ISNA(VLOOKUP(F419,Monster!B:E,4,FALSE)),0,VLOOKUP(F419,Monster!B:E,4,FALSE))</f>
        <v>40</v>
      </c>
      <c r="I419" s="1" t="s">
        <v>1837</v>
      </c>
      <c r="J419" s="1">
        <v>1516</v>
      </c>
      <c r="K419" s="1">
        <v>0</v>
      </c>
      <c r="L419" s="1">
        <v>496</v>
      </c>
      <c r="M419" s="1" t="s">
        <v>87</v>
      </c>
      <c r="N419" s="1">
        <f>((NOT(ISNA(VLOOKUP(M419,Monster!$H$2:$I$6,2,FALSE)))*L419)+J419)*(1+K419/100*0.25)</f>
        <v>1516</v>
      </c>
      <c r="O419" s="1" t="str">
        <f t="shared" si="3"/>
        <v>Paralysis - 1516</v>
      </c>
      <c r="P419" s="1" t="s">
        <v>253</v>
      </c>
      <c r="Q419" s="1">
        <v>1</v>
      </c>
      <c r="S419" s="1" t="s">
        <v>1792</v>
      </c>
      <c r="V419" s="1">
        <f t="shared" si="4"/>
        <v>418</v>
      </c>
      <c r="W419" s="1">
        <f t="shared" si="5"/>
        <v>0.24652087475149106</v>
      </c>
    </row>
    <row r="420" spans="1:23" x14ac:dyDescent="0.2">
      <c r="A420" s="1">
        <v>419</v>
      </c>
      <c r="B420" s="1" t="s">
        <v>1838</v>
      </c>
      <c r="C420" s="1" t="s">
        <v>872</v>
      </c>
      <c r="D420" s="1" t="s">
        <v>596</v>
      </c>
      <c r="E420" s="1" t="s">
        <v>1790</v>
      </c>
      <c r="F420" s="1" t="s">
        <v>288</v>
      </c>
      <c r="G420" s="1">
        <f>IF(ISNA(VLOOKUP(F420,Monster!B:E,4,FALSE)),0,VLOOKUP(F420,Monster!B:E,4,FALSE))</f>
        <v>41</v>
      </c>
      <c r="I420" s="1" t="s">
        <v>1839</v>
      </c>
      <c r="J420" s="1">
        <v>1567</v>
      </c>
      <c r="K420" s="1">
        <v>-15</v>
      </c>
      <c r="L420" s="1">
        <v>496</v>
      </c>
      <c r="M420" s="1" t="s">
        <v>95</v>
      </c>
      <c r="N420" s="1">
        <f>((NOT(ISNA(VLOOKUP(M420,Monster!$H$2:$I$6,2,FALSE)))*L420)+J420)*(1+K420/100*0.25)</f>
        <v>1508.2375</v>
      </c>
      <c r="O420" s="1" t="str">
        <f t="shared" si="3"/>
        <v>Sleep - 1508.2375</v>
      </c>
      <c r="P420" s="1" t="s">
        <v>253</v>
      </c>
      <c r="Q420" s="1">
        <v>1</v>
      </c>
      <c r="S420" s="1" t="s">
        <v>1792</v>
      </c>
      <c r="V420" s="1">
        <f t="shared" si="4"/>
        <v>419</v>
      </c>
      <c r="W420" s="1">
        <f t="shared" si="5"/>
        <v>0.24042656325739215</v>
      </c>
    </row>
    <row r="421" spans="1:23" x14ac:dyDescent="0.2">
      <c r="A421" s="1">
        <v>420</v>
      </c>
      <c r="B421" s="1" t="s">
        <v>1840</v>
      </c>
      <c r="C421" s="1" t="s">
        <v>875</v>
      </c>
      <c r="D421" s="1" t="s">
        <v>596</v>
      </c>
      <c r="E421" s="1" t="s">
        <v>1790</v>
      </c>
      <c r="F421" s="1" t="s">
        <v>293</v>
      </c>
      <c r="G421" s="1">
        <f>IF(ISNA(VLOOKUP(F421,Monster!B:E,4,FALSE)),0,VLOOKUP(F421,Monster!B:E,4,FALSE))</f>
        <v>42</v>
      </c>
      <c r="I421" s="1" t="s">
        <v>1840</v>
      </c>
      <c r="J421" s="1">
        <v>2198</v>
      </c>
      <c r="K421" s="1">
        <v>-40</v>
      </c>
      <c r="L421" s="1">
        <v>0</v>
      </c>
      <c r="M421" s="1" t="s">
        <v>107</v>
      </c>
      <c r="N421" s="1">
        <f>((NOT(ISNA(VLOOKUP(M421,Monster!$H$2:$I$6,2,FALSE)))*L421)+J421)*(1+K421/100*0.25)</f>
        <v>1978.2</v>
      </c>
      <c r="O421" s="1" t="str">
        <f t="shared" si="3"/>
        <v>No Element - 1978.2</v>
      </c>
      <c r="P421" s="1" t="s">
        <v>194</v>
      </c>
      <c r="Q421" s="1">
        <v>1</v>
      </c>
      <c r="S421" s="1" t="s">
        <v>1792</v>
      </c>
      <c r="V421" s="1">
        <f t="shared" si="4"/>
        <v>420</v>
      </c>
      <c r="W421" s="1">
        <f t="shared" si="5"/>
        <v>0</v>
      </c>
    </row>
    <row r="422" spans="1:23" x14ac:dyDescent="0.2">
      <c r="A422" s="1">
        <v>421</v>
      </c>
      <c r="B422" s="1" t="s">
        <v>1841</v>
      </c>
      <c r="C422" s="1" t="s">
        <v>880</v>
      </c>
      <c r="D422" s="1" t="s">
        <v>596</v>
      </c>
      <c r="E422" s="1" t="s">
        <v>1790</v>
      </c>
      <c r="F422" s="1" t="s">
        <v>298</v>
      </c>
      <c r="G422" s="1">
        <f>IF(ISNA(VLOOKUP(F422,Monster!B:E,4,FALSE)),0,VLOOKUP(F422,Monster!B:E,4,FALSE))</f>
        <v>43</v>
      </c>
      <c r="I422" s="1" t="s">
        <v>1841</v>
      </c>
      <c r="J422" s="1">
        <v>2198</v>
      </c>
      <c r="K422" s="1">
        <v>-10</v>
      </c>
      <c r="L422" s="1">
        <v>0</v>
      </c>
      <c r="M422" s="1" t="s">
        <v>107</v>
      </c>
      <c r="N422" s="1">
        <f>((NOT(ISNA(VLOOKUP(M422,Monster!$H$2:$I$6,2,FALSE)))*L422)+J422)*(1+K422/100*0.25)</f>
        <v>2143.0499999999997</v>
      </c>
      <c r="O422" s="1" t="str">
        <f t="shared" si="3"/>
        <v>No Element - 2143.05</v>
      </c>
      <c r="P422" s="1" t="s">
        <v>28</v>
      </c>
      <c r="Q422" s="1">
        <v>5</v>
      </c>
      <c r="S422" s="1" t="s">
        <v>1792</v>
      </c>
      <c r="V422" s="1">
        <f t="shared" si="4"/>
        <v>421</v>
      </c>
      <c r="W422" s="1">
        <f t="shared" si="5"/>
        <v>0</v>
      </c>
    </row>
    <row r="423" spans="1:23" x14ac:dyDescent="0.2">
      <c r="A423" s="1">
        <v>422</v>
      </c>
      <c r="B423" s="1" t="s">
        <v>1842</v>
      </c>
      <c r="C423" s="1" t="s">
        <v>892</v>
      </c>
      <c r="D423" s="1" t="s">
        <v>596</v>
      </c>
      <c r="E423" s="1" t="s">
        <v>1790</v>
      </c>
      <c r="F423" s="1" t="s">
        <v>310</v>
      </c>
      <c r="G423" s="1">
        <f>IF(ISNA(VLOOKUP(F423,Monster!B:E,4,FALSE)),0,VLOOKUP(F423,Monster!B:E,4,FALSE))</f>
        <v>46</v>
      </c>
      <c r="I423" s="1" t="s">
        <v>1843</v>
      </c>
      <c r="J423" s="1">
        <v>1834</v>
      </c>
      <c r="K423" s="1">
        <v>10</v>
      </c>
      <c r="L423" s="1">
        <v>0</v>
      </c>
      <c r="M423" s="1" t="s">
        <v>107</v>
      </c>
      <c r="N423" s="1">
        <f>((NOT(ISNA(VLOOKUP(M423,Monster!$H$2:$I$6,2,FALSE)))*L423)+J423)*(1+K423/100*0.25)</f>
        <v>1879.85</v>
      </c>
      <c r="O423" s="1" t="str">
        <f t="shared" si="3"/>
        <v>No Element - 1879.85</v>
      </c>
      <c r="P423" s="1" t="s">
        <v>407</v>
      </c>
      <c r="Q423" s="1">
        <v>1</v>
      </c>
      <c r="S423" s="1" t="s">
        <v>1792</v>
      </c>
      <c r="V423" s="1">
        <f t="shared" si="4"/>
        <v>422</v>
      </c>
      <c r="W423" s="1">
        <f t="shared" si="5"/>
        <v>0</v>
      </c>
    </row>
    <row r="424" spans="1:23" x14ac:dyDescent="0.2">
      <c r="A424" s="1">
        <v>423</v>
      </c>
      <c r="B424" s="1" t="s">
        <v>1844</v>
      </c>
      <c r="C424" s="1" t="s">
        <v>900</v>
      </c>
      <c r="D424" s="1" t="s">
        <v>596</v>
      </c>
      <c r="E424" s="1" t="s">
        <v>1790</v>
      </c>
      <c r="F424" s="1" t="s">
        <v>320</v>
      </c>
      <c r="G424" s="1">
        <f>IF(ISNA(VLOOKUP(F424,Monster!B:E,4,FALSE)),0,VLOOKUP(F424,Monster!B:E,4,FALSE))</f>
        <v>48</v>
      </c>
      <c r="I424" s="1" t="s">
        <v>1845</v>
      </c>
      <c r="J424" s="1">
        <v>1318</v>
      </c>
      <c r="K424" s="1">
        <v>-30</v>
      </c>
      <c r="L424" s="1">
        <v>1261</v>
      </c>
      <c r="M424" s="1" t="s">
        <v>41</v>
      </c>
      <c r="N424" s="1">
        <f>((NOT(ISNA(VLOOKUP(M424,Monster!$H$2:$I$6,2,FALSE)))*L424)+J424)*(1+K424/100*0.25)</f>
        <v>2385.5750000000003</v>
      </c>
      <c r="O424" s="1" t="str">
        <f t="shared" si="3"/>
        <v>Fire - 2385.575</v>
      </c>
      <c r="P424" s="1" t="s">
        <v>194</v>
      </c>
      <c r="Q424" s="1">
        <v>1</v>
      </c>
      <c r="S424" s="1" t="s">
        <v>1799</v>
      </c>
      <c r="V424" s="1">
        <f t="shared" si="4"/>
        <v>423</v>
      </c>
      <c r="W424" s="1">
        <f t="shared" si="5"/>
        <v>0.4889492051182629</v>
      </c>
    </row>
    <row r="425" spans="1:23" x14ac:dyDescent="0.2">
      <c r="A425" s="1">
        <v>424</v>
      </c>
      <c r="B425" s="1" t="s">
        <v>1846</v>
      </c>
      <c r="C425" s="1" t="s">
        <v>904</v>
      </c>
      <c r="D425" s="1" t="s">
        <v>596</v>
      </c>
      <c r="E425" s="1" t="s">
        <v>1790</v>
      </c>
      <c r="F425" s="1" t="s">
        <v>328</v>
      </c>
      <c r="G425" s="1">
        <f>IF(ISNA(VLOOKUP(F425,Monster!B:E,4,FALSE)),0,VLOOKUP(F425,Monster!B:E,4,FALSE))</f>
        <v>49</v>
      </c>
      <c r="I425" s="1" t="s">
        <v>1846</v>
      </c>
      <c r="J425" s="1">
        <v>1741</v>
      </c>
      <c r="K425" s="1">
        <v>0</v>
      </c>
      <c r="L425" s="1">
        <v>505</v>
      </c>
      <c r="M425" s="1" t="s">
        <v>79</v>
      </c>
      <c r="N425" s="1">
        <f>((NOT(ISNA(VLOOKUP(M425,Monster!$H$2:$I$6,2,FALSE)))*L425)+J425)*(1+K425/100*0.25)</f>
        <v>1741</v>
      </c>
      <c r="O425" s="1" t="str">
        <f t="shared" si="3"/>
        <v>Poison - 1741</v>
      </c>
      <c r="P425" s="1" t="s">
        <v>624</v>
      </c>
      <c r="Q425" s="1">
        <v>2</v>
      </c>
      <c r="R425" s="1" t="s">
        <v>372</v>
      </c>
      <c r="S425" s="1" t="s">
        <v>1792</v>
      </c>
      <c r="V425" s="1">
        <f t="shared" si="4"/>
        <v>424</v>
      </c>
      <c r="W425" s="1">
        <f t="shared" si="5"/>
        <v>0.22484416740872662</v>
      </c>
    </row>
    <row r="426" spans="1:23" x14ac:dyDescent="0.2">
      <c r="A426" s="1">
        <v>425</v>
      </c>
      <c r="B426" s="1" t="s">
        <v>1847</v>
      </c>
      <c r="C426" s="1" t="s">
        <v>917</v>
      </c>
      <c r="D426" s="1" t="s">
        <v>596</v>
      </c>
      <c r="E426" s="1" t="s">
        <v>1790</v>
      </c>
      <c r="F426" s="1" t="s">
        <v>343</v>
      </c>
      <c r="G426" s="1">
        <f>IF(ISNA(VLOOKUP(F426,Monster!B:E,4,FALSE)),0,VLOOKUP(F426,Monster!B:E,4,FALSE))</f>
        <v>52</v>
      </c>
      <c r="I426" s="1" t="s">
        <v>1847</v>
      </c>
      <c r="J426" s="1">
        <v>1293</v>
      </c>
      <c r="K426" s="1">
        <v>0</v>
      </c>
      <c r="L426" s="1">
        <v>910</v>
      </c>
      <c r="M426" s="1" t="s">
        <v>66</v>
      </c>
      <c r="N426" s="1">
        <f>((NOT(ISNA(VLOOKUP(M426,Monster!$H$2:$I$6,2,FALSE)))*L426)+J426)*(1+K426/100*0.25)</f>
        <v>2203</v>
      </c>
      <c r="O426" s="1" t="str">
        <f t="shared" si="3"/>
        <v>Ice - 2203</v>
      </c>
      <c r="P426" s="1" t="s">
        <v>648</v>
      </c>
      <c r="Q426" s="1">
        <v>1</v>
      </c>
      <c r="S426" s="1" t="s">
        <v>1799</v>
      </c>
      <c r="V426" s="1">
        <f t="shared" si="4"/>
        <v>425</v>
      </c>
      <c r="W426" s="1">
        <f t="shared" si="5"/>
        <v>0.41307308216068994</v>
      </c>
    </row>
    <row r="427" spans="1:23" x14ac:dyDescent="0.2">
      <c r="A427" s="1">
        <v>426</v>
      </c>
      <c r="B427" s="1" t="s">
        <v>1848</v>
      </c>
      <c r="C427" s="1" t="s">
        <v>922</v>
      </c>
      <c r="D427" s="1" t="s">
        <v>596</v>
      </c>
      <c r="E427" s="1" t="s">
        <v>1790</v>
      </c>
      <c r="F427" s="1" t="s">
        <v>349</v>
      </c>
      <c r="G427" s="1">
        <f>IF(ISNA(VLOOKUP(F427,Monster!B:E,4,FALSE)),0,VLOOKUP(F427,Monster!B:E,4,FALSE))</f>
        <v>53</v>
      </c>
      <c r="I427" s="1" t="s">
        <v>1848</v>
      </c>
      <c r="J427" s="1">
        <v>1738</v>
      </c>
      <c r="K427" s="1">
        <v>40</v>
      </c>
      <c r="L427" s="1">
        <v>0</v>
      </c>
      <c r="M427" s="1" t="s">
        <v>107</v>
      </c>
      <c r="N427" s="1">
        <f>((NOT(ISNA(VLOOKUP(M427,Monster!$H$2:$I$6,2,FALSE)))*L427)+J427)*(1+K427/100*0.25)</f>
        <v>1911.8000000000002</v>
      </c>
      <c r="O427" s="1" t="str">
        <f t="shared" si="3"/>
        <v>No Element - 1911.8</v>
      </c>
      <c r="P427" s="1" t="s">
        <v>535</v>
      </c>
      <c r="Q427" s="1">
        <v>2</v>
      </c>
      <c r="S427" s="1" t="s">
        <v>1792</v>
      </c>
      <c r="V427" s="1">
        <f t="shared" si="4"/>
        <v>426</v>
      </c>
      <c r="W427" s="1">
        <f t="shared" si="5"/>
        <v>0</v>
      </c>
    </row>
    <row r="428" spans="1:23" x14ac:dyDescent="0.2">
      <c r="A428" s="1">
        <v>427</v>
      </c>
      <c r="B428" s="1" t="s">
        <v>1849</v>
      </c>
      <c r="C428" s="1" t="s">
        <v>926</v>
      </c>
      <c r="D428" s="1" t="s">
        <v>596</v>
      </c>
      <c r="E428" s="1" t="s">
        <v>1790</v>
      </c>
      <c r="F428" s="1" t="s">
        <v>354</v>
      </c>
      <c r="G428" s="1">
        <f>IF(ISNA(VLOOKUP(F428,Monster!B:E,4,FALSE)),0,VLOOKUP(F428,Monster!B:E,4,FALSE))</f>
        <v>54</v>
      </c>
      <c r="I428" s="1" t="s">
        <v>1849</v>
      </c>
      <c r="J428" s="1">
        <v>1328</v>
      </c>
      <c r="K428" s="1">
        <v>20</v>
      </c>
      <c r="L428" s="1">
        <v>1074</v>
      </c>
      <c r="M428" s="1" t="s">
        <v>50</v>
      </c>
      <c r="N428" s="1">
        <f>((NOT(ISNA(VLOOKUP(M428,Monster!$H$2:$I$6,2,FALSE)))*L428)+J428)*(1+K428/100*0.25)</f>
        <v>2522.1</v>
      </c>
      <c r="O428" s="1" t="str">
        <f t="shared" si="3"/>
        <v>Water - 2522.1</v>
      </c>
      <c r="P428" s="1" t="s">
        <v>677</v>
      </c>
      <c r="Q428" s="1">
        <v>1</v>
      </c>
      <c r="R428" s="1" t="s">
        <v>372</v>
      </c>
      <c r="S428" s="1" t="s">
        <v>1792</v>
      </c>
      <c r="V428" s="1">
        <f t="shared" si="4"/>
        <v>427</v>
      </c>
      <c r="W428" s="1">
        <f t="shared" si="5"/>
        <v>0.44712739383846795</v>
      </c>
    </row>
    <row r="429" spans="1:23" x14ac:dyDescent="0.2">
      <c r="A429" s="1">
        <v>428</v>
      </c>
      <c r="B429" s="1" t="s">
        <v>1850</v>
      </c>
      <c r="C429" s="1" t="s">
        <v>930</v>
      </c>
      <c r="D429" s="1" t="s">
        <v>596</v>
      </c>
      <c r="E429" s="1" t="s">
        <v>1790</v>
      </c>
      <c r="F429" s="1" t="s">
        <v>360</v>
      </c>
      <c r="G429" s="1">
        <f>IF(ISNA(VLOOKUP(F429,Monster!B:E,4,FALSE)),0,VLOOKUP(F429,Monster!B:E,4,FALSE))</f>
        <v>55</v>
      </c>
      <c r="I429" s="1" t="s">
        <v>1851</v>
      </c>
      <c r="J429" s="1">
        <v>1979</v>
      </c>
      <c r="K429" s="1">
        <v>0</v>
      </c>
      <c r="L429" s="1">
        <v>0</v>
      </c>
      <c r="M429" s="1" t="s">
        <v>107</v>
      </c>
      <c r="N429" s="1">
        <f>((NOT(ISNA(VLOOKUP(M429,Monster!$H$2:$I$6,2,FALSE)))*L429)+J429)*(1+K429/100*0.25)</f>
        <v>1979</v>
      </c>
      <c r="O429" s="1" t="str">
        <f t="shared" si="3"/>
        <v>No Element - 1979</v>
      </c>
      <c r="P429" s="1" t="s">
        <v>515</v>
      </c>
      <c r="Q429" s="1">
        <v>1</v>
      </c>
      <c r="S429" s="1" t="s">
        <v>1792</v>
      </c>
      <c r="V429" s="1">
        <f t="shared" si="4"/>
        <v>428</v>
      </c>
      <c r="W429" s="1">
        <f t="shared" si="5"/>
        <v>0</v>
      </c>
    </row>
    <row r="430" spans="1:23" x14ac:dyDescent="0.2">
      <c r="A430" s="1">
        <v>429</v>
      </c>
      <c r="B430" s="1" t="s">
        <v>1852</v>
      </c>
      <c r="C430" s="1" t="s">
        <v>934</v>
      </c>
      <c r="D430" s="1" t="s">
        <v>596</v>
      </c>
      <c r="E430" s="1" t="s">
        <v>1790</v>
      </c>
      <c r="F430" s="1" t="s">
        <v>365</v>
      </c>
      <c r="G430" s="1">
        <f>IF(ISNA(VLOOKUP(F430,Monster!B:E,4,FALSE)),0,VLOOKUP(F430,Monster!B:E,4,FALSE))</f>
        <v>56</v>
      </c>
      <c r="I430" s="1" t="s">
        <v>1853</v>
      </c>
      <c r="J430" s="1">
        <v>1020</v>
      </c>
      <c r="K430" s="1">
        <v>0</v>
      </c>
      <c r="L430" s="1">
        <v>1173</v>
      </c>
      <c r="M430" s="1" t="s">
        <v>66</v>
      </c>
      <c r="N430" s="1">
        <f>((NOT(ISNA(VLOOKUP(M430,Monster!$H$2:$I$6,2,FALSE)))*L430)+J430)*(1+K430/100*0.25)</f>
        <v>2193</v>
      </c>
      <c r="O430" s="1" t="str">
        <f t="shared" si="3"/>
        <v>Ice - 2193</v>
      </c>
      <c r="P430" s="1" t="s">
        <v>659</v>
      </c>
      <c r="Q430" s="1">
        <v>1</v>
      </c>
      <c r="S430" s="1" t="s">
        <v>1792</v>
      </c>
      <c r="V430" s="1">
        <f t="shared" si="4"/>
        <v>429</v>
      </c>
      <c r="W430" s="1">
        <f t="shared" si="5"/>
        <v>0.53488372093023251</v>
      </c>
    </row>
    <row r="431" spans="1:23" x14ac:dyDescent="0.2">
      <c r="A431" s="1">
        <v>430</v>
      </c>
      <c r="B431" s="1" t="s">
        <v>1854</v>
      </c>
      <c r="C431" s="1" t="s">
        <v>939</v>
      </c>
      <c r="D431" s="1" t="s">
        <v>596</v>
      </c>
      <c r="E431" s="1" t="s">
        <v>1790</v>
      </c>
      <c r="F431" s="1" t="s">
        <v>370</v>
      </c>
      <c r="G431" s="1">
        <f>IF(ISNA(VLOOKUP(F431,Monster!B:E,4,FALSE)),0,VLOOKUP(F431,Monster!B:E,4,FALSE))</f>
        <v>57</v>
      </c>
      <c r="I431" s="1" t="s">
        <v>1855</v>
      </c>
      <c r="J431" s="1">
        <v>1197</v>
      </c>
      <c r="K431" s="1">
        <v>20</v>
      </c>
      <c r="L431" s="1">
        <v>1154</v>
      </c>
      <c r="M431" s="1" t="s">
        <v>41</v>
      </c>
      <c r="N431" s="1">
        <f>((NOT(ISNA(VLOOKUP(M431,Monster!$H$2:$I$6,2,FALSE)))*L431)+J431)*(1+K431/100*0.25)</f>
        <v>2468.5500000000002</v>
      </c>
      <c r="O431" s="1" t="str">
        <f t="shared" si="3"/>
        <v>Fire - 2468.55</v>
      </c>
      <c r="P431" s="1" t="s">
        <v>615</v>
      </c>
      <c r="Q431" s="1">
        <v>2</v>
      </c>
      <c r="S431" s="1" t="s">
        <v>1792</v>
      </c>
      <c r="V431" s="1">
        <f t="shared" si="4"/>
        <v>430</v>
      </c>
      <c r="W431" s="1">
        <f t="shared" si="5"/>
        <v>0.49085495533815399</v>
      </c>
    </row>
    <row r="432" spans="1:23" x14ac:dyDescent="0.2">
      <c r="A432" s="1">
        <v>431</v>
      </c>
      <c r="B432" s="1" t="s">
        <v>1856</v>
      </c>
      <c r="C432" s="1" t="s">
        <v>943</v>
      </c>
      <c r="D432" s="1" t="s">
        <v>596</v>
      </c>
      <c r="E432" s="1" t="s">
        <v>1790</v>
      </c>
      <c r="F432" s="1" t="s">
        <v>374</v>
      </c>
      <c r="G432" s="1">
        <f>IF(ISNA(VLOOKUP(F432,Monster!B:E,4,FALSE)),0,VLOOKUP(F432,Monster!B:E,4,FALSE))</f>
        <v>58</v>
      </c>
      <c r="I432" s="1" t="s">
        <v>1856</v>
      </c>
      <c r="J432" s="1">
        <v>1205</v>
      </c>
      <c r="K432" s="1">
        <v>0</v>
      </c>
      <c r="L432" s="1">
        <v>1305</v>
      </c>
      <c r="M432" s="1" t="s">
        <v>71</v>
      </c>
      <c r="N432" s="1">
        <f>((NOT(ISNA(VLOOKUP(M432,Monster!$H$2:$I$6,2,FALSE)))*L432)+J432)*(1+K432/100*0.25)</f>
        <v>2510</v>
      </c>
      <c r="O432" s="1" t="str">
        <f t="shared" si="3"/>
        <v>Dragon - 2510</v>
      </c>
      <c r="P432" s="1" t="s">
        <v>689</v>
      </c>
      <c r="Q432" s="1">
        <v>1</v>
      </c>
      <c r="R432" s="1" t="s">
        <v>372</v>
      </c>
      <c r="S432" s="1" t="s">
        <v>1792</v>
      </c>
      <c r="V432" s="1">
        <f t="shared" si="4"/>
        <v>431</v>
      </c>
      <c r="W432" s="1">
        <f t="shared" si="5"/>
        <v>0.51992031872509958</v>
      </c>
    </row>
    <row r="433" spans="1:23" x14ac:dyDescent="0.2">
      <c r="A433" s="1">
        <v>432</v>
      </c>
      <c r="B433" s="1" t="s">
        <v>1857</v>
      </c>
      <c r="C433" s="1" t="s">
        <v>949</v>
      </c>
      <c r="D433" s="1" t="s">
        <v>596</v>
      </c>
      <c r="E433" s="1" t="s">
        <v>1790</v>
      </c>
      <c r="F433" s="1"/>
      <c r="G433" s="1">
        <f>IF(ISNA(VLOOKUP(F433,Monster!B:E,4,FALSE)),0,VLOOKUP(F433,Monster!B:E,4,FALSE))</f>
        <v>0</v>
      </c>
      <c r="I433" s="1" t="s">
        <v>1858</v>
      </c>
      <c r="J433" s="1">
        <v>1596</v>
      </c>
      <c r="K433" s="1">
        <v>0</v>
      </c>
      <c r="L433" s="1">
        <v>0</v>
      </c>
      <c r="M433" s="1" t="s">
        <v>107</v>
      </c>
      <c r="N433" s="1">
        <f>((NOT(ISNA(VLOOKUP(M433,Monster!$H$2:$I$6,2,FALSE)))*L433)+J433)*(1+K433/100*0.25)</f>
        <v>1596</v>
      </c>
      <c r="O433" s="1" t="str">
        <f t="shared" si="3"/>
        <v>No Element - 1596</v>
      </c>
      <c r="P433" s="1" t="s">
        <v>158</v>
      </c>
      <c r="Q433" s="1">
        <v>1</v>
      </c>
      <c r="S433" s="1" t="s">
        <v>1792</v>
      </c>
      <c r="V433" s="1">
        <f t="shared" si="4"/>
        <v>432</v>
      </c>
      <c r="W433" s="1">
        <f t="shared" si="5"/>
        <v>0</v>
      </c>
    </row>
    <row r="434" spans="1:23" x14ac:dyDescent="0.2">
      <c r="A434" s="1">
        <v>433</v>
      </c>
      <c r="B434" s="1" t="s">
        <v>1859</v>
      </c>
      <c r="C434" s="1" t="s">
        <v>958</v>
      </c>
      <c r="D434" s="1" t="s">
        <v>596</v>
      </c>
      <c r="E434" s="1" t="s">
        <v>1790</v>
      </c>
      <c r="F434" s="1"/>
      <c r="G434" s="1">
        <f>IF(ISNA(VLOOKUP(F434,Monster!B:E,4,FALSE)),0,VLOOKUP(F434,Monster!B:E,4,FALSE))</f>
        <v>0</v>
      </c>
      <c r="I434" s="1" t="s">
        <v>1860</v>
      </c>
      <c r="J434" s="1">
        <v>1878</v>
      </c>
      <c r="K434" s="1">
        <v>0</v>
      </c>
      <c r="L434" s="1">
        <v>0</v>
      </c>
      <c r="M434" s="1" t="s">
        <v>107</v>
      </c>
      <c r="N434" s="1">
        <f>((NOT(ISNA(VLOOKUP(M434,Monster!$H$2:$I$6,2,FALSE)))*L434)+J434)*(1+K434/100*0.25)</f>
        <v>1878</v>
      </c>
      <c r="O434" s="1" t="str">
        <f t="shared" si="3"/>
        <v>No Element - 1878</v>
      </c>
      <c r="P434" s="1" t="s">
        <v>412</v>
      </c>
      <c r="Q434" s="1">
        <v>1</v>
      </c>
      <c r="S434" s="1" t="s">
        <v>1792</v>
      </c>
      <c r="V434" s="1">
        <f t="shared" si="4"/>
        <v>433</v>
      </c>
      <c r="W434" s="1">
        <f t="shared" si="5"/>
        <v>0</v>
      </c>
    </row>
    <row r="435" spans="1:23" x14ac:dyDescent="0.2">
      <c r="A435" s="1">
        <v>434</v>
      </c>
      <c r="B435" s="1" t="s">
        <v>1861</v>
      </c>
      <c r="C435" s="1" t="s">
        <v>1302</v>
      </c>
      <c r="D435" s="1" t="s">
        <v>596</v>
      </c>
      <c r="E435" s="1" t="s">
        <v>1790</v>
      </c>
      <c r="F435" s="1"/>
      <c r="G435" s="1">
        <f>IF(ISNA(VLOOKUP(F435,Monster!B:E,4,FALSE)),0,VLOOKUP(F435,Monster!B:E,4,FALSE))</f>
        <v>0</v>
      </c>
      <c r="I435" s="1" t="s">
        <v>1861</v>
      </c>
      <c r="J435" s="1">
        <v>1893</v>
      </c>
      <c r="K435" s="1">
        <v>0</v>
      </c>
      <c r="L435" s="1">
        <v>0</v>
      </c>
      <c r="M435" s="1" t="s">
        <v>107</v>
      </c>
      <c r="N435" s="1">
        <f>((NOT(ISNA(VLOOKUP(M435,Monster!$H$2:$I$6,2,FALSE)))*L435)+J435)*(1+K435/100*0.25)</f>
        <v>1893</v>
      </c>
      <c r="O435" s="1" t="str">
        <f t="shared" si="3"/>
        <v>No Element - 1893</v>
      </c>
      <c r="P435" s="1" t="s">
        <v>693</v>
      </c>
      <c r="Q435" s="1">
        <v>1</v>
      </c>
      <c r="S435" s="1" t="s">
        <v>1792</v>
      </c>
      <c r="V435" s="1">
        <f t="shared" si="4"/>
        <v>434</v>
      </c>
      <c r="W435" s="1">
        <f t="shared" si="5"/>
        <v>0</v>
      </c>
    </row>
    <row r="436" spans="1:23" x14ac:dyDescent="0.2">
      <c r="A436" s="1">
        <v>435</v>
      </c>
      <c r="B436" s="1" t="s">
        <v>1862</v>
      </c>
      <c r="C436" s="1" t="s">
        <v>34</v>
      </c>
      <c r="D436" s="1" t="s">
        <v>596</v>
      </c>
      <c r="E436" s="1" t="s">
        <v>1863</v>
      </c>
      <c r="F436" s="1"/>
      <c r="G436" s="1">
        <f>IF(ISNA(VLOOKUP(F436,Monster!B:E,4,FALSE)),0,VLOOKUP(F436,Monster!B:E,4,FALSE))</f>
        <v>0</v>
      </c>
      <c r="I436" s="1" t="s">
        <v>1864</v>
      </c>
      <c r="J436" s="1">
        <v>1596</v>
      </c>
      <c r="K436" s="1">
        <v>0</v>
      </c>
      <c r="L436" s="1">
        <v>0</v>
      </c>
      <c r="M436" s="1" t="s">
        <v>107</v>
      </c>
      <c r="N436" s="1">
        <f>((NOT(ISNA(VLOOKUP(M436,Monster!$H$2:$I$6,2,FALSE)))*L436)+J436)*(1+K436/100*0.25)</f>
        <v>1596</v>
      </c>
      <c r="O436" s="1" t="str">
        <f t="shared" si="3"/>
        <v>No Element - 1596</v>
      </c>
      <c r="P436" s="1" t="s">
        <v>410</v>
      </c>
      <c r="Q436" s="1">
        <v>2</v>
      </c>
      <c r="S436" s="1" t="s">
        <v>1865</v>
      </c>
      <c r="T436" s="1" t="s">
        <v>1866</v>
      </c>
      <c r="V436" s="1">
        <f t="shared" si="4"/>
        <v>435</v>
      </c>
      <c r="W436" s="1">
        <f t="shared" si="5"/>
        <v>0</v>
      </c>
    </row>
    <row r="437" spans="1:23" x14ac:dyDescent="0.2">
      <c r="A437" s="1">
        <v>436</v>
      </c>
      <c r="B437" s="1" t="s">
        <v>1867</v>
      </c>
      <c r="C437" s="1" t="s">
        <v>324</v>
      </c>
      <c r="D437" s="1" t="s">
        <v>596</v>
      </c>
      <c r="E437" s="1" t="s">
        <v>1863</v>
      </c>
      <c r="F437" s="1" t="s">
        <v>11</v>
      </c>
      <c r="G437" s="1">
        <f>IF(ISNA(VLOOKUP(F437,Monster!B:E,4,FALSE)),0,VLOOKUP(F437,Monster!B:E,4,FALSE))</f>
        <v>1</v>
      </c>
      <c r="I437" s="1" t="s">
        <v>1868</v>
      </c>
      <c r="J437" s="1">
        <v>1373</v>
      </c>
      <c r="K437" s="1">
        <v>0</v>
      </c>
      <c r="L437" s="1">
        <v>607</v>
      </c>
      <c r="M437" s="1" t="s">
        <v>50</v>
      </c>
      <c r="N437" s="1">
        <f>((NOT(ISNA(VLOOKUP(M437,Monster!$H$2:$I$6,2,FALSE)))*L437)+J437)*(1+K437/100*0.25)</f>
        <v>1980</v>
      </c>
      <c r="O437" s="1" t="str">
        <f t="shared" si="3"/>
        <v>Water - 1980</v>
      </c>
      <c r="P437" s="1" t="s">
        <v>348</v>
      </c>
      <c r="Q437" s="1">
        <v>2</v>
      </c>
      <c r="S437" s="1" t="s">
        <v>1869</v>
      </c>
      <c r="T437" s="1" t="s">
        <v>1870</v>
      </c>
      <c r="V437" s="1">
        <f t="shared" si="4"/>
        <v>436</v>
      </c>
      <c r="W437" s="1">
        <f t="shared" si="5"/>
        <v>0.30656565656565654</v>
      </c>
    </row>
    <row r="438" spans="1:23" x14ac:dyDescent="0.2">
      <c r="A438" s="1">
        <v>437</v>
      </c>
      <c r="B438" s="1" t="s">
        <v>1871</v>
      </c>
      <c r="C438" s="1" t="s">
        <v>617</v>
      </c>
      <c r="D438" s="1" t="s">
        <v>596</v>
      </c>
      <c r="E438" s="1" t="s">
        <v>1863</v>
      </c>
      <c r="F438" s="1" t="s">
        <v>60</v>
      </c>
      <c r="G438" s="1">
        <f>IF(ISNA(VLOOKUP(F438,Monster!B:E,4,FALSE)),0,VLOOKUP(F438,Monster!B:E,4,FALSE))</f>
        <v>4</v>
      </c>
      <c r="I438" s="1" t="s">
        <v>1871</v>
      </c>
      <c r="J438" s="1">
        <v>1221</v>
      </c>
      <c r="K438" s="1">
        <v>0</v>
      </c>
      <c r="L438" s="1">
        <v>1142</v>
      </c>
      <c r="M438" s="1" t="s">
        <v>50</v>
      </c>
      <c r="N438" s="1">
        <f>((NOT(ISNA(VLOOKUP(M438,Monster!$H$2:$I$6,2,FALSE)))*L438)+J438)*(1+K438/100*0.25)</f>
        <v>2363</v>
      </c>
      <c r="O438" s="1" t="str">
        <f t="shared" si="3"/>
        <v>Water - 2363</v>
      </c>
      <c r="P438" s="1" t="s">
        <v>244</v>
      </c>
      <c r="Q438" s="1">
        <v>1</v>
      </c>
      <c r="S438" s="1" t="s">
        <v>1872</v>
      </c>
      <c r="T438" s="1" t="s">
        <v>1873</v>
      </c>
      <c r="U438" s="1" t="s">
        <v>1874</v>
      </c>
      <c r="V438" s="1">
        <f t="shared" si="4"/>
        <v>437</v>
      </c>
      <c r="W438" s="1">
        <f t="shared" si="5"/>
        <v>0.48328396106644095</v>
      </c>
    </row>
    <row r="439" spans="1:23" x14ac:dyDescent="0.2">
      <c r="A439" s="1">
        <v>438</v>
      </c>
      <c r="B439" s="1" t="s">
        <v>1875</v>
      </c>
      <c r="C439" s="1" t="s">
        <v>696</v>
      </c>
      <c r="D439" s="1" t="s">
        <v>596</v>
      </c>
      <c r="E439" s="1" t="s">
        <v>1863</v>
      </c>
      <c r="F439" s="1" t="s">
        <v>69</v>
      </c>
      <c r="G439" s="1">
        <f>IF(ISNA(VLOOKUP(F439,Monster!B:E,4,FALSE)),0,VLOOKUP(F439,Monster!B:E,4,FALSE))</f>
        <v>5</v>
      </c>
      <c r="I439" s="1" t="s">
        <v>1875</v>
      </c>
      <c r="J439" s="1">
        <v>1756</v>
      </c>
      <c r="K439" s="1">
        <v>0</v>
      </c>
      <c r="L439" s="1">
        <v>0</v>
      </c>
      <c r="M439" s="1" t="s">
        <v>107</v>
      </c>
      <c r="N439" s="1">
        <f>((NOT(ISNA(VLOOKUP(M439,Monster!$H$2:$I$6,2,FALSE)))*L439)+J439)*(1+K439/100*0.25)</f>
        <v>1756</v>
      </c>
      <c r="O439" s="1" t="str">
        <f t="shared" si="3"/>
        <v>No Element - 1756</v>
      </c>
      <c r="P439" s="1" t="s">
        <v>213</v>
      </c>
      <c r="Q439" s="1">
        <v>2</v>
      </c>
      <c r="S439" s="1" t="s">
        <v>1876</v>
      </c>
      <c r="T439" s="1" t="s">
        <v>1877</v>
      </c>
      <c r="V439" s="1">
        <f t="shared" si="4"/>
        <v>438</v>
      </c>
      <c r="W439" s="1">
        <f t="shared" si="5"/>
        <v>0</v>
      </c>
    </row>
    <row r="440" spans="1:23" x14ac:dyDescent="0.2">
      <c r="A440" s="1">
        <v>439</v>
      </c>
      <c r="B440" s="1" t="s">
        <v>1878</v>
      </c>
      <c r="C440" s="1" t="s">
        <v>729</v>
      </c>
      <c r="D440" s="1" t="s">
        <v>596</v>
      </c>
      <c r="E440" s="1" t="s">
        <v>1863</v>
      </c>
      <c r="F440" s="1" t="s">
        <v>81</v>
      </c>
      <c r="G440" s="1">
        <f>IF(ISNA(VLOOKUP(F440,Monster!B:E,4,FALSE)),0,VLOOKUP(F440,Monster!B:E,4,FALSE))</f>
        <v>7</v>
      </c>
      <c r="I440" s="1" t="s">
        <v>1879</v>
      </c>
      <c r="J440" s="1">
        <v>1293</v>
      </c>
      <c r="K440" s="1">
        <v>0</v>
      </c>
      <c r="L440" s="1">
        <v>910</v>
      </c>
      <c r="M440" s="1" t="s">
        <v>58</v>
      </c>
      <c r="N440" s="1">
        <f>((NOT(ISNA(VLOOKUP(M440,Monster!$H$2:$I$6,2,FALSE)))*L440)+J440)*(1+K440/100*0.25)</f>
        <v>2203</v>
      </c>
      <c r="O440" s="1" t="str">
        <f t="shared" si="3"/>
        <v>Thunder - 2203</v>
      </c>
      <c r="P440" s="1" t="s">
        <v>253</v>
      </c>
      <c r="Q440" s="1">
        <v>1</v>
      </c>
      <c r="S440" s="1" t="s">
        <v>1880</v>
      </c>
      <c r="T440" s="1" t="s">
        <v>1881</v>
      </c>
      <c r="V440" s="1">
        <f t="shared" si="4"/>
        <v>439</v>
      </c>
      <c r="W440" s="1">
        <f t="shared" si="5"/>
        <v>0.41307308216068994</v>
      </c>
    </row>
    <row r="441" spans="1:23" x14ac:dyDescent="0.2">
      <c r="A441" s="1">
        <v>440</v>
      </c>
      <c r="B441" s="1" t="s">
        <v>1882</v>
      </c>
      <c r="C441" s="1" t="s">
        <v>735</v>
      </c>
      <c r="D441" s="1" t="s">
        <v>596</v>
      </c>
      <c r="E441" s="1" t="s">
        <v>1863</v>
      </c>
      <c r="F441" s="1" t="s">
        <v>91</v>
      </c>
      <c r="G441" s="1">
        <f>IF(ISNA(VLOOKUP(F441,Monster!B:E,4,FALSE)),0,VLOOKUP(F441,Monster!B:E,4,FALSE))</f>
        <v>8</v>
      </c>
      <c r="I441" s="1" t="s">
        <v>1883</v>
      </c>
      <c r="J441" s="1">
        <v>1764</v>
      </c>
      <c r="K441" s="1">
        <v>0</v>
      </c>
      <c r="L441" s="1">
        <v>0</v>
      </c>
      <c r="M441" s="1" t="s">
        <v>107</v>
      </c>
      <c r="N441" s="1">
        <f>((NOT(ISNA(VLOOKUP(M441,Monster!$H$2:$I$6,2,FALSE)))*L441)+J441)*(1+K441/100*0.25)</f>
        <v>1764</v>
      </c>
      <c r="O441" s="1" t="str">
        <f t="shared" si="3"/>
        <v>No Element - 1764</v>
      </c>
      <c r="P441" s="1" t="s">
        <v>228</v>
      </c>
      <c r="Q441" s="1">
        <v>2</v>
      </c>
      <c r="S441" s="1" t="s">
        <v>1865</v>
      </c>
      <c r="T441" s="1" t="s">
        <v>1884</v>
      </c>
      <c r="U441" s="1" t="s">
        <v>1866</v>
      </c>
      <c r="V441" s="1">
        <f t="shared" si="4"/>
        <v>440</v>
      </c>
      <c r="W441" s="1">
        <f t="shared" si="5"/>
        <v>0</v>
      </c>
    </row>
    <row r="442" spans="1:23" x14ac:dyDescent="0.2">
      <c r="A442" s="1">
        <v>441</v>
      </c>
      <c r="B442" s="1" t="s">
        <v>1885</v>
      </c>
      <c r="C442" s="1" t="s">
        <v>740</v>
      </c>
      <c r="D442" s="1" t="s">
        <v>596</v>
      </c>
      <c r="E442" s="1" t="s">
        <v>1863</v>
      </c>
      <c r="F442" s="1" t="s">
        <v>97</v>
      </c>
      <c r="G442" s="1">
        <f>IF(ISNA(VLOOKUP(F442,Monster!B:E,4,FALSE)),0,VLOOKUP(F442,Monster!B:E,4,FALSE))</f>
        <v>9</v>
      </c>
      <c r="I442" s="1" t="s">
        <v>1885</v>
      </c>
      <c r="J442" s="1">
        <v>1979</v>
      </c>
      <c r="K442" s="1">
        <v>0</v>
      </c>
      <c r="L442" s="1">
        <v>0</v>
      </c>
      <c r="M442" s="1" t="s">
        <v>107</v>
      </c>
      <c r="N442" s="1">
        <f>((NOT(ISNA(VLOOKUP(M442,Monster!$H$2:$I$6,2,FALSE)))*L442)+J442)*(1+K442/100*0.25)</f>
        <v>1979</v>
      </c>
      <c r="O442" s="1" t="str">
        <f t="shared" si="3"/>
        <v>No Element - 1979</v>
      </c>
      <c r="P442" s="1" t="s">
        <v>590</v>
      </c>
      <c r="Q442" s="1">
        <v>1</v>
      </c>
      <c r="S442" s="1" t="s">
        <v>1886</v>
      </c>
      <c r="T442" s="1" t="s">
        <v>1887</v>
      </c>
      <c r="U442" s="1" t="s">
        <v>1866</v>
      </c>
      <c r="V442" s="1">
        <f t="shared" si="4"/>
        <v>441</v>
      </c>
      <c r="W442" s="1">
        <f t="shared" si="5"/>
        <v>0</v>
      </c>
    </row>
    <row r="443" spans="1:23" x14ac:dyDescent="0.2">
      <c r="A443" s="1">
        <v>442</v>
      </c>
      <c r="B443" s="1" t="s">
        <v>1888</v>
      </c>
      <c r="C443" s="1" t="s">
        <v>745</v>
      </c>
      <c r="D443" s="1" t="s">
        <v>596</v>
      </c>
      <c r="E443" s="1" t="s">
        <v>1863</v>
      </c>
      <c r="F443" s="1" t="s">
        <v>102</v>
      </c>
      <c r="G443" s="1">
        <f>IF(ISNA(VLOOKUP(F443,Monster!B:E,4,FALSE)),0,VLOOKUP(F443,Monster!B:E,4,FALSE))</f>
        <v>10</v>
      </c>
      <c r="I443" s="1" t="s">
        <v>1889</v>
      </c>
      <c r="J443" s="1">
        <v>1293</v>
      </c>
      <c r="K443" s="1">
        <v>0</v>
      </c>
      <c r="L443" s="1">
        <v>910</v>
      </c>
      <c r="M443" s="1" t="s">
        <v>50</v>
      </c>
      <c r="N443" s="1">
        <f>((NOT(ISNA(VLOOKUP(M443,Monster!$H$2:$I$6,2,FALSE)))*L443)+J443)*(1+K443/100*0.25)</f>
        <v>2203</v>
      </c>
      <c r="O443" s="1" t="str">
        <f t="shared" si="3"/>
        <v>Water - 2203</v>
      </c>
      <c r="P443" s="1" t="s">
        <v>394</v>
      </c>
      <c r="Q443" s="1">
        <v>1</v>
      </c>
      <c r="S443" s="1" t="s">
        <v>1872</v>
      </c>
      <c r="T443" s="1" t="s">
        <v>1890</v>
      </c>
      <c r="U443" s="1" t="s">
        <v>1891</v>
      </c>
      <c r="V443" s="1">
        <f t="shared" si="4"/>
        <v>442</v>
      </c>
      <c r="W443" s="1">
        <f t="shared" si="5"/>
        <v>0.41307308216068994</v>
      </c>
    </row>
    <row r="444" spans="1:23" x14ac:dyDescent="0.2">
      <c r="A444" s="1">
        <v>443</v>
      </c>
      <c r="B444" s="1" t="s">
        <v>1892</v>
      </c>
      <c r="C444" s="1" t="s">
        <v>750</v>
      </c>
      <c r="D444" s="1" t="s">
        <v>596</v>
      </c>
      <c r="E444" s="1" t="s">
        <v>1863</v>
      </c>
      <c r="F444" s="1" t="s">
        <v>109</v>
      </c>
      <c r="G444" s="1">
        <f>IF(ISNA(VLOOKUP(F444,Monster!B:E,4,FALSE)),0,VLOOKUP(F444,Monster!B:E,4,FALSE))</f>
        <v>11</v>
      </c>
      <c r="I444" s="1" t="s">
        <v>1893</v>
      </c>
      <c r="J444" s="1">
        <v>1293</v>
      </c>
      <c r="K444" s="1">
        <v>0</v>
      </c>
      <c r="L444" s="1">
        <v>910</v>
      </c>
      <c r="M444" s="1" t="s">
        <v>41</v>
      </c>
      <c r="N444" s="1">
        <f>((NOT(ISNA(VLOOKUP(M444,Monster!$H$2:$I$6,2,FALSE)))*L444)+J444)*(1+K444/100*0.25)</f>
        <v>2203</v>
      </c>
      <c r="O444" s="1" t="str">
        <f t="shared" si="3"/>
        <v>Fire - 2203</v>
      </c>
      <c r="P444" s="1" t="s">
        <v>543</v>
      </c>
      <c r="Q444" s="1">
        <v>1</v>
      </c>
      <c r="S444" s="1" t="s">
        <v>1894</v>
      </c>
      <c r="T444" s="1" t="s">
        <v>1895</v>
      </c>
      <c r="V444" s="1">
        <f t="shared" si="4"/>
        <v>443</v>
      </c>
      <c r="W444" s="1">
        <f t="shared" si="5"/>
        <v>0.41307308216068994</v>
      </c>
    </row>
    <row r="445" spans="1:23" x14ac:dyDescent="0.2">
      <c r="A445" s="1">
        <v>444</v>
      </c>
      <c r="B445" s="1" t="s">
        <v>1896</v>
      </c>
      <c r="C445" s="1" t="s">
        <v>756</v>
      </c>
      <c r="D445" s="1" t="s">
        <v>596</v>
      </c>
      <c r="E445" s="1" t="s">
        <v>1863</v>
      </c>
      <c r="F445" s="1" t="s">
        <v>119</v>
      </c>
      <c r="G445" s="1">
        <f>IF(ISNA(VLOOKUP(F445,Monster!B:E,4,FALSE)),0,VLOOKUP(F445,Monster!B:E,4,FALSE))</f>
        <v>12</v>
      </c>
      <c r="I445" s="1" t="s">
        <v>1896</v>
      </c>
      <c r="J445" s="1">
        <v>1197</v>
      </c>
      <c r="K445" s="1">
        <v>20</v>
      </c>
      <c r="L445" s="1">
        <v>1154</v>
      </c>
      <c r="M445" s="1" t="s">
        <v>58</v>
      </c>
      <c r="N445" s="1">
        <f>((NOT(ISNA(VLOOKUP(M445,Monster!$H$2:$I$6,2,FALSE)))*L445)+J445)*(1+K445/100*0.25)</f>
        <v>2468.5500000000002</v>
      </c>
      <c r="O445" s="1" t="str">
        <f t="shared" si="3"/>
        <v>Thunder - 2468.55</v>
      </c>
      <c r="P445" s="1" t="s">
        <v>175</v>
      </c>
      <c r="Q445" s="1">
        <v>1</v>
      </c>
      <c r="S445" s="1" t="s">
        <v>1897</v>
      </c>
      <c r="T445" s="1" t="s">
        <v>1898</v>
      </c>
      <c r="U445" s="1" t="s">
        <v>1880</v>
      </c>
      <c r="V445" s="1">
        <f t="shared" si="4"/>
        <v>444</v>
      </c>
      <c r="W445" s="1">
        <f t="shared" si="5"/>
        <v>0.49085495533815399</v>
      </c>
    </row>
    <row r="446" spans="1:23" x14ac:dyDescent="0.2">
      <c r="A446" s="1">
        <v>445</v>
      </c>
      <c r="B446" s="1" t="s">
        <v>1899</v>
      </c>
      <c r="C446" s="1" t="s">
        <v>771</v>
      </c>
      <c r="D446" s="1" t="s">
        <v>596</v>
      </c>
      <c r="E446" s="1" t="s">
        <v>1863</v>
      </c>
      <c r="F446" s="1" t="s">
        <v>137</v>
      </c>
      <c r="G446" s="1">
        <f>IF(ISNA(VLOOKUP(F446,Monster!B:E,4,FALSE)),0,VLOOKUP(F446,Monster!B:E,4,FALSE))</f>
        <v>15</v>
      </c>
      <c r="I446" s="1" t="s">
        <v>1899</v>
      </c>
      <c r="J446" s="1">
        <v>1993</v>
      </c>
      <c r="K446" s="1">
        <v>30</v>
      </c>
      <c r="L446" s="1">
        <v>0</v>
      </c>
      <c r="M446" s="1" t="s">
        <v>107</v>
      </c>
      <c r="N446" s="1">
        <f>((NOT(ISNA(VLOOKUP(M446,Monster!$H$2:$I$6,2,FALSE)))*L446)+J446)*(1+K446/100*0.25)</f>
        <v>2142.4749999999999</v>
      </c>
      <c r="O446" s="1" t="str">
        <f t="shared" si="3"/>
        <v>No Element - 2142.475</v>
      </c>
      <c r="P446" s="1" t="s">
        <v>483</v>
      </c>
      <c r="Q446" s="1">
        <v>2</v>
      </c>
      <c r="S446" s="1" t="s">
        <v>1900</v>
      </c>
      <c r="T446" s="1" t="s">
        <v>1901</v>
      </c>
      <c r="U446" s="1" t="s">
        <v>1887</v>
      </c>
      <c r="V446" s="1">
        <f t="shared" si="4"/>
        <v>445</v>
      </c>
      <c r="W446" s="1">
        <f t="shared" si="5"/>
        <v>0</v>
      </c>
    </row>
    <row r="447" spans="1:23" x14ac:dyDescent="0.2">
      <c r="A447" s="1">
        <v>446</v>
      </c>
      <c r="B447" s="1" t="s">
        <v>1902</v>
      </c>
      <c r="C447" s="1" t="s">
        <v>775</v>
      </c>
      <c r="D447" s="1" t="s">
        <v>596</v>
      </c>
      <c r="E447" s="1" t="s">
        <v>1863</v>
      </c>
      <c r="F447" s="1" t="s">
        <v>146</v>
      </c>
      <c r="G447" s="1">
        <f>IF(ISNA(VLOOKUP(F447,Monster!B:E,4,FALSE)),0,VLOOKUP(F447,Monster!B:E,4,FALSE))</f>
        <v>16</v>
      </c>
      <c r="I447" s="1" t="s">
        <v>1903</v>
      </c>
      <c r="J447" s="1">
        <v>1221</v>
      </c>
      <c r="K447" s="1">
        <v>0</v>
      </c>
      <c r="L447" s="1">
        <v>1142</v>
      </c>
      <c r="M447" s="1" t="s">
        <v>66</v>
      </c>
      <c r="N447" s="1">
        <f>((NOT(ISNA(VLOOKUP(M447,Monster!$H$2:$I$6,2,FALSE)))*L447)+J447)*(1+K447/100*0.25)</f>
        <v>2363</v>
      </c>
      <c r="O447" s="1" t="str">
        <f t="shared" si="3"/>
        <v>Ice - 2363</v>
      </c>
      <c r="P447" s="1" t="s">
        <v>228</v>
      </c>
      <c r="Q447" s="1">
        <v>2</v>
      </c>
      <c r="S447" s="1" t="s">
        <v>1904</v>
      </c>
      <c r="T447" s="1" t="s">
        <v>1905</v>
      </c>
      <c r="U447" s="1" t="s">
        <v>1906</v>
      </c>
      <c r="V447" s="1">
        <f t="shared" si="4"/>
        <v>446</v>
      </c>
      <c r="W447" s="1">
        <f t="shared" si="5"/>
        <v>0.48328396106644095</v>
      </c>
    </row>
    <row r="448" spans="1:23" x14ac:dyDescent="0.2">
      <c r="A448" s="1">
        <v>447</v>
      </c>
      <c r="B448" s="1" t="s">
        <v>1907</v>
      </c>
      <c r="C448" s="1" t="s">
        <v>786</v>
      </c>
      <c r="D448" s="1" t="s">
        <v>596</v>
      </c>
      <c r="E448" s="1" t="s">
        <v>1863</v>
      </c>
      <c r="F448" s="1" t="s">
        <v>160</v>
      </c>
      <c r="G448" s="1">
        <f>IF(ISNA(VLOOKUP(F448,Monster!B:E,4,FALSE)),0,VLOOKUP(F448,Monster!B:E,4,FALSE))</f>
        <v>19</v>
      </c>
      <c r="I448" s="1" t="s">
        <v>1908</v>
      </c>
      <c r="J448" s="1">
        <v>1221</v>
      </c>
      <c r="K448" s="1">
        <v>0</v>
      </c>
      <c r="L448" s="1">
        <v>1142</v>
      </c>
      <c r="M448" s="1" t="s">
        <v>41</v>
      </c>
      <c r="N448" s="1">
        <f>((NOT(ISNA(VLOOKUP(M448,Monster!$H$2:$I$6,2,FALSE)))*L448)+J448)*(1+K448/100*0.25)</f>
        <v>2363</v>
      </c>
      <c r="O448" s="1" t="str">
        <f t="shared" si="3"/>
        <v>Fire - 2363</v>
      </c>
      <c r="P448" s="1" t="s">
        <v>244</v>
      </c>
      <c r="Q448" s="1">
        <v>1</v>
      </c>
      <c r="S448" s="1" t="s">
        <v>1909</v>
      </c>
      <c r="T448" s="1" t="s">
        <v>1910</v>
      </c>
      <c r="U448" s="1" t="s">
        <v>1911</v>
      </c>
      <c r="V448" s="1">
        <f t="shared" si="4"/>
        <v>447</v>
      </c>
      <c r="W448" s="1">
        <f t="shared" si="5"/>
        <v>0.48328396106644095</v>
      </c>
    </row>
    <row r="449" spans="1:23" x14ac:dyDescent="0.2">
      <c r="A449" s="1">
        <v>448</v>
      </c>
      <c r="B449" s="1" t="s">
        <v>1912</v>
      </c>
      <c r="C449" s="1" t="s">
        <v>790</v>
      </c>
      <c r="D449" s="1" t="s">
        <v>596</v>
      </c>
      <c r="E449" s="1" t="s">
        <v>1863</v>
      </c>
      <c r="F449" s="1" t="s">
        <v>165</v>
      </c>
      <c r="G449" s="1">
        <f>IF(ISNA(VLOOKUP(F449,Monster!B:E,4,FALSE)),0,VLOOKUP(F449,Monster!B:E,4,FALSE))</f>
        <v>20</v>
      </c>
      <c r="I449" s="1" t="s">
        <v>1912</v>
      </c>
      <c r="J449" s="1">
        <v>1682</v>
      </c>
      <c r="K449" s="1">
        <v>0</v>
      </c>
      <c r="L449" s="1">
        <v>605</v>
      </c>
      <c r="M449" s="1" t="s">
        <v>41</v>
      </c>
      <c r="N449" s="1">
        <f>((NOT(ISNA(VLOOKUP(M449,Monster!$H$2:$I$6,2,FALSE)))*L449)+J449)*(1+K449/100*0.25)</f>
        <v>2287</v>
      </c>
      <c r="O449" s="1" t="str">
        <f t="shared" si="3"/>
        <v>Fire - 2287</v>
      </c>
      <c r="P449" s="1" t="s">
        <v>602</v>
      </c>
      <c r="Q449" s="1">
        <v>1</v>
      </c>
      <c r="S449" s="1" t="s">
        <v>1909</v>
      </c>
      <c r="T449" s="1" t="s">
        <v>1910</v>
      </c>
      <c r="U449" s="1" t="s">
        <v>1913</v>
      </c>
      <c r="V449" s="1">
        <f t="shared" si="4"/>
        <v>448</v>
      </c>
      <c r="W449" s="1">
        <f t="shared" si="5"/>
        <v>0.26453869698294707</v>
      </c>
    </row>
    <row r="450" spans="1:23" x14ac:dyDescent="0.2">
      <c r="A450" s="1">
        <v>449</v>
      </c>
      <c r="B450" s="1" t="s">
        <v>1914</v>
      </c>
      <c r="C450" s="1" t="s">
        <v>794</v>
      </c>
      <c r="D450" s="1" t="s">
        <v>596</v>
      </c>
      <c r="E450" s="1" t="s">
        <v>1863</v>
      </c>
      <c r="F450" s="1" t="s">
        <v>171</v>
      </c>
      <c r="G450" s="1">
        <f>IF(ISNA(VLOOKUP(F450,Monster!B:E,4,FALSE)),0,VLOOKUP(F450,Monster!B:E,4,FALSE))</f>
        <v>21</v>
      </c>
      <c r="I450" s="1" t="s">
        <v>1914</v>
      </c>
      <c r="J450" s="1">
        <v>1258</v>
      </c>
      <c r="K450" s="1">
        <v>30</v>
      </c>
      <c r="L450" s="1">
        <v>1082</v>
      </c>
      <c r="M450" s="1" t="s">
        <v>41</v>
      </c>
      <c r="N450" s="1">
        <f>((NOT(ISNA(VLOOKUP(M450,Monster!$H$2:$I$6,2,FALSE)))*L450)+J450)*(1+K450/100*0.25)</f>
        <v>2515.5</v>
      </c>
      <c r="O450" s="1" t="str">
        <f t="shared" si="3"/>
        <v>Fire - 2515.5</v>
      </c>
      <c r="P450" s="1" t="s">
        <v>175</v>
      </c>
      <c r="Q450" s="1">
        <v>2</v>
      </c>
      <c r="S450" s="1" t="s">
        <v>1910</v>
      </c>
      <c r="T450" s="1" t="s">
        <v>1911</v>
      </c>
      <c r="U450" s="1" t="s">
        <v>1915</v>
      </c>
      <c r="V450" s="1">
        <f t="shared" si="4"/>
        <v>449</v>
      </c>
      <c r="W450" s="1">
        <f t="shared" si="5"/>
        <v>0.46239316239316242</v>
      </c>
    </row>
    <row r="451" spans="1:23" x14ac:dyDescent="0.2">
      <c r="A451" s="1">
        <v>450</v>
      </c>
      <c r="B451" s="1" t="s">
        <v>1916</v>
      </c>
      <c r="C451" s="1" t="s">
        <v>800</v>
      </c>
      <c r="D451" s="1" t="s">
        <v>596</v>
      </c>
      <c r="E451" s="1" t="s">
        <v>1863</v>
      </c>
      <c r="F451" s="1" t="s">
        <v>184</v>
      </c>
      <c r="G451" s="1">
        <f>IF(ISNA(VLOOKUP(F451,Monster!B:E,4,FALSE)),0,VLOOKUP(F451,Monster!B:E,4,FALSE))</f>
        <v>23</v>
      </c>
      <c r="I451" s="1" t="s">
        <v>1916</v>
      </c>
      <c r="J451" s="1">
        <v>1764</v>
      </c>
      <c r="K451" s="1">
        <v>0</v>
      </c>
      <c r="L451" s="1">
        <v>0</v>
      </c>
      <c r="M451" s="1" t="s">
        <v>107</v>
      </c>
      <c r="N451" s="1">
        <f>((NOT(ISNA(VLOOKUP(M451,Monster!$H$2:$I$6,2,FALSE)))*L451)+J451)*(1+K451/100*0.25)</f>
        <v>1764</v>
      </c>
      <c r="O451" s="1" t="str">
        <f t="shared" si="3"/>
        <v>No Element - 1764</v>
      </c>
      <c r="P451" s="1" t="s">
        <v>306</v>
      </c>
      <c r="Q451" s="1">
        <v>2</v>
      </c>
      <c r="S451" s="1" t="s">
        <v>1865</v>
      </c>
      <c r="T451" s="1" t="s">
        <v>1877</v>
      </c>
      <c r="U451" s="1" t="s">
        <v>1917</v>
      </c>
      <c r="V451" s="1">
        <f t="shared" si="4"/>
        <v>450</v>
      </c>
      <c r="W451" s="1">
        <f t="shared" si="5"/>
        <v>0</v>
      </c>
    </row>
    <row r="452" spans="1:23" x14ac:dyDescent="0.2">
      <c r="A452" s="1">
        <v>451</v>
      </c>
      <c r="B452" s="1" t="s">
        <v>1918</v>
      </c>
      <c r="C452" s="1" t="s">
        <v>803</v>
      </c>
      <c r="D452" s="1" t="s">
        <v>596</v>
      </c>
      <c r="E452" s="1" t="s">
        <v>1863</v>
      </c>
      <c r="F452" s="1" t="s">
        <v>190</v>
      </c>
      <c r="G452" s="1">
        <f>IF(ISNA(VLOOKUP(F452,Monster!B:E,4,FALSE)),0,VLOOKUP(F452,Monster!B:E,4,FALSE))</f>
        <v>24</v>
      </c>
      <c r="I452" s="1" t="s">
        <v>1919</v>
      </c>
      <c r="J452" s="1">
        <v>1191</v>
      </c>
      <c r="K452" s="1">
        <v>20</v>
      </c>
      <c r="L452" s="1">
        <v>910</v>
      </c>
      <c r="M452" s="1" t="s">
        <v>66</v>
      </c>
      <c r="N452" s="1">
        <f>((NOT(ISNA(VLOOKUP(M452,Monster!$H$2:$I$6,2,FALSE)))*L452)+J452)*(1+K452/100*0.25)</f>
        <v>2206.0500000000002</v>
      </c>
      <c r="O452" s="1" t="str">
        <f t="shared" si="3"/>
        <v>Ice - 2206.05</v>
      </c>
      <c r="P452" s="1" t="s">
        <v>253</v>
      </c>
      <c r="Q452" s="1">
        <v>1</v>
      </c>
      <c r="S452" s="1" t="s">
        <v>1920</v>
      </c>
      <c r="T452" s="1" t="s">
        <v>1921</v>
      </c>
      <c r="V452" s="1">
        <f t="shared" si="4"/>
        <v>451</v>
      </c>
      <c r="W452" s="1">
        <f t="shared" si="5"/>
        <v>0.43312708234174202</v>
      </c>
    </row>
    <row r="453" spans="1:23" x14ac:dyDescent="0.2">
      <c r="A453" s="1">
        <v>452</v>
      </c>
      <c r="B453" s="1" t="s">
        <v>1922</v>
      </c>
      <c r="C453" s="1" t="s">
        <v>807</v>
      </c>
      <c r="D453" s="1" t="s">
        <v>596</v>
      </c>
      <c r="E453" s="1" t="s">
        <v>1863</v>
      </c>
      <c r="F453" s="1" t="s">
        <v>193</v>
      </c>
      <c r="G453" s="1">
        <f>IF(ISNA(VLOOKUP(F453,Monster!B:E,4,FALSE)),0,VLOOKUP(F453,Monster!B:E,4,FALSE))</f>
        <v>25</v>
      </c>
      <c r="I453" s="1" t="s">
        <v>1923</v>
      </c>
      <c r="J453" s="1">
        <v>1221</v>
      </c>
      <c r="K453" s="1">
        <v>0</v>
      </c>
      <c r="L453" s="1">
        <v>1142</v>
      </c>
      <c r="M453" s="1" t="s">
        <v>58</v>
      </c>
      <c r="N453" s="1">
        <f>((NOT(ISNA(VLOOKUP(M453,Monster!$H$2:$I$6,2,FALSE)))*L453)+J453)*(1+K453/100*0.25)</f>
        <v>2363</v>
      </c>
      <c r="O453" s="1" t="str">
        <f t="shared" si="3"/>
        <v>Thunder - 2363</v>
      </c>
      <c r="P453" s="1" t="s">
        <v>38</v>
      </c>
      <c r="Q453" s="1">
        <v>1</v>
      </c>
      <c r="S453" s="1" t="s">
        <v>1880</v>
      </c>
      <c r="T453" s="1" t="s">
        <v>1924</v>
      </c>
      <c r="U453" s="1" t="s">
        <v>1925</v>
      </c>
      <c r="V453" s="1">
        <f t="shared" si="4"/>
        <v>452</v>
      </c>
      <c r="W453" s="1">
        <f t="shared" si="5"/>
        <v>0.48328396106644095</v>
      </c>
    </row>
    <row r="454" spans="1:23" x14ac:dyDescent="0.2">
      <c r="A454" s="1">
        <v>453</v>
      </c>
      <c r="B454" s="1" t="s">
        <v>1926</v>
      </c>
      <c r="C454" s="1" t="s">
        <v>813</v>
      </c>
      <c r="D454" s="1" t="s">
        <v>596</v>
      </c>
      <c r="E454" s="1" t="s">
        <v>1863</v>
      </c>
      <c r="F454" s="1" t="s">
        <v>205</v>
      </c>
      <c r="G454" s="1">
        <f>IF(ISNA(VLOOKUP(F454,Monster!B:E,4,FALSE)),0,VLOOKUP(F454,Monster!B:E,4,FALSE))</f>
        <v>27</v>
      </c>
      <c r="I454" s="1" t="s">
        <v>1927</v>
      </c>
      <c r="J454" s="1">
        <v>1719</v>
      </c>
      <c r="K454" s="1">
        <v>20</v>
      </c>
      <c r="L454" s="1">
        <v>0</v>
      </c>
      <c r="M454" s="1" t="s">
        <v>107</v>
      </c>
      <c r="N454" s="1">
        <f>((NOT(ISNA(VLOOKUP(M454,Monster!$H$2:$I$6,2,FALSE)))*L454)+J454)*(1+K454/100*0.25)</f>
        <v>1804.95</v>
      </c>
      <c r="O454" s="1" t="str">
        <f t="shared" si="3"/>
        <v>No Element - 1804.95</v>
      </c>
      <c r="P454" s="1" t="s">
        <v>269</v>
      </c>
      <c r="Q454" s="1">
        <v>1</v>
      </c>
      <c r="S454" s="1" t="s">
        <v>1928</v>
      </c>
      <c r="T454" s="1" t="s">
        <v>1929</v>
      </c>
      <c r="V454" s="1">
        <f t="shared" si="4"/>
        <v>453</v>
      </c>
      <c r="W454" s="1">
        <f t="shared" si="5"/>
        <v>0</v>
      </c>
    </row>
    <row r="455" spans="1:23" x14ac:dyDescent="0.2">
      <c r="A455" s="1">
        <v>454</v>
      </c>
      <c r="B455" s="1" t="s">
        <v>1930</v>
      </c>
      <c r="C455" s="1" t="s">
        <v>816</v>
      </c>
      <c r="D455" s="1" t="s">
        <v>596</v>
      </c>
      <c r="E455" s="1" t="s">
        <v>1863</v>
      </c>
      <c r="F455" s="1" t="s">
        <v>210</v>
      </c>
      <c r="G455" s="1">
        <f>IF(ISNA(VLOOKUP(F455,Monster!B:E,4,FALSE)),0,VLOOKUP(F455,Monster!B:E,4,FALSE))</f>
        <v>28</v>
      </c>
      <c r="I455" s="1" t="s">
        <v>1931</v>
      </c>
      <c r="J455" s="1">
        <v>1138</v>
      </c>
      <c r="K455" s="1">
        <v>20</v>
      </c>
      <c r="L455" s="1">
        <v>1156</v>
      </c>
      <c r="M455" s="1" t="s">
        <v>71</v>
      </c>
      <c r="N455" s="1">
        <f>((NOT(ISNA(VLOOKUP(M455,Monster!$H$2:$I$6,2,FALSE)))*L455)+J455)*(1+K455/100*0.25)</f>
        <v>2408.7000000000003</v>
      </c>
      <c r="O455" s="1" t="str">
        <f t="shared" si="3"/>
        <v>Dragon - 2408.7</v>
      </c>
      <c r="P455" s="1" t="s">
        <v>166</v>
      </c>
      <c r="Q455" s="1">
        <v>1</v>
      </c>
      <c r="S455" s="1" t="s">
        <v>1932</v>
      </c>
      <c r="T455" s="1" t="s">
        <v>1933</v>
      </c>
      <c r="V455" s="1">
        <f t="shared" si="4"/>
        <v>454</v>
      </c>
      <c r="W455" s="1">
        <f t="shared" si="5"/>
        <v>0.50392327811682647</v>
      </c>
    </row>
    <row r="456" spans="1:23" x14ac:dyDescent="0.2">
      <c r="A456" s="1">
        <v>455</v>
      </c>
      <c r="B456" s="1" t="s">
        <v>1934</v>
      </c>
      <c r="C456" s="1" t="s">
        <v>821</v>
      </c>
      <c r="D456" s="1" t="s">
        <v>596</v>
      </c>
      <c r="E456" s="1" t="s">
        <v>1863</v>
      </c>
      <c r="F456" s="1" t="s">
        <v>216</v>
      </c>
      <c r="G456" s="1">
        <f>IF(ISNA(VLOOKUP(F456,Monster!B:E,4,FALSE)),0,VLOOKUP(F456,Monster!B:E,4,FALSE))</f>
        <v>29</v>
      </c>
      <c r="I456" s="1" t="s">
        <v>1935</v>
      </c>
      <c r="J456" s="1">
        <v>1318</v>
      </c>
      <c r="K456" s="1">
        <v>-30</v>
      </c>
      <c r="L456" s="1">
        <v>1261</v>
      </c>
      <c r="M456" s="1" t="s">
        <v>71</v>
      </c>
      <c r="N456" s="1">
        <f>((NOT(ISNA(VLOOKUP(M456,Monster!$H$2:$I$6,2,FALSE)))*L456)+J456)*(1+K456/100*0.25)</f>
        <v>2385.5750000000003</v>
      </c>
      <c r="O456" s="1" t="str">
        <f t="shared" si="3"/>
        <v>Dragon - 2385.575</v>
      </c>
      <c r="P456" s="1" t="s">
        <v>583</v>
      </c>
      <c r="Q456" s="1">
        <v>1</v>
      </c>
      <c r="S456" s="1" t="s">
        <v>1936</v>
      </c>
      <c r="T456" s="1" t="s">
        <v>1937</v>
      </c>
      <c r="U456" s="1" t="s">
        <v>1938</v>
      </c>
      <c r="V456" s="1">
        <f t="shared" si="4"/>
        <v>455</v>
      </c>
      <c r="W456" s="1">
        <f t="shared" si="5"/>
        <v>0.4889492051182629</v>
      </c>
    </row>
    <row r="457" spans="1:23" x14ac:dyDescent="0.2">
      <c r="A457" s="1">
        <v>456</v>
      </c>
      <c r="B457" s="1" t="s">
        <v>1939</v>
      </c>
      <c r="C457" s="1" t="s">
        <v>825</v>
      </c>
      <c r="D457" s="1" t="s">
        <v>596</v>
      </c>
      <c r="E457" s="1" t="s">
        <v>1863</v>
      </c>
      <c r="F457" s="1" t="s">
        <v>223</v>
      </c>
      <c r="G457" s="1">
        <f>IF(ISNA(VLOOKUP(F457,Monster!B:E,4,FALSE)),0,VLOOKUP(F457,Monster!B:E,4,FALSE))</f>
        <v>30</v>
      </c>
      <c r="I457" s="1" t="s">
        <v>1940</v>
      </c>
      <c r="J457" s="1">
        <v>1671</v>
      </c>
      <c r="K457" s="1">
        <v>-15</v>
      </c>
      <c r="L457" s="1">
        <v>342</v>
      </c>
      <c r="M457" s="1" t="s">
        <v>79</v>
      </c>
      <c r="N457" s="1">
        <f>((NOT(ISNA(VLOOKUP(M457,Monster!$H$2:$I$6,2,FALSE)))*L457)+J457)*(1+K457/100*0.25)</f>
        <v>1608.3375000000001</v>
      </c>
      <c r="O457" s="1" t="str">
        <f t="shared" si="3"/>
        <v>Poison - 1608.3375</v>
      </c>
      <c r="P457" s="1" t="s">
        <v>364</v>
      </c>
      <c r="Q457" s="1">
        <v>1</v>
      </c>
      <c r="S457" s="1" t="s">
        <v>1941</v>
      </c>
      <c r="T457" s="1" t="s">
        <v>1942</v>
      </c>
      <c r="V457" s="1">
        <f t="shared" si="4"/>
        <v>456</v>
      </c>
      <c r="W457" s="1">
        <f t="shared" si="5"/>
        <v>0.16989567809239942</v>
      </c>
    </row>
    <row r="458" spans="1:23" x14ac:dyDescent="0.2">
      <c r="A458" s="1">
        <v>457</v>
      </c>
      <c r="B458" s="1" t="s">
        <v>1943</v>
      </c>
      <c r="C458" s="1" t="s">
        <v>829</v>
      </c>
      <c r="D458" s="1" t="s">
        <v>596</v>
      </c>
      <c r="E458" s="1" t="s">
        <v>1863</v>
      </c>
      <c r="F458" s="1" t="s">
        <v>229</v>
      </c>
      <c r="G458" s="1">
        <f>IF(ISNA(VLOOKUP(F458,Monster!B:E,4,FALSE)),0,VLOOKUP(F458,Monster!B:E,4,FALSE))</f>
        <v>31</v>
      </c>
      <c r="I458" s="1" t="s">
        <v>1944</v>
      </c>
      <c r="J458" s="1">
        <v>1194</v>
      </c>
      <c r="K458" s="1">
        <v>20</v>
      </c>
      <c r="L458" s="1">
        <v>913</v>
      </c>
      <c r="M458" s="1" t="s">
        <v>58</v>
      </c>
      <c r="N458" s="1">
        <f>((NOT(ISNA(VLOOKUP(M458,Monster!$H$2:$I$6,2,FALSE)))*L458)+J458)*(1+K458/100*0.25)</f>
        <v>2212.35</v>
      </c>
      <c r="O458" s="1" t="str">
        <f t="shared" si="3"/>
        <v>Thunder - 2212.35</v>
      </c>
      <c r="P458" s="1" t="s">
        <v>470</v>
      </c>
      <c r="Q458" s="1">
        <v>1</v>
      </c>
      <c r="S458" s="1" t="s">
        <v>1897</v>
      </c>
      <c r="T458" s="1" t="s">
        <v>1945</v>
      </c>
      <c r="V458" s="1">
        <f t="shared" si="4"/>
        <v>457</v>
      </c>
      <c r="W458" s="1">
        <f t="shared" si="5"/>
        <v>0.43331751305173233</v>
      </c>
    </row>
    <row r="459" spans="1:23" x14ac:dyDescent="0.2">
      <c r="A459" s="1">
        <v>458</v>
      </c>
      <c r="B459" s="1" t="s">
        <v>1946</v>
      </c>
      <c r="C459" s="1" t="s">
        <v>834</v>
      </c>
      <c r="D459" s="1" t="s">
        <v>596</v>
      </c>
      <c r="E459" s="1" t="s">
        <v>1863</v>
      </c>
      <c r="F459" s="1" t="s">
        <v>234</v>
      </c>
      <c r="G459" s="1">
        <f>IF(ISNA(VLOOKUP(F459,Monster!B:E,4,FALSE)),0,VLOOKUP(F459,Monster!B:E,4,FALSE))</f>
        <v>32</v>
      </c>
      <c r="I459" s="1" t="s">
        <v>1946</v>
      </c>
      <c r="J459" s="1">
        <v>1553</v>
      </c>
      <c r="K459" s="1">
        <v>0</v>
      </c>
      <c r="L459" s="1">
        <v>974</v>
      </c>
      <c r="M459" s="1" t="s">
        <v>66</v>
      </c>
      <c r="N459" s="1">
        <f>((NOT(ISNA(VLOOKUP(M459,Monster!$H$2:$I$6,2,FALSE)))*L459)+J459)*(1+K459/100*0.25)</f>
        <v>2527</v>
      </c>
      <c r="O459" s="1" t="str">
        <f t="shared" si="3"/>
        <v>Ice - 2527</v>
      </c>
      <c r="P459" s="1" t="s">
        <v>528</v>
      </c>
      <c r="Q459" s="1">
        <v>2</v>
      </c>
      <c r="R459" s="1" t="s">
        <v>372</v>
      </c>
      <c r="S459" s="1" t="s">
        <v>1947</v>
      </c>
      <c r="T459" s="1" t="s">
        <v>1948</v>
      </c>
      <c r="U459" s="1" t="s">
        <v>1906</v>
      </c>
      <c r="V459" s="1">
        <f t="shared" si="4"/>
        <v>458</v>
      </c>
      <c r="W459" s="1">
        <f t="shared" si="5"/>
        <v>0.38543727740403638</v>
      </c>
    </row>
    <row r="460" spans="1:23" x14ac:dyDescent="0.2">
      <c r="A460" s="1">
        <v>459</v>
      </c>
      <c r="B460" s="1" t="s">
        <v>1949</v>
      </c>
      <c r="C460" s="1" t="s">
        <v>839</v>
      </c>
      <c r="D460" s="1" t="s">
        <v>596</v>
      </c>
      <c r="E460" s="1" t="s">
        <v>1863</v>
      </c>
      <c r="F460" s="1" t="s">
        <v>239</v>
      </c>
      <c r="G460" s="1">
        <f>IF(ISNA(VLOOKUP(F460,Monster!B:E,4,FALSE)),0,VLOOKUP(F460,Monster!B:E,4,FALSE))</f>
        <v>33</v>
      </c>
      <c r="I460" s="1" t="s">
        <v>1950</v>
      </c>
      <c r="J460" s="1">
        <v>1138</v>
      </c>
      <c r="K460" s="1">
        <v>20</v>
      </c>
      <c r="L460" s="1">
        <v>1156</v>
      </c>
      <c r="M460" s="1" t="s">
        <v>50</v>
      </c>
      <c r="N460" s="1">
        <f>((NOT(ISNA(VLOOKUP(M460,Monster!$H$2:$I$6,2,FALSE)))*L460)+J460)*(1+K460/100*0.25)</f>
        <v>2408.7000000000003</v>
      </c>
      <c r="O460" s="1" t="str">
        <f t="shared" si="3"/>
        <v>Water - 2408.7</v>
      </c>
      <c r="P460" s="1" t="s">
        <v>38</v>
      </c>
      <c r="Q460" s="1">
        <v>1</v>
      </c>
      <c r="S460" s="1" t="s">
        <v>1872</v>
      </c>
      <c r="T460" s="1" t="s">
        <v>1951</v>
      </c>
      <c r="U460" s="1" t="s">
        <v>1952</v>
      </c>
      <c r="V460" s="1">
        <f t="shared" si="4"/>
        <v>459</v>
      </c>
      <c r="W460" s="1">
        <f t="shared" si="5"/>
        <v>0.50392327811682647</v>
      </c>
    </row>
    <row r="461" spans="1:23" x14ac:dyDescent="0.2">
      <c r="A461" s="1">
        <v>460</v>
      </c>
      <c r="B461" s="1" t="s">
        <v>1953</v>
      </c>
      <c r="C461" s="1" t="s">
        <v>845</v>
      </c>
      <c r="D461" s="1" t="s">
        <v>596</v>
      </c>
      <c r="E461" s="1" t="s">
        <v>1863</v>
      </c>
      <c r="F461" s="1" t="s">
        <v>245</v>
      </c>
      <c r="G461" s="1">
        <f>IF(ISNA(VLOOKUP(F461,Monster!B:E,4,FALSE)),0,VLOOKUP(F461,Monster!B:E,4,FALSE))</f>
        <v>34</v>
      </c>
      <c r="I461" s="1" t="s">
        <v>1953</v>
      </c>
      <c r="J461" s="1">
        <v>1553</v>
      </c>
      <c r="K461" s="1">
        <v>0</v>
      </c>
      <c r="L461" s="1">
        <v>974</v>
      </c>
      <c r="M461" s="1" t="s">
        <v>41</v>
      </c>
      <c r="N461" s="1">
        <f>((NOT(ISNA(VLOOKUP(M461,Monster!$H$2:$I$6,2,FALSE)))*L461)+J461)*(1+K461/100*0.25)</f>
        <v>2527</v>
      </c>
      <c r="O461" s="1" t="str">
        <f t="shared" si="3"/>
        <v>Fire - 2527</v>
      </c>
      <c r="P461" s="1" t="s">
        <v>364</v>
      </c>
      <c r="Q461" s="1">
        <v>2</v>
      </c>
      <c r="R461" s="1" t="s">
        <v>372</v>
      </c>
      <c r="S461" s="1" t="s">
        <v>1954</v>
      </c>
      <c r="T461" s="1" t="s">
        <v>1955</v>
      </c>
      <c r="U461" s="1" t="s">
        <v>1895</v>
      </c>
      <c r="V461" s="1">
        <f t="shared" si="4"/>
        <v>460</v>
      </c>
      <c r="W461" s="1">
        <f t="shared" si="5"/>
        <v>0.38543727740403638</v>
      </c>
    </row>
    <row r="462" spans="1:23" x14ac:dyDescent="0.2">
      <c r="A462" s="1">
        <v>461</v>
      </c>
      <c r="B462" s="1" t="s">
        <v>1956</v>
      </c>
      <c r="C462" s="1" t="s">
        <v>853</v>
      </c>
      <c r="D462" s="1" t="s">
        <v>596</v>
      </c>
      <c r="E462" s="1" t="s">
        <v>1863</v>
      </c>
      <c r="F462" s="1" t="s">
        <v>256</v>
      </c>
      <c r="G462" s="1">
        <f>IF(ISNA(VLOOKUP(F462,Monster!B:E,4,FALSE)),0,VLOOKUP(F462,Monster!B:E,4,FALSE))</f>
        <v>36</v>
      </c>
      <c r="I462" s="1" t="s">
        <v>1956</v>
      </c>
      <c r="J462" s="1">
        <v>1878</v>
      </c>
      <c r="K462" s="1">
        <v>0</v>
      </c>
      <c r="L462" s="1">
        <v>0</v>
      </c>
      <c r="M462" s="1" t="s">
        <v>107</v>
      </c>
      <c r="N462" s="1">
        <f>((NOT(ISNA(VLOOKUP(M462,Monster!$H$2:$I$6,2,FALSE)))*L462)+J462)*(1+K462/100*0.25)</f>
        <v>1878</v>
      </c>
      <c r="O462" s="1" t="str">
        <f t="shared" si="3"/>
        <v>No Element - 1878</v>
      </c>
      <c r="P462" s="1" t="s">
        <v>463</v>
      </c>
      <c r="Q462" s="1">
        <v>1</v>
      </c>
      <c r="S462" s="1" t="s">
        <v>1957</v>
      </c>
      <c r="T462" s="1" t="s">
        <v>1887</v>
      </c>
      <c r="U462" s="1" t="s">
        <v>1958</v>
      </c>
      <c r="V462" s="1">
        <f t="shared" si="4"/>
        <v>461</v>
      </c>
      <c r="W462" s="1">
        <f t="shared" si="5"/>
        <v>0</v>
      </c>
    </row>
    <row r="463" spans="1:23" x14ac:dyDescent="0.2">
      <c r="A463" s="1">
        <v>462</v>
      </c>
      <c r="B463" s="1" t="s">
        <v>1959</v>
      </c>
      <c r="C463" s="1" t="s">
        <v>857</v>
      </c>
      <c r="D463" s="1" t="s">
        <v>596</v>
      </c>
      <c r="E463" s="1" t="s">
        <v>1863</v>
      </c>
      <c r="F463" s="1" t="s">
        <v>263</v>
      </c>
      <c r="G463" s="1">
        <f>IF(ISNA(VLOOKUP(F463,Monster!B:E,4,FALSE)),0,VLOOKUP(F463,Monster!B:E,4,FALSE))</f>
        <v>37</v>
      </c>
      <c r="I463" s="1" t="s">
        <v>1960</v>
      </c>
      <c r="J463" s="1">
        <v>1318</v>
      </c>
      <c r="K463" s="1">
        <v>-30</v>
      </c>
      <c r="L463" s="1">
        <v>1261</v>
      </c>
      <c r="M463" s="1" t="s">
        <v>58</v>
      </c>
      <c r="N463" s="1">
        <f>((NOT(ISNA(VLOOKUP(M463,Monster!$H$2:$I$6,2,FALSE)))*L463)+J463)*(1+K463/100*0.25)</f>
        <v>2385.5750000000003</v>
      </c>
      <c r="O463" s="1" t="str">
        <f t="shared" si="3"/>
        <v>Thunder - 2385.575</v>
      </c>
      <c r="P463" s="1" t="s">
        <v>463</v>
      </c>
      <c r="Q463" s="1">
        <v>1</v>
      </c>
      <c r="S463" s="1" t="s">
        <v>1961</v>
      </c>
      <c r="T463" s="1" t="s">
        <v>1962</v>
      </c>
      <c r="U463" s="1" t="s">
        <v>1963</v>
      </c>
      <c r="V463" s="1">
        <f t="shared" si="4"/>
        <v>462</v>
      </c>
      <c r="W463" s="1">
        <f t="shared" si="5"/>
        <v>0.4889492051182629</v>
      </c>
    </row>
    <row r="464" spans="1:23" x14ac:dyDescent="0.2">
      <c r="A464" s="1">
        <v>463</v>
      </c>
      <c r="B464" s="1" t="s">
        <v>1964</v>
      </c>
      <c r="C464" s="1" t="s">
        <v>863</v>
      </c>
      <c r="D464" s="1" t="s">
        <v>596</v>
      </c>
      <c r="E464" s="1" t="s">
        <v>1863</v>
      </c>
      <c r="F464" s="1" t="s">
        <v>268</v>
      </c>
      <c r="G464" s="1">
        <f>IF(ISNA(VLOOKUP(F464,Monster!B:E,4,FALSE)),0,VLOOKUP(F464,Monster!B:E,4,FALSE))</f>
        <v>38</v>
      </c>
      <c r="I464" s="1" t="s">
        <v>1964</v>
      </c>
      <c r="J464" s="1">
        <v>1553</v>
      </c>
      <c r="K464" s="1">
        <v>0</v>
      </c>
      <c r="L464" s="1">
        <v>974</v>
      </c>
      <c r="M464" s="1" t="s">
        <v>71</v>
      </c>
      <c r="N464" s="1">
        <f>((NOT(ISNA(VLOOKUP(M464,Monster!$H$2:$I$6,2,FALSE)))*L464)+J464)*(1+K464/100*0.25)</f>
        <v>2527</v>
      </c>
      <c r="O464" s="1" t="str">
        <f t="shared" si="3"/>
        <v>Dragon - 2527</v>
      </c>
      <c r="P464" s="1" t="s">
        <v>463</v>
      </c>
      <c r="Q464" s="1">
        <v>2</v>
      </c>
      <c r="R464" s="1" t="s">
        <v>372</v>
      </c>
      <c r="S464" s="1" t="s">
        <v>1965</v>
      </c>
      <c r="T464" s="1" t="s">
        <v>1966</v>
      </c>
      <c r="U464" s="1" t="s">
        <v>1967</v>
      </c>
      <c r="V464" s="1">
        <f t="shared" si="4"/>
        <v>463</v>
      </c>
      <c r="W464" s="1">
        <f t="shared" si="5"/>
        <v>0.38543727740403638</v>
      </c>
    </row>
    <row r="465" spans="1:23" x14ac:dyDescent="0.2">
      <c r="A465" s="1">
        <v>464</v>
      </c>
      <c r="B465" s="1" t="s">
        <v>1968</v>
      </c>
      <c r="C465" s="1" t="s">
        <v>875</v>
      </c>
      <c r="D465" s="1" t="s">
        <v>596</v>
      </c>
      <c r="E465" s="1" t="s">
        <v>1863</v>
      </c>
      <c r="F465" s="1" t="s">
        <v>293</v>
      </c>
      <c r="G465" s="1">
        <f>IF(ISNA(VLOOKUP(F465,Monster!B:E,4,FALSE)),0,VLOOKUP(F465,Monster!B:E,4,FALSE))</f>
        <v>42</v>
      </c>
      <c r="I465" s="1" t="s">
        <v>1968</v>
      </c>
      <c r="J465" s="1">
        <v>2198</v>
      </c>
      <c r="K465" s="1">
        <v>-40</v>
      </c>
      <c r="L465" s="1">
        <v>0</v>
      </c>
      <c r="M465" s="1" t="s">
        <v>107</v>
      </c>
      <c r="N465" s="1">
        <f>((NOT(ISNA(VLOOKUP(M465,Monster!$H$2:$I$6,2,FALSE)))*L465)+J465)*(1+K465/100*0.25)</f>
        <v>1978.2</v>
      </c>
      <c r="O465" s="1" t="str">
        <f t="shared" si="3"/>
        <v>No Element - 1978.2</v>
      </c>
      <c r="P465" s="1" t="s">
        <v>194</v>
      </c>
      <c r="Q465" s="1">
        <v>1</v>
      </c>
      <c r="S465" s="1" t="s">
        <v>1884</v>
      </c>
      <c r="T465" s="1" t="s">
        <v>1866</v>
      </c>
      <c r="U465" s="1" t="s">
        <v>1876</v>
      </c>
      <c r="V465" s="1">
        <f t="shared" si="4"/>
        <v>464</v>
      </c>
      <c r="W465" s="1">
        <f t="shared" si="5"/>
        <v>0</v>
      </c>
    </row>
    <row r="466" spans="1:23" x14ac:dyDescent="0.2">
      <c r="A466" s="1">
        <v>465</v>
      </c>
      <c r="B466" s="1" t="s">
        <v>1969</v>
      </c>
      <c r="C466" s="1" t="s">
        <v>880</v>
      </c>
      <c r="D466" s="1" t="s">
        <v>596</v>
      </c>
      <c r="E466" s="1" t="s">
        <v>1863</v>
      </c>
      <c r="F466" s="1" t="s">
        <v>298</v>
      </c>
      <c r="G466" s="1">
        <f>IF(ISNA(VLOOKUP(F466,Monster!B:E,4,FALSE)),0,VLOOKUP(F466,Monster!B:E,4,FALSE))</f>
        <v>43</v>
      </c>
      <c r="I466" s="1" t="s">
        <v>1969</v>
      </c>
      <c r="J466" s="1">
        <v>2198</v>
      </c>
      <c r="K466" s="1">
        <v>-10</v>
      </c>
      <c r="L466" s="1">
        <v>0</v>
      </c>
      <c r="M466" s="1" t="s">
        <v>107</v>
      </c>
      <c r="N466" s="1">
        <f>((NOT(ISNA(VLOOKUP(M466,Monster!$H$2:$I$6,2,FALSE)))*L466)+J466)*(1+K466/100*0.25)</f>
        <v>2143.0499999999997</v>
      </c>
      <c r="O466" s="1" t="str">
        <f t="shared" si="3"/>
        <v>No Element - 2143.05</v>
      </c>
      <c r="P466" s="1" t="s">
        <v>70</v>
      </c>
      <c r="Q466" s="1">
        <v>3</v>
      </c>
      <c r="S466" s="1" t="s">
        <v>1877</v>
      </c>
      <c r="T466" s="1" t="s">
        <v>1970</v>
      </c>
      <c r="V466" s="1">
        <f t="shared" si="4"/>
        <v>465</v>
      </c>
      <c r="W466" s="1">
        <f t="shared" si="5"/>
        <v>0</v>
      </c>
    </row>
    <row r="467" spans="1:23" x14ac:dyDescent="0.2">
      <c r="A467" s="1">
        <v>466</v>
      </c>
      <c r="B467" s="1" t="s">
        <v>1971</v>
      </c>
      <c r="C467" s="1" t="s">
        <v>885</v>
      </c>
      <c r="D467" s="1" t="s">
        <v>596</v>
      </c>
      <c r="E467" s="1" t="s">
        <v>1863</v>
      </c>
      <c r="F467" s="1" t="s">
        <v>302</v>
      </c>
      <c r="G467" s="1">
        <f>IF(ISNA(VLOOKUP(F467,Monster!B:E,4,FALSE)),0,VLOOKUP(F467,Monster!B:E,4,FALSE))</f>
        <v>44</v>
      </c>
      <c r="I467" s="1" t="s">
        <v>1971</v>
      </c>
      <c r="J467" s="1">
        <v>1205</v>
      </c>
      <c r="K467" s="1">
        <v>0</v>
      </c>
      <c r="L467" s="1">
        <v>1305</v>
      </c>
      <c r="M467" s="1" t="s">
        <v>58</v>
      </c>
      <c r="N467" s="1">
        <f>((NOT(ISNA(VLOOKUP(M467,Monster!$H$2:$I$6,2,FALSE)))*L467)+J467)*(1+K467/100*0.25)</f>
        <v>2510</v>
      </c>
      <c r="O467" s="1" t="str">
        <f t="shared" si="3"/>
        <v>Thunder - 2510</v>
      </c>
      <c r="P467" s="1" t="s">
        <v>400</v>
      </c>
      <c r="Q467" s="1">
        <v>1</v>
      </c>
      <c r="R467" s="1" t="s">
        <v>372</v>
      </c>
      <c r="S467" s="1" t="s">
        <v>1972</v>
      </c>
      <c r="T467" s="1" t="s">
        <v>1973</v>
      </c>
      <c r="V467" s="1">
        <f t="shared" si="4"/>
        <v>466</v>
      </c>
      <c r="W467" s="1">
        <f t="shared" si="5"/>
        <v>0.51992031872509958</v>
      </c>
    </row>
    <row r="468" spans="1:23" x14ac:dyDescent="0.2">
      <c r="A468" s="1">
        <v>467</v>
      </c>
      <c r="B468" s="1" t="s">
        <v>1974</v>
      </c>
      <c r="C468" s="1" t="s">
        <v>888</v>
      </c>
      <c r="D468" s="1" t="s">
        <v>596</v>
      </c>
      <c r="E468" s="1" t="s">
        <v>1863</v>
      </c>
      <c r="F468" s="1" t="s">
        <v>305</v>
      </c>
      <c r="G468" s="1">
        <f>IF(ISNA(VLOOKUP(F468,Monster!B:E,4,FALSE)),0,VLOOKUP(F468,Monster!B:E,4,FALSE))</f>
        <v>45</v>
      </c>
      <c r="I468" s="1" t="s">
        <v>1974</v>
      </c>
      <c r="J468" s="1">
        <v>1942</v>
      </c>
      <c r="K468" s="1">
        <v>-30</v>
      </c>
      <c r="L468" s="1">
        <v>297</v>
      </c>
      <c r="M468" s="1" t="s">
        <v>100</v>
      </c>
      <c r="N468" s="1">
        <f>((NOT(ISNA(VLOOKUP(M468,Monster!$H$2:$I$6,2,FALSE)))*L468)+J468)*(1+K468/100*0.25)</f>
        <v>1796.3500000000001</v>
      </c>
      <c r="O468" s="1" t="str">
        <f t="shared" si="3"/>
        <v>Blast - 1796.35</v>
      </c>
      <c r="P468" s="1" t="s">
        <v>262</v>
      </c>
      <c r="Q468" s="1">
        <v>2</v>
      </c>
      <c r="S468" s="1" t="s">
        <v>1909</v>
      </c>
      <c r="T468" s="1" t="s">
        <v>1913</v>
      </c>
      <c r="U468" s="1" t="s">
        <v>1975</v>
      </c>
      <c r="V468" s="1">
        <f t="shared" si="4"/>
        <v>467</v>
      </c>
      <c r="W468" s="1">
        <f t="shared" si="5"/>
        <v>0.13264850379633766</v>
      </c>
    </row>
    <row r="469" spans="1:23" x14ac:dyDescent="0.2">
      <c r="A469" s="1">
        <v>468</v>
      </c>
      <c r="B469" s="1" t="s">
        <v>1976</v>
      </c>
      <c r="C469" s="1" t="s">
        <v>900</v>
      </c>
      <c r="D469" s="1" t="s">
        <v>596</v>
      </c>
      <c r="E469" s="1" t="s">
        <v>1863</v>
      </c>
      <c r="F469" s="1" t="s">
        <v>320</v>
      </c>
      <c r="G469" s="1">
        <f>IF(ISNA(VLOOKUP(F469,Monster!B:E,4,FALSE)),0,VLOOKUP(F469,Monster!B:E,4,FALSE))</f>
        <v>48</v>
      </c>
      <c r="I469" s="1" t="s">
        <v>1976</v>
      </c>
      <c r="J469" s="1">
        <v>1318</v>
      </c>
      <c r="K469" s="1">
        <v>-30</v>
      </c>
      <c r="L469" s="1">
        <v>1261</v>
      </c>
      <c r="M469" s="1" t="s">
        <v>41</v>
      </c>
      <c r="N469" s="1">
        <f>((NOT(ISNA(VLOOKUP(M469,Monster!$H$2:$I$6,2,FALSE)))*L469)+J469)*(1+K469/100*0.25)</f>
        <v>2385.5750000000003</v>
      </c>
      <c r="O469" s="1" t="str">
        <f t="shared" si="3"/>
        <v>Fire - 2385.575</v>
      </c>
      <c r="P469" s="1" t="s">
        <v>194</v>
      </c>
      <c r="Q469" s="1">
        <v>1</v>
      </c>
      <c r="S469" s="1" t="s">
        <v>1977</v>
      </c>
      <c r="T469" s="1" t="s">
        <v>1911</v>
      </c>
      <c r="V469" s="1">
        <f t="shared" si="4"/>
        <v>468</v>
      </c>
      <c r="W469" s="1">
        <f t="shared" si="5"/>
        <v>0.4889492051182629</v>
      </c>
    </row>
    <row r="470" spans="1:23" x14ac:dyDescent="0.2">
      <c r="A470" s="1">
        <v>469</v>
      </c>
      <c r="B470" s="1" t="s">
        <v>1978</v>
      </c>
      <c r="C470" s="1" t="s">
        <v>904</v>
      </c>
      <c r="D470" s="1" t="s">
        <v>596</v>
      </c>
      <c r="E470" s="1" t="s">
        <v>1863</v>
      </c>
      <c r="F470" s="1" t="s">
        <v>328</v>
      </c>
      <c r="G470" s="1">
        <f>IF(ISNA(VLOOKUP(F470,Monster!B:E,4,FALSE)),0,VLOOKUP(F470,Monster!B:E,4,FALSE))</f>
        <v>49</v>
      </c>
      <c r="I470" s="1" t="s">
        <v>1978</v>
      </c>
      <c r="J470" s="1">
        <v>2041</v>
      </c>
      <c r="K470" s="1">
        <v>0</v>
      </c>
      <c r="L470" s="1">
        <v>0</v>
      </c>
      <c r="M470" s="1" t="s">
        <v>107</v>
      </c>
      <c r="N470" s="1">
        <f>((NOT(ISNA(VLOOKUP(M470,Monster!$H$2:$I$6,2,FALSE)))*L470)+J470)*(1+K470/100*0.25)</f>
        <v>2041</v>
      </c>
      <c r="O470" s="1" t="str">
        <f t="shared" si="3"/>
        <v>No Element - 2041</v>
      </c>
      <c r="P470" s="1" t="s">
        <v>624</v>
      </c>
      <c r="Q470" s="1">
        <v>2</v>
      </c>
      <c r="R470" s="1" t="s">
        <v>372</v>
      </c>
      <c r="S470" s="1" t="s">
        <v>1979</v>
      </c>
      <c r="T470" s="1" t="s">
        <v>1980</v>
      </c>
      <c r="U470" s="1" t="s">
        <v>1887</v>
      </c>
      <c r="V470" s="1">
        <f t="shared" si="4"/>
        <v>469</v>
      </c>
      <c r="W470" s="1">
        <f t="shared" si="5"/>
        <v>0</v>
      </c>
    </row>
    <row r="471" spans="1:23" x14ac:dyDescent="0.2">
      <c r="A471" s="1">
        <v>470</v>
      </c>
      <c r="B471" s="1" t="s">
        <v>1981</v>
      </c>
      <c r="C471" s="1" t="s">
        <v>913</v>
      </c>
      <c r="D471" s="1" t="s">
        <v>596</v>
      </c>
      <c r="E471" s="1" t="s">
        <v>1863</v>
      </c>
      <c r="F471" s="1" t="s">
        <v>339</v>
      </c>
      <c r="G471" s="1">
        <f>IF(ISNA(VLOOKUP(F471,Monster!B:E,4,FALSE)),0,VLOOKUP(F471,Monster!B:E,4,FALSE))</f>
        <v>51</v>
      </c>
      <c r="I471" s="1" t="s">
        <v>1982</v>
      </c>
      <c r="J471" s="1">
        <v>1764</v>
      </c>
      <c r="K471" s="1">
        <v>0</v>
      </c>
      <c r="L471" s="1">
        <v>0</v>
      </c>
      <c r="M471" s="1" t="s">
        <v>107</v>
      </c>
      <c r="N471" s="1">
        <f>((NOT(ISNA(VLOOKUP(M471,Monster!$H$2:$I$6,2,FALSE)))*L471)+J471)*(1+K471/100*0.25)</f>
        <v>1764</v>
      </c>
      <c r="O471" s="1" t="str">
        <f t="shared" si="3"/>
        <v>No Element - 1764</v>
      </c>
      <c r="P471" s="1" t="s">
        <v>560</v>
      </c>
      <c r="Q471" s="1">
        <v>2</v>
      </c>
      <c r="S471" s="1" t="s">
        <v>1973</v>
      </c>
      <c r="T471" s="1" t="s">
        <v>1884</v>
      </c>
      <c r="V471" s="1">
        <f t="shared" si="4"/>
        <v>470</v>
      </c>
      <c r="W471" s="1">
        <f t="shared" si="5"/>
        <v>0</v>
      </c>
    </row>
    <row r="472" spans="1:23" x14ac:dyDescent="0.2">
      <c r="A472" s="1">
        <v>471</v>
      </c>
      <c r="B472" s="1" t="s">
        <v>1983</v>
      </c>
      <c r="C472" s="1" t="s">
        <v>917</v>
      </c>
      <c r="D472" s="1" t="s">
        <v>596</v>
      </c>
      <c r="E472" s="1" t="s">
        <v>1863</v>
      </c>
      <c r="F472" s="1" t="s">
        <v>343</v>
      </c>
      <c r="G472" s="1">
        <f>IF(ISNA(VLOOKUP(F472,Monster!B:E,4,FALSE)),0,VLOOKUP(F472,Monster!B:E,4,FALSE))</f>
        <v>52</v>
      </c>
      <c r="I472" s="1" t="s">
        <v>1983</v>
      </c>
      <c r="J472" s="1">
        <v>1293</v>
      </c>
      <c r="K472" s="1">
        <v>0</v>
      </c>
      <c r="L472" s="1">
        <v>910</v>
      </c>
      <c r="M472" s="1" t="s">
        <v>66</v>
      </c>
      <c r="N472" s="1">
        <f>((NOT(ISNA(VLOOKUP(M472,Monster!$H$2:$I$6,2,FALSE)))*L472)+J472)*(1+K472/100*0.25)</f>
        <v>2203</v>
      </c>
      <c r="O472" s="1" t="str">
        <f t="shared" si="3"/>
        <v>Ice - 2203</v>
      </c>
      <c r="P472" s="1" t="s">
        <v>648</v>
      </c>
      <c r="Q472" s="1">
        <v>1</v>
      </c>
      <c r="S472" s="1" t="s">
        <v>1904</v>
      </c>
      <c r="T472" s="1" t="s">
        <v>1984</v>
      </c>
      <c r="V472" s="1">
        <f t="shared" si="4"/>
        <v>471</v>
      </c>
      <c r="W472" s="1">
        <f t="shared" si="5"/>
        <v>0.41307308216068994</v>
      </c>
    </row>
    <row r="473" spans="1:23" x14ac:dyDescent="0.2">
      <c r="A473" s="1">
        <v>472</v>
      </c>
      <c r="B473" s="1" t="s">
        <v>1985</v>
      </c>
      <c r="C473" s="1" t="s">
        <v>922</v>
      </c>
      <c r="D473" s="1" t="s">
        <v>596</v>
      </c>
      <c r="E473" s="1" t="s">
        <v>1863</v>
      </c>
      <c r="F473" s="1" t="s">
        <v>349</v>
      </c>
      <c r="G473" s="1">
        <f>IF(ISNA(VLOOKUP(F473,Monster!B:E,4,FALSE)),0,VLOOKUP(F473,Monster!B:E,4,FALSE))</f>
        <v>53</v>
      </c>
      <c r="I473" s="1" t="s">
        <v>1985</v>
      </c>
      <c r="J473" s="1">
        <v>1738</v>
      </c>
      <c r="K473" s="1">
        <v>40</v>
      </c>
      <c r="L473" s="1">
        <v>0</v>
      </c>
      <c r="M473" s="1" t="s">
        <v>107</v>
      </c>
      <c r="N473" s="1">
        <f>((NOT(ISNA(VLOOKUP(M473,Monster!$H$2:$I$6,2,FALSE)))*L473)+J473)*(1+K473/100*0.25)</f>
        <v>1911.8000000000002</v>
      </c>
      <c r="O473" s="1" t="str">
        <f t="shared" si="3"/>
        <v>No Element - 1911.8</v>
      </c>
      <c r="P473" s="1" t="s">
        <v>535</v>
      </c>
      <c r="Q473" s="1">
        <v>2</v>
      </c>
      <c r="S473" s="1" t="s">
        <v>1970</v>
      </c>
      <c r="T473" s="1" t="s">
        <v>1986</v>
      </c>
      <c r="V473" s="1">
        <f t="shared" si="4"/>
        <v>472</v>
      </c>
      <c r="W473" s="1">
        <f t="shared" si="5"/>
        <v>0</v>
      </c>
    </row>
    <row r="474" spans="1:23" x14ac:dyDescent="0.2">
      <c r="A474" s="1">
        <v>473</v>
      </c>
      <c r="B474" s="1" t="s">
        <v>1987</v>
      </c>
      <c r="C474" s="1" t="s">
        <v>926</v>
      </c>
      <c r="D474" s="1" t="s">
        <v>596</v>
      </c>
      <c r="E474" s="1" t="s">
        <v>1863</v>
      </c>
      <c r="F474" s="1" t="s">
        <v>354</v>
      </c>
      <c r="G474" s="1">
        <f>IF(ISNA(VLOOKUP(F474,Monster!B:E,4,FALSE)),0,VLOOKUP(F474,Monster!B:E,4,FALSE))</f>
        <v>54</v>
      </c>
      <c r="I474" s="1" t="s">
        <v>1987</v>
      </c>
      <c r="J474" s="1">
        <v>1328</v>
      </c>
      <c r="K474" s="1">
        <v>20</v>
      </c>
      <c r="L474" s="1">
        <v>1074</v>
      </c>
      <c r="M474" s="1" t="s">
        <v>50</v>
      </c>
      <c r="N474" s="1">
        <f>((NOT(ISNA(VLOOKUP(M474,Monster!$H$2:$I$6,2,FALSE)))*L474)+J474)*(1+K474/100*0.25)</f>
        <v>2522.1</v>
      </c>
      <c r="O474" s="1" t="str">
        <f t="shared" si="3"/>
        <v>Water - 2522.1</v>
      </c>
      <c r="P474" s="1" t="s">
        <v>677</v>
      </c>
      <c r="Q474" s="1">
        <v>1</v>
      </c>
      <c r="R474" s="1" t="s">
        <v>372</v>
      </c>
      <c r="S474" s="1" t="s">
        <v>1988</v>
      </c>
      <c r="T474" s="1" t="s">
        <v>1973</v>
      </c>
      <c r="U474" s="1" t="s">
        <v>1989</v>
      </c>
      <c r="V474" s="1">
        <f t="shared" si="4"/>
        <v>473</v>
      </c>
      <c r="W474" s="1">
        <f t="shared" si="5"/>
        <v>0.44712739383846795</v>
      </c>
    </row>
    <row r="475" spans="1:23" x14ac:dyDescent="0.2">
      <c r="A475" s="1">
        <v>474</v>
      </c>
      <c r="B475" s="1" t="s">
        <v>1990</v>
      </c>
      <c r="C475" s="1" t="s">
        <v>930</v>
      </c>
      <c r="D475" s="1" t="s">
        <v>596</v>
      </c>
      <c r="E475" s="1" t="s">
        <v>1863</v>
      </c>
      <c r="F475" s="1" t="s">
        <v>360</v>
      </c>
      <c r="G475" s="1">
        <f>IF(ISNA(VLOOKUP(F475,Monster!B:E,4,FALSE)),0,VLOOKUP(F475,Monster!B:E,4,FALSE))</f>
        <v>55</v>
      </c>
      <c r="I475" s="1" t="s">
        <v>1991</v>
      </c>
      <c r="J475" s="1">
        <v>1979</v>
      </c>
      <c r="K475" s="1">
        <v>0</v>
      </c>
      <c r="L475" s="1">
        <v>0</v>
      </c>
      <c r="M475" s="1" t="s">
        <v>107</v>
      </c>
      <c r="N475" s="1">
        <f>((NOT(ISNA(VLOOKUP(M475,Monster!$H$2:$I$6,2,FALSE)))*L475)+J475)*(1+K475/100*0.25)</f>
        <v>1979</v>
      </c>
      <c r="O475" s="1" t="str">
        <f t="shared" si="3"/>
        <v>No Element - 1979</v>
      </c>
      <c r="P475" s="1" t="s">
        <v>515</v>
      </c>
      <c r="Q475" s="1">
        <v>1</v>
      </c>
      <c r="S475" s="1" t="s">
        <v>1992</v>
      </c>
      <c r="T475" s="1" t="s">
        <v>1993</v>
      </c>
      <c r="V475" s="1">
        <f t="shared" si="4"/>
        <v>474</v>
      </c>
      <c r="W475" s="1">
        <f t="shared" si="5"/>
        <v>0</v>
      </c>
    </row>
    <row r="476" spans="1:23" x14ac:dyDescent="0.2">
      <c r="A476" s="1">
        <v>475</v>
      </c>
      <c r="B476" s="1" t="s">
        <v>1994</v>
      </c>
      <c r="C476" s="1" t="s">
        <v>934</v>
      </c>
      <c r="D476" s="1" t="s">
        <v>596</v>
      </c>
      <c r="E476" s="1" t="s">
        <v>1863</v>
      </c>
      <c r="F476" s="1" t="s">
        <v>365</v>
      </c>
      <c r="G476" s="1">
        <f>IF(ISNA(VLOOKUP(F476,Monster!B:E,4,FALSE)),0,VLOOKUP(F476,Monster!B:E,4,FALSE))</f>
        <v>56</v>
      </c>
      <c r="I476" s="1" t="s">
        <v>1995</v>
      </c>
      <c r="J476" s="1">
        <v>1020</v>
      </c>
      <c r="K476" s="1">
        <v>0</v>
      </c>
      <c r="L476" s="1">
        <v>1173</v>
      </c>
      <c r="M476" s="1" t="s">
        <v>66</v>
      </c>
      <c r="N476" s="1">
        <f>((NOT(ISNA(VLOOKUP(M476,Monster!$H$2:$I$6,2,FALSE)))*L476)+J476)*(1+K476/100*0.25)</f>
        <v>2193</v>
      </c>
      <c r="O476" s="1" t="str">
        <f t="shared" si="3"/>
        <v>Ice - 2193</v>
      </c>
      <c r="P476" s="1" t="s">
        <v>659</v>
      </c>
      <c r="Q476" s="1">
        <v>1</v>
      </c>
      <c r="S476" s="1" t="s">
        <v>1904</v>
      </c>
      <c r="T476" s="1" t="s">
        <v>1921</v>
      </c>
      <c r="U476" s="1" t="s">
        <v>1996</v>
      </c>
      <c r="V476" s="1">
        <f t="shared" si="4"/>
        <v>475</v>
      </c>
      <c r="W476" s="1">
        <f t="shared" si="5"/>
        <v>0.53488372093023251</v>
      </c>
    </row>
    <row r="477" spans="1:23" x14ac:dyDescent="0.2">
      <c r="A477" s="1">
        <v>476</v>
      </c>
      <c r="B477" s="1" t="s">
        <v>1997</v>
      </c>
      <c r="C477" s="1" t="s">
        <v>939</v>
      </c>
      <c r="D477" s="1" t="s">
        <v>596</v>
      </c>
      <c r="E477" s="1" t="s">
        <v>1863</v>
      </c>
      <c r="F477" s="1" t="s">
        <v>370</v>
      </c>
      <c r="G477" s="1">
        <f>IF(ISNA(VLOOKUP(F477,Monster!B:E,4,FALSE)),0,VLOOKUP(F477,Monster!B:E,4,FALSE))</f>
        <v>57</v>
      </c>
      <c r="I477" s="1" t="s">
        <v>1998</v>
      </c>
      <c r="J477" s="1">
        <v>1197</v>
      </c>
      <c r="K477" s="1">
        <v>20</v>
      </c>
      <c r="L477" s="1">
        <v>1154</v>
      </c>
      <c r="M477" s="1" t="s">
        <v>41</v>
      </c>
      <c r="N477" s="1">
        <f>((NOT(ISNA(VLOOKUP(M477,Monster!$H$2:$I$6,2,FALSE)))*L477)+J477)*(1+K477/100*0.25)</f>
        <v>2468.5500000000002</v>
      </c>
      <c r="O477" s="1" t="str">
        <f t="shared" si="3"/>
        <v>Fire - 2468.55</v>
      </c>
      <c r="P477" s="1" t="s">
        <v>615</v>
      </c>
      <c r="Q477" s="1">
        <v>2</v>
      </c>
      <c r="S477" s="1" t="s">
        <v>1977</v>
      </c>
      <c r="T477" s="1" t="s">
        <v>1973</v>
      </c>
      <c r="U477" s="1" t="s">
        <v>1999</v>
      </c>
      <c r="V477" s="1">
        <f t="shared" si="4"/>
        <v>476</v>
      </c>
      <c r="W477" s="1">
        <f t="shared" si="5"/>
        <v>0.49085495533815399</v>
      </c>
    </row>
    <row r="478" spans="1:23" x14ac:dyDescent="0.2">
      <c r="A478" s="1">
        <v>477</v>
      </c>
      <c r="B478" s="1" t="s">
        <v>2000</v>
      </c>
      <c r="C478" s="1" t="s">
        <v>943</v>
      </c>
      <c r="D478" s="1" t="s">
        <v>596</v>
      </c>
      <c r="E478" s="1" t="s">
        <v>1863</v>
      </c>
      <c r="F478" s="1" t="s">
        <v>374</v>
      </c>
      <c r="G478" s="1">
        <f>IF(ISNA(VLOOKUP(F478,Monster!B:E,4,FALSE)),0,VLOOKUP(F478,Monster!B:E,4,FALSE))</f>
        <v>58</v>
      </c>
      <c r="I478" s="1" t="s">
        <v>2000</v>
      </c>
      <c r="J478" s="1">
        <v>1205</v>
      </c>
      <c r="K478" s="1">
        <v>0</v>
      </c>
      <c r="L478" s="1">
        <v>1305</v>
      </c>
      <c r="M478" s="1" t="s">
        <v>71</v>
      </c>
      <c r="N478" s="1">
        <f>((NOT(ISNA(VLOOKUP(M478,Monster!$H$2:$I$6,2,FALSE)))*L478)+J478)*(1+K478/100*0.25)</f>
        <v>2510</v>
      </c>
      <c r="O478" s="1" t="str">
        <f t="shared" si="3"/>
        <v>Dragon - 2510</v>
      </c>
      <c r="P478" s="1" t="s">
        <v>689</v>
      </c>
      <c r="Q478" s="1">
        <v>1</v>
      </c>
      <c r="R478" s="1" t="s">
        <v>372</v>
      </c>
      <c r="S478" s="1" t="s">
        <v>1965</v>
      </c>
      <c r="T478" s="1" t="s">
        <v>2001</v>
      </c>
      <c r="U478" s="1" t="s">
        <v>1933</v>
      </c>
      <c r="V478" s="1">
        <f t="shared" si="4"/>
        <v>477</v>
      </c>
      <c r="W478" s="1">
        <f t="shared" si="5"/>
        <v>0.51992031872509958</v>
      </c>
    </row>
    <row r="479" spans="1:23" x14ac:dyDescent="0.2">
      <c r="A479" s="1">
        <v>478</v>
      </c>
      <c r="B479" s="1" t="s">
        <v>2002</v>
      </c>
      <c r="C479" s="1" t="s">
        <v>949</v>
      </c>
      <c r="D479" s="1" t="s">
        <v>596</v>
      </c>
      <c r="E479" s="1" t="s">
        <v>1863</v>
      </c>
      <c r="F479" s="1"/>
      <c r="G479" s="1">
        <f>IF(ISNA(VLOOKUP(F479,Monster!B:E,4,FALSE)),0,VLOOKUP(F479,Monster!B:E,4,FALSE))</f>
        <v>0</v>
      </c>
      <c r="I479" s="1" t="s">
        <v>2002</v>
      </c>
      <c r="J479" s="1">
        <v>1596</v>
      </c>
      <c r="K479" s="1">
        <v>0</v>
      </c>
      <c r="L479" s="1">
        <v>0</v>
      </c>
      <c r="M479" s="1" t="s">
        <v>107</v>
      </c>
      <c r="N479" s="1">
        <f>((NOT(ISNA(VLOOKUP(M479,Monster!$H$2:$I$6,2,FALSE)))*L479)+J479)*(1+K479/100*0.25)</f>
        <v>1596</v>
      </c>
      <c r="O479" s="1" t="str">
        <f t="shared" si="3"/>
        <v>No Element - 1596</v>
      </c>
      <c r="P479" s="1" t="s">
        <v>158</v>
      </c>
      <c r="Q479" s="1">
        <v>1</v>
      </c>
      <c r="S479" s="1" t="s">
        <v>1865</v>
      </c>
      <c r="T479" s="1" t="s">
        <v>1917</v>
      </c>
      <c r="V479" s="1">
        <f t="shared" si="4"/>
        <v>478</v>
      </c>
      <c r="W479" s="1">
        <f t="shared" si="5"/>
        <v>0</v>
      </c>
    </row>
    <row r="480" spans="1:23" x14ac:dyDescent="0.2">
      <c r="A480" s="1">
        <v>479</v>
      </c>
      <c r="B480" s="1" t="s">
        <v>2003</v>
      </c>
      <c r="C480" s="1" t="s">
        <v>1152</v>
      </c>
      <c r="D480" s="1" t="s">
        <v>596</v>
      </c>
      <c r="E480" s="1" t="s">
        <v>1863</v>
      </c>
      <c r="F480" s="1" t="s">
        <v>131</v>
      </c>
      <c r="G480" s="1">
        <f>IF(ISNA(VLOOKUP(F480,Monster!B:E,4,FALSE)),0,VLOOKUP(F480,Monster!B:E,4,FALSE))</f>
        <v>14</v>
      </c>
      <c r="I480" s="1" t="s">
        <v>2003</v>
      </c>
      <c r="J480" s="1">
        <v>1221</v>
      </c>
      <c r="K480" s="1">
        <v>0</v>
      </c>
      <c r="L480" s="1">
        <v>1142</v>
      </c>
      <c r="M480" s="1" t="s">
        <v>71</v>
      </c>
      <c r="N480" s="1">
        <f>((NOT(ISNA(VLOOKUP(M480,Monster!$H$2:$I$6,2,FALSE)))*L480)+J480)*(1+K480/100*0.25)</f>
        <v>2363</v>
      </c>
      <c r="O480" s="1" t="str">
        <f t="shared" si="3"/>
        <v>Dragon - 2363</v>
      </c>
      <c r="P480" s="1" t="s">
        <v>583</v>
      </c>
      <c r="Q480" s="1">
        <v>2</v>
      </c>
      <c r="S480" s="1" t="s">
        <v>1936</v>
      </c>
      <c r="T480" s="1" t="s">
        <v>1967</v>
      </c>
      <c r="V480" s="1">
        <f t="shared" si="4"/>
        <v>479</v>
      </c>
      <c r="W480" s="1">
        <f t="shared" si="5"/>
        <v>0.48328396106644095</v>
      </c>
    </row>
    <row r="481" spans="1:23" x14ac:dyDescent="0.2">
      <c r="A481" s="1">
        <v>480</v>
      </c>
      <c r="B481" s="1" t="s">
        <v>2004</v>
      </c>
      <c r="C481" s="1" t="s">
        <v>958</v>
      </c>
      <c r="D481" s="1" t="s">
        <v>596</v>
      </c>
      <c r="E481" s="1" t="s">
        <v>1863</v>
      </c>
      <c r="F481" s="1"/>
      <c r="G481" s="1">
        <f>IF(ISNA(VLOOKUP(F481,Monster!B:E,4,FALSE)),0,VLOOKUP(F481,Monster!B:E,4,FALSE))</f>
        <v>0</v>
      </c>
      <c r="I481" s="1" t="s">
        <v>2005</v>
      </c>
      <c r="J481" s="1">
        <v>1878</v>
      </c>
      <c r="K481" s="1">
        <v>0</v>
      </c>
      <c r="L481" s="1">
        <v>0</v>
      </c>
      <c r="M481" s="1" t="s">
        <v>107</v>
      </c>
      <c r="N481" s="1">
        <f>((NOT(ISNA(VLOOKUP(M481,Monster!$H$2:$I$6,2,FALSE)))*L481)+J481)*(1+K481/100*0.25)</f>
        <v>1878</v>
      </c>
      <c r="O481" s="1" t="str">
        <f t="shared" si="3"/>
        <v>No Element - 1878</v>
      </c>
      <c r="P481" s="1" t="s">
        <v>38</v>
      </c>
      <c r="Q481" s="1">
        <v>1</v>
      </c>
      <c r="S481" s="1" t="s">
        <v>2006</v>
      </c>
      <c r="T481" s="1" t="s">
        <v>1929</v>
      </c>
      <c r="V481" s="1">
        <f t="shared" si="4"/>
        <v>480</v>
      </c>
      <c r="W481" s="1">
        <f t="shared" si="5"/>
        <v>0</v>
      </c>
    </row>
    <row r="482" spans="1:23" x14ac:dyDescent="0.2">
      <c r="A482" s="1">
        <v>481</v>
      </c>
      <c r="B482" s="1" t="s">
        <v>2007</v>
      </c>
      <c r="C482" s="1" t="s">
        <v>34</v>
      </c>
      <c r="D482" s="1" t="s">
        <v>596</v>
      </c>
      <c r="E482" s="1" t="s">
        <v>2008</v>
      </c>
      <c r="F482" s="1"/>
      <c r="G482" s="1">
        <f>IF(ISNA(VLOOKUP(F482,Monster!B:E,4,FALSE)),0,VLOOKUP(F482,Monster!B:E,4,FALSE))</f>
        <v>0</v>
      </c>
      <c r="I482" s="1" t="s">
        <v>2009</v>
      </c>
      <c r="J482" s="1">
        <v>1596</v>
      </c>
      <c r="K482" s="1">
        <v>0</v>
      </c>
      <c r="L482" s="1">
        <v>0</v>
      </c>
      <c r="M482" s="1" t="s">
        <v>107</v>
      </c>
      <c r="N482" s="1">
        <f>((NOT(ISNA(VLOOKUP(M482,Monster!$H$2:$I$6,2,FALSE)))*L482)+J482)*(1+K482/100*0.25)</f>
        <v>1596</v>
      </c>
      <c r="O482" s="1" t="str">
        <f t="shared" si="3"/>
        <v>No Element - 1596</v>
      </c>
      <c r="P482" s="1" t="s">
        <v>410</v>
      </c>
      <c r="Q482" s="1">
        <v>2</v>
      </c>
      <c r="S482" s="1" t="s">
        <v>2010</v>
      </c>
      <c r="T482" s="1" t="s">
        <v>2011</v>
      </c>
      <c r="V482" s="1">
        <f t="shared" si="4"/>
        <v>481</v>
      </c>
      <c r="W482" s="1">
        <f t="shared" si="5"/>
        <v>0</v>
      </c>
    </row>
    <row r="483" spans="1:23" x14ac:dyDescent="0.2">
      <c r="A483" s="1">
        <v>482</v>
      </c>
      <c r="B483" s="1" t="s">
        <v>2012</v>
      </c>
      <c r="C483" s="1" t="s">
        <v>324</v>
      </c>
      <c r="D483" s="1" t="s">
        <v>596</v>
      </c>
      <c r="E483" s="1" t="s">
        <v>2008</v>
      </c>
      <c r="F483" s="1" t="s">
        <v>11</v>
      </c>
      <c r="G483" s="1">
        <f>IF(ISNA(VLOOKUP(F483,Monster!B:E,4,FALSE)),0,VLOOKUP(F483,Monster!B:E,4,FALSE))</f>
        <v>1</v>
      </c>
      <c r="I483" s="1" t="s">
        <v>2013</v>
      </c>
      <c r="J483" s="1">
        <v>1373</v>
      </c>
      <c r="K483" s="1">
        <v>0</v>
      </c>
      <c r="L483" s="1">
        <v>607</v>
      </c>
      <c r="M483" s="1" t="s">
        <v>50</v>
      </c>
      <c r="N483" s="1">
        <f>((NOT(ISNA(VLOOKUP(M483,Monster!$H$2:$I$6,2,FALSE)))*L483)+J483)*(1+K483/100*0.25)</f>
        <v>1980</v>
      </c>
      <c r="O483" s="1" t="str">
        <f t="shared" si="3"/>
        <v>Water - 1980</v>
      </c>
      <c r="P483" s="1" t="s">
        <v>348</v>
      </c>
      <c r="Q483" s="1">
        <v>2</v>
      </c>
      <c r="S483" s="1" t="s">
        <v>2014</v>
      </c>
      <c r="T483" s="1" t="s">
        <v>2015</v>
      </c>
      <c r="U483" s="1" t="s">
        <v>2016</v>
      </c>
      <c r="V483" s="1">
        <f t="shared" si="4"/>
        <v>482</v>
      </c>
      <c r="W483" s="1">
        <f t="shared" si="5"/>
        <v>0.30656565656565654</v>
      </c>
    </row>
    <row r="484" spans="1:23" x14ac:dyDescent="0.2">
      <c r="A484" s="1">
        <v>483</v>
      </c>
      <c r="B484" s="1" t="s">
        <v>2017</v>
      </c>
      <c r="C484" s="1" t="s">
        <v>541</v>
      </c>
      <c r="D484" s="1" t="s">
        <v>596</v>
      </c>
      <c r="E484" s="1" t="s">
        <v>2008</v>
      </c>
      <c r="F484" s="1" t="s">
        <v>52</v>
      </c>
      <c r="G484" s="1">
        <f>IF(ISNA(VLOOKUP(F484,Monster!B:E,4,FALSE)),0,VLOOKUP(F484,Monster!B:E,4,FALSE))</f>
        <v>3</v>
      </c>
      <c r="I484" s="1" t="s">
        <v>2018</v>
      </c>
      <c r="J484" s="1">
        <v>1756</v>
      </c>
      <c r="K484" s="1">
        <v>0</v>
      </c>
      <c r="L484" s="1">
        <v>0</v>
      </c>
      <c r="M484" s="1" t="s">
        <v>107</v>
      </c>
      <c r="N484" s="1">
        <f>((NOT(ISNA(VLOOKUP(M484,Monster!$H$2:$I$6,2,FALSE)))*L484)+J484)*(1+K484/100*0.25)</f>
        <v>1756</v>
      </c>
      <c r="O484" s="1" t="str">
        <f t="shared" si="3"/>
        <v>No Element - 1756</v>
      </c>
      <c r="P484" s="1" t="s">
        <v>590</v>
      </c>
      <c r="Q484" s="1">
        <v>1</v>
      </c>
      <c r="S484" s="1" t="s">
        <v>2019</v>
      </c>
      <c r="T484" s="1" t="s">
        <v>2020</v>
      </c>
      <c r="V484" s="1">
        <f t="shared" si="4"/>
        <v>483</v>
      </c>
      <c r="W484" s="1">
        <f t="shared" si="5"/>
        <v>0</v>
      </c>
    </row>
    <row r="485" spans="1:23" x14ac:dyDescent="0.2">
      <c r="A485" s="1">
        <v>484</v>
      </c>
      <c r="B485" s="1" t="s">
        <v>2021</v>
      </c>
      <c r="C485" s="1" t="s">
        <v>617</v>
      </c>
      <c r="D485" s="1" t="s">
        <v>596</v>
      </c>
      <c r="E485" s="1" t="s">
        <v>2008</v>
      </c>
      <c r="F485" s="1" t="s">
        <v>60</v>
      </c>
      <c r="G485" s="1">
        <f>IF(ISNA(VLOOKUP(F485,Monster!B:E,4,FALSE)),0,VLOOKUP(F485,Monster!B:E,4,FALSE))</f>
        <v>4</v>
      </c>
      <c r="I485" s="1" t="s">
        <v>2021</v>
      </c>
      <c r="J485" s="1">
        <v>1221</v>
      </c>
      <c r="K485" s="1">
        <v>0</v>
      </c>
      <c r="L485" s="1">
        <v>1142</v>
      </c>
      <c r="M485" s="1" t="s">
        <v>50</v>
      </c>
      <c r="N485" s="1">
        <f>((NOT(ISNA(VLOOKUP(M485,Monster!$H$2:$I$6,2,FALSE)))*L485)+J485)*(1+K485/100*0.25)</f>
        <v>2363</v>
      </c>
      <c r="O485" s="1" t="str">
        <f t="shared" si="3"/>
        <v>Water - 2363</v>
      </c>
      <c r="P485" s="1" t="s">
        <v>244</v>
      </c>
      <c r="Q485" s="1">
        <v>1</v>
      </c>
      <c r="S485" s="1" t="s">
        <v>2022</v>
      </c>
      <c r="T485" s="1" t="s">
        <v>2016</v>
      </c>
      <c r="U485" s="1" t="s">
        <v>2023</v>
      </c>
      <c r="V485" s="1">
        <f t="shared" si="4"/>
        <v>484</v>
      </c>
      <c r="W485" s="1">
        <f t="shared" si="5"/>
        <v>0.48328396106644095</v>
      </c>
    </row>
    <row r="486" spans="1:23" x14ac:dyDescent="0.2">
      <c r="A486" s="1">
        <v>485</v>
      </c>
      <c r="B486" s="1" t="s">
        <v>2024</v>
      </c>
      <c r="C486" s="1" t="s">
        <v>729</v>
      </c>
      <c r="D486" s="1" t="s">
        <v>596</v>
      </c>
      <c r="E486" s="1" t="s">
        <v>2008</v>
      </c>
      <c r="F486" s="1" t="s">
        <v>81</v>
      </c>
      <c r="G486" s="1">
        <f>IF(ISNA(VLOOKUP(F486,Monster!B:E,4,FALSE)),0,VLOOKUP(F486,Monster!B:E,4,FALSE))</f>
        <v>7</v>
      </c>
      <c r="I486" s="1" t="s">
        <v>2025</v>
      </c>
      <c r="J486" s="1">
        <v>1293</v>
      </c>
      <c r="K486" s="1">
        <v>0</v>
      </c>
      <c r="L486" s="1">
        <v>910</v>
      </c>
      <c r="M486" s="1" t="s">
        <v>58</v>
      </c>
      <c r="N486" s="1">
        <f>((NOT(ISNA(VLOOKUP(M486,Monster!$H$2:$I$6,2,FALSE)))*L486)+J486)*(1+K486/100*0.25)</f>
        <v>2203</v>
      </c>
      <c r="O486" s="1" t="str">
        <f t="shared" si="3"/>
        <v>Thunder - 2203</v>
      </c>
      <c r="P486" s="1" t="s">
        <v>253</v>
      </c>
      <c r="Q486" s="1">
        <v>1</v>
      </c>
      <c r="S486" s="1" t="s">
        <v>2026</v>
      </c>
      <c r="T486" s="1" t="s">
        <v>2027</v>
      </c>
      <c r="U486" s="1" t="s">
        <v>2028</v>
      </c>
      <c r="V486" s="1">
        <f t="shared" si="4"/>
        <v>485</v>
      </c>
      <c r="W486" s="1">
        <f t="shared" si="5"/>
        <v>0.41307308216068994</v>
      </c>
    </row>
    <row r="487" spans="1:23" x14ac:dyDescent="0.2">
      <c r="A487" s="1">
        <v>486</v>
      </c>
      <c r="B487" s="1" t="s">
        <v>2029</v>
      </c>
      <c r="C487" s="1" t="s">
        <v>740</v>
      </c>
      <c r="D487" s="1" t="s">
        <v>596</v>
      </c>
      <c r="E487" s="1" t="s">
        <v>2008</v>
      </c>
      <c r="F487" s="1" t="s">
        <v>97</v>
      </c>
      <c r="G487" s="1">
        <f>IF(ISNA(VLOOKUP(F487,Monster!B:E,4,FALSE)),0,VLOOKUP(F487,Monster!B:E,4,FALSE))</f>
        <v>9</v>
      </c>
      <c r="I487" s="1" t="s">
        <v>2029</v>
      </c>
      <c r="J487" s="1">
        <v>1979</v>
      </c>
      <c r="K487" s="1">
        <v>0</v>
      </c>
      <c r="L487" s="1">
        <v>0</v>
      </c>
      <c r="M487" s="1" t="s">
        <v>107</v>
      </c>
      <c r="N487" s="1">
        <f>((NOT(ISNA(VLOOKUP(M487,Monster!$H$2:$I$6,2,FALSE)))*L487)+J487)*(1+K487/100*0.25)</f>
        <v>1979</v>
      </c>
      <c r="O487" s="1" t="str">
        <f t="shared" si="3"/>
        <v>No Element - 1979</v>
      </c>
      <c r="P487" s="1" t="s">
        <v>590</v>
      </c>
      <c r="Q487" s="1">
        <v>1</v>
      </c>
      <c r="S487" s="1" t="s">
        <v>2030</v>
      </c>
      <c r="T487" s="1" t="s">
        <v>2031</v>
      </c>
      <c r="U487" s="1" t="s">
        <v>2011</v>
      </c>
      <c r="V487" s="1">
        <f t="shared" si="4"/>
        <v>486</v>
      </c>
      <c r="W487" s="1">
        <f t="shared" si="5"/>
        <v>0</v>
      </c>
    </row>
    <row r="488" spans="1:23" x14ac:dyDescent="0.2">
      <c r="A488" s="1">
        <v>487</v>
      </c>
      <c r="B488" s="1" t="s">
        <v>2032</v>
      </c>
      <c r="C488" s="1" t="s">
        <v>745</v>
      </c>
      <c r="D488" s="1" t="s">
        <v>596</v>
      </c>
      <c r="E488" s="1" t="s">
        <v>2008</v>
      </c>
      <c r="F488" s="1" t="s">
        <v>102</v>
      </c>
      <c r="G488" s="1">
        <f>IF(ISNA(VLOOKUP(F488,Monster!B:E,4,FALSE)),0,VLOOKUP(F488,Monster!B:E,4,FALSE))</f>
        <v>10</v>
      </c>
      <c r="I488" s="1" t="s">
        <v>2033</v>
      </c>
      <c r="J488" s="1">
        <v>1293</v>
      </c>
      <c r="K488" s="1">
        <v>0</v>
      </c>
      <c r="L488" s="1">
        <v>910</v>
      </c>
      <c r="M488" s="1" t="s">
        <v>50</v>
      </c>
      <c r="N488" s="1">
        <f>((NOT(ISNA(VLOOKUP(M488,Monster!$H$2:$I$6,2,FALSE)))*L488)+J488)*(1+K488/100*0.25)</f>
        <v>2203</v>
      </c>
      <c r="O488" s="1" t="str">
        <f t="shared" si="3"/>
        <v>Water - 2203</v>
      </c>
      <c r="P488" s="1" t="s">
        <v>394</v>
      </c>
      <c r="Q488" s="1">
        <v>1</v>
      </c>
      <c r="S488" s="1" t="s">
        <v>2034</v>
      </c>
      <c r="T488" s="1" t="s">
        <v>2035</v>
      </c>
      <c r="V488" s="1">
        <f t="shared" si="4"/>
        <v>487</v>
      </c>
      <c r="W488" s="1">
        <f t="shared" si="5"/>
        <v>0.41307308216068994</v>
      </c>
    </row>
    <row r="489" spans="1:23" x14ac:dyDescent="0.2">
      <c r="A489" s="1">
        <v>488</v>
      </c>
      <c r="B489" s="1" t="s">
        <v>2036</v>
      </c>
      <c r="C489" s="1" t="s">
        <v>750</v>
      </c>
      <c r="D489" s="1" t="s">
        <v>596</v>
      </c>
      <c r="E489" s="1" t="s">
        <v>2008</v>
      </c>
      <c r="F489" s="1" t="s">
        <v>109</v>
      </c>
      <c r="G489" s="1">
        <f>IF(ISNA(VLOOKUP(F489,Monster!B:E,4,FALSE)),0,VLOOKUP(F489,Monster!B:E,4,FALSE))</f>
        <v>11</v>
      </c>
      <c r="I489" s="1" t="s">
        <v>2037</v>
      </c>
      <c r="J489" s="1">
        <v>1293</v>
      </c>
      <c r="K489" s="1">
        <v>0</v>
      </c>
      <c r="L489" s="1">
        <v>910</v>
      </c>
      <c r="M489" s="1" t="s">
        <v>41</v>
      </c>
      <c r="N489" s="1">
        <f>((NOT(ISNA(VLOOKUP(M489,Monster!$H$2:$I$6,2,FALSE)))*L489)+J489)*(1+K489/100*0.25)</f>
        <v>2203</v>
      </c>
      <c r="O489" s="1" t="str">
        <f t="shared" si="3"/>
        <v>Fire - 2203</v>
      </c>
      <c r="P489" s="1" t="s">
        <v>543</v>
      </c>
      <c r="Q489" s="1">
        <v>1</v>
      </c>
      <c r="S489" s="1" t="s">
        <v>2038</v>
      </c>
      <c r="T489" s="1" t="s">
        <v>2039</v>
      </c>
      <c r="V489" s="1">
        <f t="shared" si="4"/>
        <v>488</v>
      </c>
      <c r="W489" s="1">
        <f t="shared" si="5"/>
        <v>0.41307308216068994</v>
      </c>
    </row>
    <row r="490" spans="1:23" x14ac:dyDescent="0.2">
      <c r="A490" s="1">
        <v>489</v>
      </c>
      <c r="B490" s="1" t="s">
        <v>2040</v>
      </c>
      <c r="C490" s="1" t="s">
        <v>756</v>
      </c>
      <c r="D490" s="1" t="s">
        <v>596</v>
      </c>
      <c r="E490" s="1" t="s">
        <v>2008</v>
      </c>
      <c r="F490" s="1" t="s">
        <v>119</v>
      </c>
      <c r="G490" s="1">
        <f>IF(ISNA(VLOOKUP(F490,Monster!B:E,4,FALSE)),0,VLOOKUP(F490,Monster!B:E,4,FALSE))</f>
        <v>12</v>
      </c>
      <c r="I490" s="1" t="s">
        <v>2041</v>
      </c>
      <c r="J490" s="1">
        <v>1203</v>
      </c>
      <c r="K490" s="1">
        <v>-40</v>
      </c>
      <c r="L490" s="1">
        <v>1278</v>
      </c>
      <c r="M490" s="1" t="s">
        <v>58</v>
      </c>
      <c r="N490" s="1">
        <f>((NOT(ISNA(VLOOKUP(M490,Monster!$H$2:$I$6,2,FALSE)))*L490)+J490)*(1+K490/100*0.25)</f>
        <v>2232.9</v>
      </c>
      <c r="O490" s="1" t="str">
        <f t="shared" si="3"/>
        <v>Thunder - 2232.9</v>
      </c>
      <c r="P490" s="1" t="s">
        <v>194</v>
      </c>
      <c r="Q490" s="1">
        <v>1</v>
      </c>
      <c r="S490" s="1" t="s">
        <v>2028</v>
      </c>
      <c r="T490" s="1" t="s">
        <v>2042</v>
      </c>
      <c r="V490" s="1">
        <f t="shared" si="4"/>
        <v>489</v>
      </c>
      <c r="W490" s="1">
        <f t="shared" si="5"/>
        <v>0.51511487303506653</v>
      </c>
    </row>
    <row r="491" spans="1:23" x14ac:dyDescent="0.2">
      <c r="A491" s="1">
        <v>490</v>
      </c>
      <c r="B491" s="1" t="s">
        <v>2043</v>
      </c>
      <c r="C491" s="1" t="s">
        <v>761</v>
      </c>
      <c r="D491" s="1" t="s">
        <v>596</v>
      </c>
      <c r="E491" s="1" t="s">
        <v>2008</v>
      </c>
      <c r="F491" s="1" t="s">
        <v>125</v>
      </c>
      <c r="G491" s="1">
        <f>IF(ISNA(VLOOKUP(F491,Monster!B:E,4,FALSE)),0,VLOOKUP(F491,Monster!B:E,4,FALSE))</f>
        <v>13</v>
      </c>
      <c r="I491" s="1" t="s">
        <v>2044</v>
      </c>
      <c r="J491" s="1">
        <v>1878</v>
      </c>
      <c r="K491" s="1">
        <v>0</v>
      </c>
      <c r="L491" s="1">
        <v>0</v>
      </c>
      <c r="M491" s="1" t="s">
        <v>107</v>
      </c>
      <c r="N491" s="1">
        <f>((NOT(ISNA(VLOOKUP(M491,Monster!$H$2:$I$6,2,FALSE)))*L491)+J491)*(1+K491/100*0.25)</f>
        <v>1878</v>
      </c>
      <c r="O491" s="1" t="str">
        <f t="shared" si="3"/>
        <v>No Element - 1878</v>
      </c>
      <c r="P491" s="1" t="s">
        <v>348</v>
      </c>
      <c r="Q491" s="1">
        <v>2</v>
      </c>
      <c r="S491" s="1" t="s">
        <v>2045</v>
      </c>
      <c r="T491" s="1" t="s">
        <v>2030</v>
      </c>
      <c r="U491" s="1" t="s">
        <v>2046</v>
      </c>
      <c r="V491" s="1">
        <f t="shared" si="4"/>
        <v>490</v>
      </c>
      <c r="W491" s="1">
        <f t="shared" si="5"/>
        <v>0</v>
      </c>
    </row>
    <row r="492" spans="1:23" x14ac:dyDescent="0.2">
      <c r="A492" s="1">
        <v>491</v>
      </c>
      <c r="B492" s="1" t="s">
        <v>2047</v>
      </c>
      <c r="C492" s="1" t="s">
        <v>771</v>
      </c>
      <c r="D492" s="1" t="s">
        <v>596</v>
      </c>
      <c r="E492" s="1" t="s">
        <v>2008</v>
      </c>
      <c r="F492" s="1" t="s">
        <v>137</v>
      </c>
      <c r="G492" s="1">
        <f>IF(ISNA(VLOOKUP(F492,Monster!B:E,4,FALSE)),0,VLOOKUP(F492,Monster!B:E,4,FALSE))</f>
        <v>15</v>
      </c>
      <c r="I492" s="1" t="s">
        <v>2047</v>
      </c>
      <c r="J492" s="1">
        <v>1993</v>
      </c>
      <c r="K492" s="1">
        <v>30</v>
      </c>
      <c r="L492" s="1">
        <v>0</v>
      </c>
      <c r="M492" s="1" t="s">
        <v>107</v>
      </c>
      <c r="N492" s="1">
        <f>((NOT(ISNA(VLOOKUP(M492,Monster!$H$2:$I$6,2,FALSE)))*L492)+J492)*(1+K492/100*0.25)</f>
        <v>2142.4749999999999</v>
      </c>
      <c r="O492" s="1" t="str">
        <f t="shared" si="3"/>
        <v>No Element - 2142.475</v>
      </c>
      <c r="P492" s="1" t="s">
        <v>483</v>
      </c>
      <c r="Q492" s="1">
        <v>2</v>
      </c>
      <c r="S492" s="1" t="s">
        <v>2048</v>
      </c>
      <c r="T492" s="1" t="s">
        <v>2049</v>
      </c>
      <c r="V492" s="1">
        <f t="shared" si="4"/>
        <v>491</v>
      </c>
      <c r="W492" s="1">
        <f t="shared" si="5"/>
        <v>0</v>
      </c>
    </row>
    <row r="493" spans="1:23" x14ac:dyDescent="0.2">
      <c r="A493" s="1">
        <v>492</v>
      </c>
      <c r="B493" s="1" t="s">
        <v>2050</v>
      </c>
      <c r="C493" s="1" t="s">
        <v>775</v>
      </c>
      <c r="D493" s="1" t="s">
        <v>596</v>
      </c>
      <c r="E493" s="1" t="s">
        <v>2008</v>
      </c>
      <c r="F493" s="1" t="s">
        <v>146</v>
      </c>
      <c r="G493" s="1">
        <f>IF(ISNA(VLOOKUP(F493,Monster!B:E,4,FALSE)),0,VLOOKUP(F493,Monster!B:E,4,FALSE))</f>
        <v>16</v>
      </c>
      <c r="I493" s="1" t="s">
        <v>2051</v>
      </c>
      <c r="J493" s="1">
        <v>1221</v>
      </c>
      <c r="K493" s="1">
        <v>0</v>
      </c>
      <c r="L493" s="1">
        <v>1142</v>
      </c>
      <c r="M493" s="1" t="s">
        <v>66</v>
      </c>
      <c r="N493" s="1">
        <f>((NOT(ISNA(VLOOKUP(M493,Monster!$H$2:$I$6,2,FALSE)))*L493)+J493)*(1+K493/100*0.25)</f>
        <v>2363</v>
      </c>
      <c r="O493" s="1" t="str">
        <f t="shared" si="3"/>
        <v>Ice - 2363</v>
      </c>
      <c r="P493" s="1" t="s">
        <v>228</v>
      </c>
      <c r="Q493" s="1">
        <v>2</v>
      </c>
      <c r="S493" s="1" t="s">
        <v>2052</v>
      </c>
      <c r="T493" s="1" t="s">
        <v>2053</v>
      </c>
      <c r="V493" s="1">
        <f t="shared" si="4"/>
        <v>492</v>
      </c>
      <c r="W493" s="1">
        <f t="shared" si="5"/>
        <v>0.48328396106644095</v>
      </c>
    </row>
    <row r="494" spans="1:23" x14ac:dyDescent="0.2">
      <c r="A494" s="1">
        <v>493</v>
      </c>
      <c r="B494" s="1" t="s">
        <v>2054</v>
      </c>
      <c r="C494" s="1" t="s">
        <v>779</v>
      </c>
      <c r="D494" s="1" t="s">
        <v>596</v>
      </c>
      <c r="E494" s="1" t="s">
        <v>2008</v>
      </c>
      <c r="F494" s="1" t="s">
        <v>151</v>
      </c>
      <c r="G494" s="1">
        <f>IF(ISNA(VLOOKUP(F494,Monster!B:E,4,FALSE)),0,VLOOKUP(F494,Monster!B:E,4,FALSE))</f>
        <v>17</v>
      </c>
      <c r="I494" s="1" t="s">
        <v>2054</v>
      </c>
      <c r="J494" s="1">
        <v>1979</v>
      </c>
      <c r="K494" s="1">
        <v>0</v>
      </c>
      <c r="L494" s="1">
        <v>0</v>
      </c>
      <c r="M494" s="1" t="s">
        <v>107</v>
      </c>
      <c r="N494" s="1">
        <f>((NOT(ISNA(VLOOKUP(M494,Monster!$H$2:$I$6,2,FALSE)))*L494)+J494)*(1+K494/100*0.25)</f>
        <v>1979</v>
      </c>
      <c r="O494" s="1" t="str">
        <f t="shared" si="3"/>
        <v>No Element - 1979</v>
      </c>
      <c r="P494" s="1" t="s">
        <v>364</v>
      </c>
      <c r="Q494" s="1">
        <v>1</v>
      </c>
      <c r="S494" s="1" t="s">
        <v>2055</v>
      </c>
      <c r="T494" s="1" t="s">
        <v>2049</v>
      </c>
      <c r="V494" s="1">
        <f t="shared" si="4"/>
        <v>493</v>
      </c>
      <c r="W494" s="1">
        <f t="shared" si="5"/>
        <v>0</v>
      </c>
    </row>
    <row r="495" spans="1:23" x14ac:dyDescent="0.2">
      <c r="A495" s="1">
        <v>494</v>
      </c>
      <c r="B495" s="1" t="s">
        <v>2056</v>
      </c>
      <c r="C495" s="1" t="s">
        <v>782</v>
      </c>
      <c r="D495" s="1" t="s">
        <v>596</v>
      </c>
      <c r="E495" s="1" t="s">
        <v>2008</v>
      </c>
      <c r="F495" s="1" t="s">
        <v>155</v>
      </c>
      <c r="G495" s="1">
        <f>IF(ISNA(VLOOKUP(F495,Monster!B:E,4,FALSE)),0,VLOOKUP(F495,Monster!B:E,4,FALSE))</f>
        <v>18</v>
      </c>
      <c r="I495" s="1" t="s">
        <v>2057</v>
      </c>
      <c r="J495" s="1">
        <v>2218</v>
      </c>
      <c r="K495" s="1">
        <v>-30</v>
      </c>
      <c r="L495" s="1">
        <v>0</v>
      </c>
      <c r="M495" s="1" t="s">
        <v>107</v>
      </c>
      <c r="N495" s="1">
        <f>((NOT(ISNA(VLOOKUP(M495,Monster!$H$2:$I$6,2,FALSE)))*L495)+J495)*(1+K495/100*0.25)</f>
        <v>2051.65</v>
      </c>
      <c r="O495" s="1" t="str">
        <f t="shared" si="3"/>
        <v>No Element - 2051.65</v>
      </c>
      <c r="P495" s="1" t="s">
        <v>463</v>
      </c>
      <c r="Q495" s="1">
        <v>1</v>
      </c>
      <c r="S495" s="1" t="s">
        <v>2058</v>
      </c>
      <c r="T495" s="1" t="s">
        <v>2019</v>
      </c>
      <c r="V495" s="1">
        <f t="shared" si="4"/>
        <v>494</v>
      </c>
      <c r="W495" s="1">
        <f t="shared" si="5"/>
        <v>0</v>
      </c>
    </row>
    <row r="496" spans="1:23" x14ac:dyDescent="0.2">
      <c r="A496" s="1">
        <v>495</v>
      </c>
      <c r="B496" s="1" t="s">
        <v>2059</v>
      </c>
      <c r="C496" s="1" t="s">
        <v>797</v>
      </c>
      <c r="D496" s="1" t="s">
        <v>596</v>
      </c>
      <c r="E496" s="1" t="s">
        <v>2008</v>
      </c>
      <c r="F496" s="1" t="s">
        <v>176</v>
      </c>
      <c r="G496" s="1">
        <f>IF(ISNA(VLOOKUP(F496,Monster!B:E,4,FALSE)),0,VLOOKUP(F496,Monster!B:E,4,FALSE))</f>
        <v>22</v>
      </c>
      <c r="I496" s="1" t="s">
        <v>2060</v>
      </c>
      <c r="J496" s="1">
        <v>1756</v>
      </c>
      <c r="K496" s="1">
        <v>0</v>
      </c>
      <c r="L496" s="1">
        <v>0</v>
      </c>
      <c r="M496" s="1" t="s">
        <v>107</v>
      </c>
      <c r="N496" s="1">
        <f>((NOT(ISNA(VLOOKUP(M496,Monster!$H$2:$I$6,2,FALSE)))*L496)+J496)*(1+K496/100*0.25)</f>
        <v>1756</v>
      </c>
      <c r="O496" s="1" t="str">
        <f t="shared" si="3"/>
        <v>No Element - 1756</v>
      </c>
      <c r="P496" s="1" t="s">
        <v>213</v>
      </c>
      <c r="Q496" s="1">
        <v>2</v>
      </c>
      <c r="S496" s="1" t="s">
        <v>2019</v>
      </c>
      <c r="T496" s="1" t="s">
        <v>2061</v>
      </c>
      <c r="U496" s="1" t="s">
        <v>2062</v>
      </c>
      <c r="V496" s="1">
        <f t="shared" si="4"/>
        <v>495</v>
      </c>
      <c r="W496" s="1">
        <f t="shared" si="5"/>
        <v>0</v>
      </c>
    </row>
    <row r="497" spans="1:23" x14ac:dyDescent="0.2">
      <c r="A497" s="1">
        <v>496</v>
      </c>
      <c r="B497" s="1" t="s">
        <v>2063</v>
      </c>
      <c r="C497" s="1" t="s">
        <v>803</v>
      </c>
      <c r="D497" s="1" t="s">
        <v>596</v>
      </c>
      <c r="E497" s="1" t="s">
        <v>2008</v>
      </c>
      <c r="F497" s="1" t="s">
        <v>190</v>
      </c>
      <c r="G497" s="1">
        <f>IF(ISNA(VLOOKUP(F497,Monster!B:E,4,FALSE)),0,VLOOKUP(F497,Monster!B:E,4,FALSE))</f>
        <v>24</v>
      </c>
      <c r="I497" s="1" t="s">
        <v>2063</v>
      </c>
      <c r="J497" s="1">
        <v>1191</v>
      </c>
      <c r="K497" s="1">
        <v>20</v>
      </c>
      <c r="L497" s="1">
        <v>910</v>
      </c>
      <c r="M497" s="1" t="s">
        <v>66</v>
      </c>
      <c r="N497" s="1">
        <f>((NOT(ISNA(VLOOKUP(M497,Monster!$H$2:$I$6,2,FALSE)))*L497)+J497)*(1+K497/100*0.25)</f>
        <v>2206.0500000000002</v>
      </c>
      <c r="O497" s="1" t="str">
        <f t="shared" si="3"/>
        <v>Ice - 2206.05</v>
      </c>
      <c r="P497" s="1" t="s">
        <v>253</v>
      </c>
      <c r="Q497" s="1">
        <v>1</v>
      </c>
      <c r="S497" s="1" t="s">
        <v>2064</v>
      </c>
      <c r="T497" s="1" t="s">
        <v>2065</v>
      </c>
      <c r="V497" s="1">
        <f t="shared" si="4"/>
        <v>496</v>
      </c>
      <c r="W497" s="1">
        <f t="shared" si="5"/>
        <v>0.43312708234174202</v>
      </c>
    </row>
    <row r="498" spans="1:23" x14ac:dyDescent="0.2">
      <c r="A498" s="1">
        <v>497</v>
      </c>
      <c r="B498" s="1" t="s">
        <v>2066</v>
      </c>
      <c r="C498" s="1" t="s">
        <v>807</v>
      </c>
      <c r="D498" s="1" t="s">
        <v>596</v>
      </c>
      <c r="E498" s="1" t="s">
        <v>2008</v>
      </c>
      <c r="F498" s="1" t="s">
        <v>193</v>
      </c>
      <c r="G498" s="1">
        <f>IF(ISNA(VLOOKUP(F498,Monster!B:E,4,FALSE)),0,VLOOKUP(F498,Monster!B:E,4,FALSE))</f>
        <v>25</v>
      </c>
      <c r="I498" s="1" t="s">
        <v>2067</v>
      </c>
      <c r="J498" s="1">
        <v>1221</v>
      </c>
      <c r="K498" s="1">
        <v>0</v>
      </c>
      <c r="L498" s="1">
        <v>1142</v>
      </c>
      <c r="M498" s="1" t="s">
        <v>58</v>
      </c>
      <c r="N498" s="1">
        <f>((NOT(ISNA(VLOOKUP(M498,Monster!$H$2:$I$6,2,FALSE)))*L498)+J498)*(1+K498/100*0.25)</f>
        <v>2363</v>
      </c>
      <c r="O498" s="1" t="str">
        <f t="shared" si="3"/>
        <v>Thunder - 2363</v>
      </c>
      <c r="P498" s="1" t="s">
        <v>38</v>
      </c>
      <c r="Q498" s="1">
        <v>1</v>
      </c>
      <c r="S498" s="1" t="s">
        <v>2068</v>
      </c>
      <c r="T498" s="1" t="s">
        <v>2027</v>
      </c>
      <c r="V498" s="1">
        <f t="shared" si="4"/>
        <v>497</v>
      </c>
      <c r="W498" s="1">
        <f t="shared" si="5"/>
        <v>0.48328396106644095</v>
      </c>
    </row>
    <row r="499" spans="1:23" x14ac:dyDescent="0.2">
      <c r="A499" s="1">
        <v>498</v>
      </c>
      <c r="B499" s="1" t="s">
        <v>2069</v>
      </c>
      <c r="C499" s="1" t="s">
        <v>810</v>
      </c>
      <c r="D499" s="1" t="s">
        <v>596</v>
      </c>
      <c r="E499" s="1" t="s">
        <v>2008</v>
      </c>
      <c r="F499" s="1" t="s">
        <v>197</v>
      </c>
      <c r="G499" s="1">
        <f>IF(ISNA(VLOOKUP(F499,Monster!B:E,4,FALSE)),0,VLOOKUP(F499,Monster!B:E,4,FALSE))</f>
        <v>26</v>
      </c>
      <c r="I499" s="1" t="s">
        <v>2070</v>
      </c>
      <c r="J499" s="1">
        <v>1588</v>
      </c>
      <c r="K499" s="1">
        <v>0</v>
      </c>
      <c r="L499" s="1">
        <v>632</v>
      </c>
      <c r="M499" s="1" t="s">
        <v>58</v>
      </c>
      <c r="N499" s="1">
        <f>((NOT(ISNA(VLOOKUP(M499,Monster!$H$2:$I$6,2,FALSE)))*L499)+J499)*(1+K499/100*0.25)</f>
        <v>2220</v>
      </c>
      <c r="O499" s="1" t="str">
        <f t="shared" si="3"/>
        <v>Thunder - 2220</v>
      </c>
      <c r="P499" s="1" t="s">
        <v>412</v>
      </c>
      <c r="Q499" s="1">
        <v>1</v>
      </c>
      <c r="S499" s="1" t="s">
        <v>2071</v>
      </c>
      <c r="T499" s="1" t="s">
        <v>2042</v>
      </c>
      <c r="V499" s="1">
        <f t="shared" si="4"/>
        <v>498</v>
      </c>
      <c r="W499" s="1">
        <f t="shared" si="5"/>
        <v>0.28468468468468466</v>
      </c>
    </row>
    <row r="500" spans="1:23" x14ac:dyDescent="0.2">
      <c r="A500" s="1">
        <v>499</v>
      </c>
      <c r="B500" s="1" t="s">
        <v>2072</v>
      </c>
      <c r="C500" s="1" t="s">
        <v>821</v>
      </c>
      <c r="D500" s="1" t="s">
        <v>596</v>
      </c>
      <c r="E500" s="1" t="s">
        <v>2008</v>
      </c>
      <c r="F500" s="1" t="s">
        <v>216</v>
      </c>
      <c r="G500" s="1">
        <f>IF(ISNA(VLOOKUP(F500,Monster!B:E,4,FALSE)),0,VLOOKUP(F500,Monster!B:E,4,FALSE))</f>
        <v>29</v>
      </c>
      <c r="I500" s="1" t="s">
        <v>2073</v>
      </c>
      <c r="J500" s="1">
        <v>1318</v>
      </c>
      <c r="K500" s="1">
        <v>-30</v>
      </c>
      <c r="L500" s="1">
        <v>1261</v>
      </c>
      <c r="M500" s="1" t="s">
        <v>71</v>
      </c>
      <c r="N500" s="1">
        <f>((NOT(ISNA(VLOOKUP(M500,Monster!$H$2:$I$6,2,FALSE)))*L500)+J500)*(1+K500/100*0.25)</f>
        <v>2385.5750000000003</v>
      </c>
      <c r="O500" s="1" t="str">
        <f t="shared" si="3"/>
        <v>Dragon - 2385.575</v>
      </c>
      <c r="P500" s="1" t="s">
        <v>221</v>
      </c>
      <c r="Q500" s="1">
        <v>1</v>
      </c>
      <c r="S500" s="1" t="s">
        <v>2074</v>
      </c>
      <c r="T500" s="1" t="s">
        <v>2075</v>
      </c>
      <c r="U500" s="1" t="s">
        <v>2076</v>
      </c>
      <c r="V500" s="1">
        <f t="shared" si="4"/>
        <v>499</v>
      </c>
      <c r="W500" s="1">
        <f t="shared" si="5"/>
        <v>0.4889492051182629</v>
      </c>
    </row>
    <row r="501" spans="1:23" x14ac:dyDescent="0.2">
      <c r="A501" s="1">
        <v>500</v>
      </c>
      <c r="B501" s="1" t="s">
        <v>2077</v>
      </c>
      <c r="C501" s="1" t="s">
        <v>825</v>
      </c>
      <c r="D501" s="1" t="s">
        <v>596</v>
      </c>
      <c r="E501" s="1" t="s">
        <v>2008</v>
      </c>
      <c r="F501" s="1" t="s">
        <v>223</v>
      </c>
      <c r="G501" s="1">
        <f>IF(ISNA(VLOOKUP(F501,Monster!B:E,4,FALSE)),0,VLOOKUP(F501,Monster!B:E,4,FALSE))</f>
        <v>30</v>
      </c>
      <c r="I501" s="1" t="s">
        <v>2078</v>
      </c>
      <c r="J501" s="1">
        <v>1666</v>
      </c>
      <c r="K501" s="1">
        <v>-15</v>
      </c>
      <c r="L501" s="1">
        <v>527</v>
      </c>
      <c r="M501" s="1" t="s">
        <v>41</v>
      </c>
      <c r="N501" s="1">
        <f>((NOT(ISNA(VLOOKUP(M501,Monster!$H$2:$I$6,2,FALSE)))*L501)+J501)*(1+K501/100*0.25)</f>
        <v>2110.7625000000003</v>
      </c>
      <c r="O501" s="1" t="str">
        <f t="shared" si="3"/>
        <v>Fire - 2110.7625</v>
      </c>
      <c r="P501" s="1" t="s">
        <v>364</v>
      </c>
      <c r="Q501" s="1">
        <v>1</v>
      </c>
      <c r="S501" s="1" t="s">
        <v>2079</v>
      </c>
      <c r="T501" s="1" t="s">
        <v>2080</v>
      </c>
      <c r="U501" s="1" t="s">
        <v>2081</v>
      </c>
      <c r="V501" s="1">
        <f t="shared" si="4"/>
        <v>500</v>
      </c>
      <c r="W501" s="1">
        <f t="shared" si="5"/>
        <v>0.24031007751937986</v>
      </c>
    </row>
    <row r="502" spans="1:23" x14ac:dyDescent="0.2">
      <c r="A502" s="1">
        <v>501</v>
      </c>
      <c r="B502" s="1" t="s">
        <v>2082</v>
      </c>
      <c r="C502" s="1" t="s">
        <v>834</v>
      </c>
      <c r="D502" s="1" t="s">
        <v>596</v>
      </c>
      <c r="E502" s="1" t="s">
        <v>2008</v>
      </c>
      <c r="F502" s="1" t="s">
        <v>234</v>
      </c>
      <c r="G502" s="1">
        <f>IF(ISNA(VLOOKUP(F502,Monster!B:E,4,FALSE)),0,VLOOKUP(F502,Monster!B:E,4,FALSE))</f>
        <v>32</v>
      </c>
      <c r="I502" s="1" t="s">
        <v>2082</v>
      </c>
      <c r="J502" s="1">
        <v>1553</v>
      </c>
      <c r="K502" s="1">
        <v>0</v>
      </c>
      <c r="L502" s="1">
        <v>974</v>
      </c>
      <c r="M502" s="1" t="s">
        <v>66</v>
      </c>
      <c r="N502" s="1">
        <f>((NOT(ISNA(VLOOKUP(M502,Monster!$H$2:$I$6,2,FALSE)))*L502)+J502)*(1+K502/100*0.25)</f>
        <v>2527</v>
      </c>
      <c r="O502" s="1" t="str">
        <f t="shared" si="3"/>
        <v>Ice - 2527</v>
      </c>
      <c r="P502" s="1" t="s">
        <v>528</v>
      </c>
      <c r="Q502" s="1">
        <v>2</v>
      </c>
      <c r="R502" s="1" t="s">
        <v>372</v>
      </c>
      <c r="S502" s="1" t="s">
        <v>2083</v>
      </c>
      <c r="T502" s="1" t="s">
        <v>2084</v>
      </c>
      <c r="U502" s="1" t="s">
        <v>2085</v>
      </c>
      <c r="V502" s="1">
        <f t="shared" si="4"/>
        <v>501</v>
      </c>
      <c r="W502" s="1">
        <f t="shared" si="5"/>
        <v>0.38543727740403638</v>
      </c>
    </row>
    <row r="503" spans="1:23" x14ac:dyDescent="0.2">
      <c r="A503" s="1">
        <v>502</v>
      </c>
      <c r="B503" s="1" t="s">
        <v>2086</v>
      </c>
      <c r="C503" s="1" t="s">
        <v>839</v>
      </c>
      <c r="D503" s="1" t="s">
        <v>596</v>
      </c>
      <c r="E503" s="1" t="s">
        <v>2008</v>
      </c>
      <c r="F503" s="1" t="s">
        <v>239</v>
      </c>
      <c r="G503" s="1">
        <f>IF(ISNA(VLOOKUP(F503,Monster!B:E,4,FALSE)),0,VLOOKUP(F503,Monster!B:E,4,FALSE))</f>
        <v>33</v>
      </c>
      <c r="I503" s="1" t="s">
        <v>2087</v>
      </c>
      <c r="J503" s="1">
        <v>1138</v>
      </c>
      <c r="K503" s="1">
        <v>20</v>
      </c>
      <c r="L503" s="1">
        <v>1156</v>
      </c>
      <c r="M503" s="1" t="s">
        <v>50</v>
      </c>
      <c r="N503" s="1">
        <f>((NOT(ISNA(VLOOKUP(M503,Monster!$H$2:$I$6,2,FALSE)))*L503)+J503)*(1+K503/100*0.25)</f>
        <v>2408.7000000000003</v>
      </c>
      <c r="O503" s="1" t="str">
        <f t="shared" si="3"/>
        <v>Water - 2408.7</v>
      </c>
      <c r="P503" s="1" t="s">
        <v>38</v>
      </c>
      <c r="Q503" s="1">
        <v>1</v>
      </c>
      <c r="S503" s="1" t="s">
        <v>2022</v>
      </c>
      <c r="T503" s="1" t="s">
        <v>2088</v>
      </c>
      <c r="V503" s="1">
        <f t="shared" si="4"/>
        <v>502</v>
      </c>
      <c r="W503" s="1">
        <f t="shared" si="5"/>
        <v>0.50392327811682647</v>
      </c>
    </row>
    <row r="504" spans="1:23" x14ac:dyDescent="0.2">
      <c r="A504" s="1">
        <v>503</v>
      </c>
      <c r="B504" s="1" t="s">
        <v>2089</v>
      </c>
      <c r="C504" s="1" t="s">
        <v>845</v>
      </c>
      <c r="D504" s="1" t="s">
        <v>596</v>
      </c>
      <c r="E504" s="1" t="s">
        <v>2008</v>
      </c>
      <c r="F504" s="1" t="s">
        <v>245</v>
      </c>
      <c r="G504" s="1">
        <f>IF(ISNA(VLOOKUP(F504,Monster!B:E,4,FALSE)),0,VLOOKUP(F504,Monster!B:E,4,FALSE))</f>
        <v>34</v>
      </c>
      <c r="I504" s="1" t="s">
        <v>2089</v>
      </c>
      <c r="J504" s="1">
        <v>1553</v>
      </c>
      <c r="K504" s="1">
        <v>0</v>
      </c>
      <c r="L504" s="1">
        <v>974</v>
      </c>
      <c r="M504" s="1" t="s">
        <v>41</v>
      </c>
      <c r="N504" s="1">
        <f>((NOT(ISNA(VLOOKUP(M504,Monster!$H$2:$I$6,2,FALSE)))*L504)+J504)*(1+K504/100*0.25)</f>
        <v>2527</v>
      </c>
      <c r="O504" s="1" t="str">
        <f t="shared" si="3"/>
        <v>Fire - 2527</v>
      </c>
      <c r="P504" s="1" t="s">
        <v>364</v>
      </c>
      <c r="Q504" s="1">
        <v>2</v>
      </c>
      <c r="R504" s="1" t="s">
        <v>372</v>
      </c>
      <c r="S504" s="1" t="s">
        <v>2090</v>
      </c>
      <c r="T504" s="1" t="s">
        <v>2091</v>
      </c>
      <c r="U504" s="1" t="s">
        <v>2092</v>
      </c>
      <c r="V504" s="1">
        <f t="shared" si="4"/>
        <v>503</v>
      </c>
      <c r="W504" s="1">
        <f t="shared" si="5"/>
        <v>0.38543727740403638</v>
      </c>
    </row>
    <row r="505" spans="1:23" x14ac:dyDescent="0.2">
      <c r="A505" s="1">
        <v>504</v>
      </c>
      <c r="B505" s="1" t="s">
        <v>2093</v>
      </c>
      <c r="C505" s="1" t="s">
        <v>853</v>
      </c>
      <c r="D505" s="1" t="s">
        <v>596</v>
      </c>
      <c r="E505" s="1" t="s">
        <v>2008</v>
      </c>
      <c r="F505" s="1" t="s">
        <v>256</v>
      </c>
      <c r="G505" s="1">
        <f>IF(ISNA(VLOOKUP(F505,Monster!B:E,4,FALSE)),0,VLOOKUP(F505,Monster!B:E,4,FALSE))</f>
        <v>36</v>
      </c>
      <c r="I505" s="1" t="s">
        <v>2093</v>
      </c>
      <c r="J505" s="1">
        <v>1878</v>
      </c>
      <c r="K505" s="1">
        <v>0</v>
      </c>
      <c r="L505" s="1">
        <v>0</v>
      </c>
      <c r="M505" s="1" t="s">
        <v>107</v>
      </c>
      <c r="N505" s="1">
        <f>((NOT(ISNA(VLOOKUP(M505,Monster!$H$2:$I$6,2,FALSE)))*L505)+J505)*(1+K505/100*0.25)</f>
        <v>1878</v>
      </c>
      <c r="O505" s="1" t="str">
        <f t="shared" si="3"/>
        <v>No Element - 1878</v>
      </c>
      <c r="P505" s="1" t="s">
        <v>463</v>
      </c>
      <c r="Q505" s="1">
        <v>1</v>
      </c>
      <c r="S505" s="1" t="s">
        <v>2094</v>
      </c>
      <c r="T505" s="1" t="s">
        <v>2095</v>
      </c>
      <c r="U505" s="1" t="s">
        <v>2096</v>
      </c>
      <c r="V505" s="1">
        <f t="shared" si="4"/>
        <v>504</v>
      </c>
      <c r="W505" s="1">
        <f t="shared" si="5"/>
        <v>0</v>
      </c>
    </row>
    <row r="506" spans="1:23" x14ac:dyDescent="0.2">
      <c r="A506" s="1">
        <v>505</v>
      </c>
      <c r="B506" s="1" t="s">
        <v>2097</v>
      </c>
      <c r="C506" s="1" t="s">
        <v>857</v>
      </c>
      <c r="D506" s="1" t="s">
        <v>596</v>
      </c>
      <c r="E506" s="1" t="s">
        <v>2008</v>
      </c>
      <c r="F506" s="1" t="s">
        <v>263</v>
      </c>
      <c r="G506" s="1">
        <f>IF(ISNA(VLOOKUP(F506,Monster!B:E,4,FALSE)),0,VLOOKUP(F506,Monster!B:E,4,FALSE))</f>
        <v>37</v>
      </c>
      <c r="I506" s="1" t="s">
        <v>2098</v>
      </c>
      <c r="J506" s="1">
        <v>1318</v>
      </c>
      <c r="K506" s="1">
        <v>-30</v>
      </c>
      <c r="L506" s="1">
        <v>1261</v>
      </c>
      <c r="M506" s="1" t="s">
        <v>58</v>
      </c>
      <c r="N506" s="1">
        <f>((NOT(ISNA(VLOOKUP(M506,Monster!$H$2:$I$6,2,FALSE)))*L506)+J506)*(1+K506/100*0.25)</f>
        <v>2385.5750000000003</v>
      </c>
      <c r="O506" s="1" t="str">
        <f t="shared" si="3"/>
        <v>Thunder - 2385.575</v>
      </c>
      <c r="P506" s="1" t="s">
        <v>463</v>
      </c>
      <c r="Q506" s="1">
        <v>1</v>
      </c>
      <c r="S506" s="1" t="s">
        <v>2099</v>
      </c>
      <c r="T506" s="1" t="s">
        <v>2100</v>
      </c>
      <c r="V506" s="1">
        <f t="shared" si="4"/>
        <v>505</v>
      </c>
      <c r="W506" s="1">
        <f t="shared" si="5"/>
        <v>0.4889492051182629</v>
      </c>
    </row>
    <row r="507" spans="1:23" x14ac:dyDescent="0.2">
      <c r="A507" s="1">
        <v>506</v>
      </c>
      <c r="B507" s="1" t="s">
        <v>2101</v>
      </c>
      <c r="C507" s="1" t="s">
        <v>863</v>
      </c>
      <c r="D507" s="1" t="s">
        <v>596</v>
      </c>
      <c r="E507" s="1" t="s">
        <v>2008</v>
      </c>
      <c r="F507" s="1" t="s">
        <v>268</v>
      </c>
      <c r="G507" s="1">
        <f>IF(ISNA(VLOOKUP(F507,Monster!B:E,4,FALSE)),0,VLOOKUP(F507,Monster!B:E,4,FALSE))</f>
        <v>38</v>
      </c>
      <c r="I507" s="1" t="s">
        <v>2101</v>
      </c>
      <c r="J507" s="1">
        <v>1553</v>
      </c>
      <c r="K507" s="1">
        <v>0</v>
      </c>
      <c r="L507" s="1">
        <v>974</v>
      </c>
      <c r="M507" s="1" t="s">
        <v>71</v>
      </c>
      <c r="N507" s="1">
        <f>((NOT(ISNA(VLOOKUP(M507,Monster!$H$2:$I$6,2,FALSE)))*L507)+J507)*(1+K507/100*0.25)</f>
        <v>2527</v>
      </c>
      <c r="O507" s="1" t="str">
        <f t="shared" si="3"/>
        <v>Dragon - 2527</v>
      </c>
      <c r="P507" s="1" t="s">
        <v>463</v>
      </c>
      <c r="Q507" s="1">
        <v>2</v>
      </c>
      <c r="R507" s="1" t="s">
        <v>372</v>
      </c>
      <c r="S507" s="1" t="s">
        <v>2074</v>
      </c>
      <c r="T507" s="1" t="s">
        <v>2076</v>
      </c>
      <c r="V507" s="1">
        <f t="shared" si="4"/>
        <v>506</v>
      </c>
      <c r="W507" s="1">
        <f t="shared" si="5"/>
        <v>0.38543727740403638</v>
      </c>
    </row>
    <row r="508" spans="1:23" x14ac:dyDescent="0.2">
      <c r="A508" s="1">
        <v>507</v>
      </c>
      <c r="B508" s="1" t="s">
        <v>2102</v>
      </c>
      <c r="C508" s="1" t="s">
        <v>866</v>
      </c>
      <c r="D508" s="1" t="s">
        <v>596</v>
      </c>
      <c r="E508" s="1" t="s">
        <v>2008</v>
      </c>
      <c r="F508" s="1" t="s">
        <v>273</v>
      </c>
      <c r="G508" s="1">
        <f>IF(ISNA(VLOOKUP(F508,Monster!B:E,4,FALSE)),0,VLOOKUP(F508,Monster!B:E,4,FALSE))</f>
        <v>39</v>
      </c>
      <c r="I508" s="1" t="s">
        <v>2103</v>
      </c>
      <c r="J508" s="1">
        <v>1588</v>
      </c>
      <c r="K508" s="1">
        <v>0</v>
      </c>
      <c r="L508" s="1">
        <v>632</v>
      </c>
      <c r="M508" s="1" t="s">
        <v>66</v>
      </c>
      <c r="N508" s="1">
        <f>((NOT(ISNA(VLOOKUP(M508,Monster!$H$2:$I$6,2,FALSE)))*L508)+J508)*(1+K508/100*0.25)</f>
        <v>2220</v>
      </c>
      <c r="O508" s="1" t="str">
        <f t="shared" si="3"/>
        <v>Ice - 2220</v>
      </c>
      <c r="P508" s="1" t="s">
        <v>329</v>
      </c>
      <c r="Q508" s="1">
        <v>1</v>
      </c>
      <c r="S508" s="1" t="s">
        <v>2104</v>
      </c>
      <c r="T508" s="1" t="s">
        <v>2064</v>
      </c>
      <c r="V508" s="1">
        <f t="shared" si="4"/>
        <v>507</v>
      </c>
      <c r="W508" s="1">
        <f t="shared" si="5"/>
        <v>0.28468468468468466</v>
      </c>
    </row>
    <row r="509" spans="1:23" x14ac:dyDescent="0.2">
      <c r="A509" s="1">
        <v>508</v>
      </c>
      <c r="B509" s="1" t="s">
        <v>2105</v>
      </c>
      <c r="C509" s="1" t="s">
        <v>869</v>
      </c>
      <c r="D509" s="1" t="s">
        <v>596</v>
      </c>
      <c r="E509" s="1" t="s">
        <v>2008</v>
      </c>
      <c r="F509" s="1" t="s">
        <v>278</v>
      </c>
      <c r="G509" s="1">
        <f>IF(ISNA(VLOOKUP(F509,Monster!B:E,4,FALSE)),0,VLOOKUP(F509,Monster!B:E,4,FALSE))</f>
        <v>40</v>
      </c>
      <c r="I509" s="1" t="s">
        <v>2106</v>
      </c>
      <c r="J509" s="1">
        <v>1878</v>
      </c>
      <c r="K509" s="1">
        <v>0</v>
      </c>
      <c r="L509" s="1">
        <v>0</v>
      </c>
      <c r="M509" s="1" t="s">
        <v>107</v>
      </c>
      <c r="N509" s="1">
        <f>((NOT(ISNA(VLOOKUP(M509,Monster!$H$2:$I$6,2,FALSE)))*L509)+J509)*(1+K509/100*0.25)</f>
        <v>1878</v>
      </c>
      <c r="O509" s="1" t="str">
        <f t="shared" si="3"/>
        <v>No Element - 1878</v>
      </c>
      <c r="P509" s="1" t="s">
        <v>253</v>
      </c>
      <c r="Q509" s="1">
        <v>1</v>
      </c>
      <c r="S509" s="1" t="s">
        <v>2107</v>
      </c>
      <c r="T509" s="1" t="s">
        <v>2030</v>
      </c>
      <c r="V509" s="1">
        <f t="shared" si="4"/>
        <v>508</v>
      </c>
      <c r="W509" s="1">
        <f t="shared" si="5"/>
        <v>0</v>
      </c>
    </row>
    <row r="510" spans="1:23" x14ac:dyDescent="0.2">
      <c r="A510" s="1">
        <v>509</v>
      </c>
      <c r="B510" s="1" t="s">
        <v>2108</v>
      </c>
      <c r="C510" s="1" t="s">
        <v>875</v>
      </c>
      <c r="D510" s="1" t="s">
        <v>596</v>
      </c>
      <c r="E510" s="1" t="s">
        <v>2008</v>
      </c>
      <c r="F510" s="1" t="s">
        <v>293</v>
      </c>
      <c r="G510" s="1">
        <f>IF(ISNA(VLOOKUP(F510,Monster!B:E,4,FALSE)),0,VLOOKUP(F510,Monster!B:E,4,FALSE))</f>
        <v>42</v>
      </c>
      <c r="I510" s="1" t="s">
        <v>2109</v>
      </c>
      <c r="J510" s="1">
        <v>2198</v>
      </c>
      <c r="K510" s="1">
        <v>-40</v>
      </c>
      <c r="L510" s="1">
        <v>0</v>
      </c>
      <c r="M510" s="1" t="s">
        <v>107</v>
      </c>
      <c r="N510" s="1">
        <f>((NOT(ISNA(VLOOKUP(M510,Monster!$H$2:$I$6,2,FALSE)))*L510)+J510)*(1+K510/100*0.25)</f>
        <v>1978.2</v>
      </c>
      <c r="O510" s="1" t="str">
        <f t="shared" si="3"/>
        <v>No Element - 1978.2</v>
      </c>
      <c r="P510" s="1" t="s">
        <v>194</v>
      </c>
      <c r="Q510" s="1">
        <v>1</v>
      </c>
      <c r="S510" s="1" t="s">
        <v>2094</v>
      </c>
      <c r="T510" s="1" t="s">
        <v>2110</v>
      </c>
      <c r="V510" s="1">
        <f t="shared" si="4"/>
        <v>509</v>
      </c>
      <c r="W510" s="1">
        <f t="shared" si="5"/>
        <v>0</v>
      </c>
    </row>
    <row r="511" spans="1:23" x14ac:dyDescent="0.2">
      <c r="A511" s="1">
        <v>510</v>
      </c>
      <c r="B511" s="1" t="s">
        <v>2111</v>
      </c>
      <c r="C511" s="1" t="s">
        <v>880</v>
      </c>
      <c r="D511" s="1" t="s">
        <v>596</v>
      </c>
      <c r="E511" s="1" t="s">
        <v>2008</v>
      </c>
      <c r="F511" s="1" t="s">
        <v>298</v>
      </c>
      <c r="G511" s="1">
        <f>IF(ISNA(VLOOKUP(F511,Monster!B:E,4,FALSE)),0,VLOOKUP(F511,Monster!B:E,4,FALSE))</f>
        <v>43</v>
      </c>
      <c r="I511" s="1" t="s">
        <v>2111</v>
      </c>
      <c r="J511" s="1">
        <v>2198</v>
      </c>
      <c r="K511" s="1">
        <v>-10</v>
      </c>
      <c r="L511" s="1">
        <v>0</v>
      </c>
      <c r="M511" s="1" t="s">
        <v>107</v>
      </c>
      <c r="N511" s="1">
        <f>((NOT(ISNA(VLOOKUP(M511,Monster!$H$2:$I$6,2,FALSE)))*L511)+J511)*(1+K511/100*0.25)</f>
        <v>2143.0499999999997</v>
      </c>
      <c r="O511" s="1" t="str">
        <f t="shared" si="3"/>
        <v>No Element - 2143.05</v>
      </c>
      <c r="P511" s="1" t="s">
        <v>221</v>
      </c>
      <c r="Q511" s="1">
        <v>3</v>
      </c>
      <c r="S511" s="1" t="s">
        <v>2112</v>
      </c>
      <c r="T511" s="1" t="s">
        <v>2113</v>
      </c>
      <c r="V511" s="1">
        <f t="shared" si="4"/>
        <v>510</v>
      </c>
      <c r="W511" s="1">
        <f t="shared" si="5"/>
        <v>0</v>
      </c>
    </row>
    <row r="512" spans="1:23" x14ac:dyDescent="0.2">
      <c r="A512" s="1">
        <v>511</v>
      </c>
      <c r="B512" s="1" t="s">
        <v>2114</v>
      </c>
      <c r="C512" s="1" t="s">
        <v>885</v>
      </c>
      <c r="D512" s="1" t="s">
        <v>596</v>
      </c>
      <c r="E512" s="1" t="s">
        <v>2008</v>
      </c>
      <c r="F512" s="1" t="s">
        <v>302</v>
      </c>
      <c r="G512" s="1">
        <f>IF(ISNA(VLOOKUP(F512,Monster!B:E,4,FALSE)),0,VLOOKUP(F512,Monster!B:E,4,FALSE))</f>
        <v>44</v>
      </c>
      <c r="I512" s="1" t="s">
        <v>2114</v>
      </c>
      <c r="J512" s="1">
        <v>1205</v>
      </c>
      <c r="K512" s="1">
        <v>0</v>
      </c>
      <c r="L512" s="1">
        <v>1305</v>
      </c>
      <c r="M512" s="1" t="s">
        <v>58</v>
      </c>
      <c r="N512" s="1">
        <f>((NOT(ISNA(VLOOKUP(M512,Monster!$H$2:$I$6,2,FALSE)))*L512)+J512)*(1+K512/100*0.25)</f>
        <v>2510</v>
      </c>
      <c r="O512" s="1" t="str">
        <f t="shared" ref="O512:O570" si="6">M512&amp;" - "&amp;N512</f>
        <v>Thunder - 2510</v>
      </c>
      <c r="P512" s="1" t="s">
        <v>400</v>
      </c>
      <c r="Q512" s="1">
        <v>1</v>
      </c>
      <c r="R512" s="1" t="s">
        <v>372</v>
      </c>
      <c r="S512" s="1" t="s">
        <v>2115</v>
      </c>
      <c r="T512" s="1" t="s">
        <v>2099</v>
      </c>
      <c r="U512" s="1" t="s">
        <v>2107</v>
      </c>
      <c r="V512" s="1">
        <f t="shared" ref="V512:V570" si="7">A512</f>
        <v>511</v>
      </c>
      <c r="W512" s="1">
        <f t="shared" ref="W512:W570" si="8">L512/(J512+L512)</f>
        <v>0.51992031872509958</v>
      </c>
    </row>
    <row r="513" spans="1:23" x14ac:dyDescent="0.2">
      <c r="A513" s="1">
        <v>512</v>
      </c>
      <c r="B513" s="1" t="s">
        <v>2116</v>
      </c>
      <c r="C513" s="1" t="s">
        <v>892</v>
      </c>
      <c r="D513" s="1" t="s">
        <v>596</v>
      </c>
      <c r="E513" s="1" t="s">
        <v>2008</v>
      </c>
      <c r="F513" s="1" t="s">
        <v>310</v>
      </c>
      <c r="G513" s="1">
        <f>IF(ISNA(VLOOKUP(F513,Monster!B:E,4,FALSE)),0,VLOOKUP(F513,Monster!B:E,4,FALSE))</f>
        <v>46</v>
      </c>
      <c r="I513" s="1" t="s">
        <v>2117</v>
      </c>
      <c r="J513" s="1">
        <v>1834</v>
      </c>
      <c r="K513" s="1">
        <v>10</v>
      </c>
      <c r="L513" s="1">
        <v>0</v>
      </c>
      <c r="M513" s="1" t="s">
        <v>107</v>
      </c>
      <c r="N513" s="1">
        <f>((NOT(ISNA(VLOOKUP(M513,Monster!$H$2:$I$6,2,FALSE)))*L513)+J513)*(1+K513/100*0.25)</f>
        <v>1879.85</v>
      </c>
      <c r="O513" s="1" t="str">
        <f t="shared" si="6"/>
        <v>No Element - 1879.85</v>
      </c>
      <c r="P513" s="1" t="s">
        <v>407</v>
      </c>
      <c r="Q513" s="1">
        <v>1</v>
      </c>
      <c r="S513" s="1" t="s">
        <v>2118</v>
      </c>
      <c r="T513" s="1" t="s">
        <v>2113</v>
      </c>
      <c r="V513" s="1">
        <f t="shared" si="7"/>
        <v>512</v>
      </c>
      <c r="W513" s="1">
        <f t="shared" si="8"/>
        <v>0</v>
      </c>
    </row>
    <row r="514" spans="1:23" x14ac:dyDescent="0.2">
      <c r="A514" s="1">
        <v>513</v>
      </c>
      <c r="B514" s="1" t="s">
        <v>2119</v>
      </c>
      <c r="C514" s="1" t="s">
        <v>896</v>
      </c>
      <c r="D514" s="1" t="s">
        <v>596</v>
      </c>
      <c r="E514" s="1" t="s">
        <v>2008</v>
      </c>
      <c r="F514" s="1" t="s">
        <v>316</v>
      </c>
      <c r="G514" s="1">
        <f>IF(ISNA(VLOOKUP(F514,Monster!B:E,4,FALSE)),0,VLOOKUP(F514,Monster!B:E,4,FALSE))</f>
        <v>47</v>
      </c>
      <c r="I514" s="1" t="s">
        <v>2120</v>
      </c>
      <c r="J514" s="1">
        <v>1971</v>
      </c>
      <c r="K514" s="1">
        <v>-20</v>
      </c>
      <c r="L514" s="1">
        <v>0</v>
      </c>
      <c r="M514" s="1" t="s">
        <v>107</v>
      </c>
      <c r="N514" s="1">
        <f>((NOT(ISNA(VLOOKUP(M514,Monster!$H$2:$I$6,2,FALSE)))*L514)+J514)*(1+K514/100*0.25)</f>
        <v>1872.4499999999998</v>
      </c>
      <c r="O514" s="1" t="str">
        <f t="shared" si="6"/>
        <v>No Element - 1872.45</v>
      </c>
      <c r="P514" s="1" t="s">
        <v>602</v>
      </c>
      <c r="Q514" s="1">
        <v>2</v>
      </c>
      <c r="S514" s="1" t="s">
        <v>2121</v>
      </c>
      <c r="T514" s="1" t="s">
        <v>2122</v>
      </c>
      <c r="V514" s="1">
        <f t="shared" si="7"/>
        <v>513</v>
      </c>
      <c r="W514" s="1">
        <f t="shared" si="8"/>
        <v>0</v>
      </c>
    </row>
    <row r="515" spans="1:23" x14ac:dyDescent="0.2">
      <c r="A515" s="1">
        <v>514</v>
      </c>
      <c r="B515" s="1" t="s">
        <v>2123</v>
      </c>
      <c r="C515" s="1" t="s">
        <v>900</v>
      </c>
      <c r="D515" s="1" t="s">
        <v>596</v>
      </c>
      <c r="E515" s="1" t="s">
        <v>2008</v>
      </c>
      <c r="F515" s="1" t="s">
        <v>320</v>
      </c>
      <c r="G515" s="1">
        <f>IF(ISNA(VLOOKUP(F515,Monster!B:E,4,FALSE)),0,VLOOKUP(F515,Monster!B:E,4,FALSE))</f>
        <v>48</v>
      </c>
      <c r="I515" s="1" t="s">
        <v>2123</v>
      </c>
      <c r="J515" s="1">
        <v>1318</v>
      </c>
      <c r="K515" s="1">
        <v>-30</v>
      </c>
      <c r="L515" s="1">
        <v>1261</v>
      </c>
      <c r="M515" s="1" t="s">
        <v>41</v>
      </c>
      <c r="N515" s="1">
        <f>((NOT(ISNA(VLOOKUP(M515,Monster!$H$2:$I$6,2,FALSE)))*L515)+J515)*(1+K515/100*0.25)</f>
        <v>2385.5750000000003</v>
      </c>
      <c r="O515" s="1" t="str">
        <f t="shared" si="6"/>
        <v>Fire - 2385.575</v>
      </c>
      <c r="P515" s="1" t="s">
        <v>194</v>
      </c>
      <c r="Q515" s="1">
        <v>1</v>
      </c>
      <c r="S515" s="1" t="s">
        <v>2124</v>
      </c>
      <c r="T515" s="1" t="s">
        <v>2125</v>
      </c>
      <c r="V515" s="1">
        <f t="shared" si="7"/>
        <v>514</v>
      </c>
      <c r="W515" s="1">
        <f t="shared" si="8"/>
        <v>0.4889492051182629</v>
      </c>
    </row>
    <row r="516" spans="1:23" x14ac:dyDescent="0.2">
      <c r="A516" s="1">
        <v>515</v>
      </c>
      <c r="B516" s="1" t="s">
        <v>2126</v>
      </c>
      <c r="C516" s="1" t="s">
        <v>904</v>
      </c>
      <c r="D516" s="1" t="s">
        <v>596</v>
      </c>
      <c r="E516" s="1" t="s">
        <v>2008</v>
      </c>
      <c r="F516" s="1" t="s">
        <v>328</v>
      </c>
      <c r="G516" s="1">
        <f>IF(ISNA(VLOOKUP(F516,Monster!B:E,4,FALSE)),0,VLOOKUP(F516,Monster!B:E,4,FALSE))</f>
        <v>49</v>
      </c>
      <c r="I516" s="1" t="s">
        <v>2126</v>
      </c>
      <c r="J516" s="1">
        <v>2041</v>
      </c>
      <c r="K516" s="1">
        <v>0</v>
      </c>
      <c r="L516" s="1">
        <v>0</v>
      </c>
      <c r="M516" s="1" t="s">
        <v>107</v>
      </c>
      <c r="N516" s="1">
        <f>((NOT(ISNA(VLOOKUP(M516,Monster!$H$2:$I$6,2,FALSE)))*L516)+J516)*(1+K516/100*0.25)</f>
        <v>2041</v>
      </c>
      <c r="O516" s="1" t="str">
        <f t="shared" si="6"/>
        <v>No Element - 2041</v>
      </c>
      <c r="P516" s="1" t="s">
        <v>590</v>
      </c>
      <c r="Q516" s="1">
        <v>2</v>
      </c>
      <c r="R516" s="1" t="s">
        <v>372</v>
      </c>
      <c r="S516" s="1" t="s">
        <v>2048</v>
      </c>
      <c r="T516" s="1" t="s">
        <v>2110</v>
      </c>
      <c r="U516" s="1" t="s">
        <v>2096</v>
      </c>
      <c r="V516" s="1">
        <f t="shared" si="7"/>
        <v>515</v>
      </c>
      <c r="W516" s="1">
        <f t="shared" si="8"/>
        <v>0</v>
      </c>
    </row>
    <row r="517" spans="1:23" x14ac:dyDescent="0.2">
      <c r="A517" s="1">
        <v>516</v>
      </c>
      <c r="B517" s="1" t="s">
        <v>2127</v>
      </c>
      <c r="C517" s="1" t="s">
        <v>913</v>
      </c>
      <c r="D517" s="1" t="s">
        <v>596</v>
      </c>
      <c r="E517" s="1" t="s">
        <v>2008</v>
      </c>
      <c r="F517" s="1" t="s">
        <v>339</v>
      </c>
      <c r="G517" s="1">
        <f>IF(ISNA(VLOOKUP(F517,Monster!B:E,4,FALSE)),0,VLOOKUP(F517,Monster!B:E,4,FALSE))</f>
        <v>51</v>
      </c>
      <c r="I517" s="1" t="s">
        <v>2127</v>
      </c>
      <c r="J517" s="1">
        <v>1764</v>
      </c>
      <c r="K517" s="1">
        <v>0</v>
      </c>
      <c r="L517" s="1">
        <v>0</v>
      </c>
      <c r="M517" s="1" t="s">
        <v>107</v>
      </c>
      <c r="N517" s="1">
        <f>((NOT(ISNA(VLOOKUP(M517,Monster!$H$2:$I$6,2,FALSE)))*L517)+J517)*(1+K517/100*0.25)</f>
        <v>1764</v>
      </c>
      <c r="O517" s="1" t="str">
        <f t="shared" si="6"/>
        <v>No Element - 1764</v>
      </c>
      <c r="P517" s="1" t="s">
        <v>560</v>
      </c>
      <c r="Q517" s="1">
        <v>2</v>
      </c>
      <c r="S517" s="1" t="s">
        <v>2128</v>
      </c>
      <c r="T517" s="1" t="s">
        <v>2080</v>
      </c>
      <c r="U517" s="1" t="s">
        <v>2010</v>
      </c>
      <c r="V517" s="1">
        <f t="shared" si="7"/>
        <v>516</v>
      </c>
      <c r="W517" s="1">
        <f t="shared" si="8"/>
        <v>0</v>
      </c>
    </row>
    <row r="518" spans="1:23" x14ac:dyDescent="0.2">
      <c r="A518" s="1">
        <v>517</v>
      </c>
      <c r="B518" s="1" t="s">
        <v>2129</v>
      </c>
      <c r="C518" s="1" t="s">
        <v>922</v>
      </c>
      <c r="D518" s="1" t="s">
        <v>596</v>
      </c>
      <c r="E518" s="1" t="s">
        <v>2008</v>
      </c>
      <c r="F518" s="1" t="s">
        <v>349</v>
      </c>
      <c r="G518" s="1">
        <f>IF(ISNA(VLOOKUP(F518,Monster!B:E,4,FALSE)),0,VLOOKUP(F518,Monster!B:E,4,FALSE))</f>
        <v>53</v>
      </c>
      <c r="I518" s="1" t="s">
        <v>2130</v>
      </c>
      <c r="J518" s="1">
        <v>1738</v>
      </c>
      <c r="K518" s="1">
        <v>40</v>
      </c>
      <c r="L518" s="1">
        <v>0</v>
      </c>
      <c r="M518" s="1" t="s">
        <v>107</v>
      </c>
      <c r="N518" s="1">
        <f>((NOT(ISNA(VLOOKUP(M518,Monster!$H$2:$I$6,2,FALSE)))*L518)+J518)*(1+K518/100*0.25)</f>
        <v>1911.8000000000002</v>
      </c>
      <c r="O518" s="1" t="str">
        <f t="shared" si="6"/>
        <v>No Element - 1911.8</v>
      </c>
      <c r="P518" s="1" t="s">
        <v>535</v>
      </c>
      <c r="Q518" s="1">
        <v>2</v>
      </c>
      <c r="S518" s="1" t="s">
        <v>2019</v>
      </c>
      <c r="T518" s="1" t="s">
        <v>2112</v>
      </c>
      <c r="V518" s="1">
        <f t="shared" si="7"/>
        <v>517</v>
      </c>
      <c r="W518" s="1">
        <f t="shared" si="8"/>
        <v>0</v>
      </c>
    </row>
    <row r="519" spans="1:23" x14ac:dyDescent="0.2">
      <c r="A519" s="1">
        <v>518</v>
      </c>
      <c r="B519" s="1" t="s">
        <v>2131</v>
      </c>
      <c r="C519" s="1" t="s">
        <v>926</v>
      </c>
      <c r="D519" s="1" t="s">
        <v>596</v>
      </c>
      <c r="E519" s="1" t="s">
        <v>2008</v>
      </c>
      <c r="F519" s="1" t="s">
        <v>354</v>
      </c>
      <c r="G519" s="1">
        <f>IF(ISNA(VLOOKUP(F519,Monster!B:E,4,FALSE)),0,VLOOKUP(F519,Monster!B:E,4,FALSE))</f>
        <v>54</v>
      </c>
      <c r="I519" s="1" t="s">
        <v>2131</v>
      </c>
      <c r="J519" s="1">
        <v>1328</v>
      </c>
      <c r="K519" s="1">
        <v>20</v>
      </c>
      <c r="L519" s="1">
        <v>1074</v>
      </c>
      <c r="M519" s="1" t="s">
        <v>50</v>
      </c>
      <c r="N519" s="1">
        <f>((NOT(ISNA(VLOOKUP(M519,Monster!$H$2:$I$6,2,FALSE)))*L519)+J519)*(1+K519/100*0.25)</f>
        <v>2522.1</v>
      </c>
      <c r="O519" s="1" t="str">
        <f t="shared" si="6"/>
        <v>Water - 2522.1</v>
      </c>
      <c r="P519" s="1" t="s">
        <v>677</v>
      </c>
      <c r="Q519" s="1">
        <v>1</v>
      </c>
      <c r="R519" s="1" t="s">
        <v>372</v>
      </c>
      <c r="S519" s="1" t="s">
        <v>2132</v>
      </c>
      <c r="T519" s="1" t="s">
        <v>2133</v>
      </c>
      <c r="V519" s="1">
        <f t="shared" si="7"/>
        <v>518</v>
      </c>
      <c r="W519" s="1">
        <f t="shared" si="8"/>
        <v>0.44712739383846795</v>
      </c>
    </row>
    <row r="520" spans="1:23" x14ac:dyDescent="0.2">
      <c r="A520" s="1">
        <v>519</v>
      </c>
      <c r="B520" s="1" t="s">
        <v>2134</v>
      </c>
      <c r="C520" s="1" t="s">
        <v>930</v>
      </c>
      <c r="D520" s="1" t="s">
        <v>596</v>
      </c>
      <c r="E520" s="1" t="s">
        <v>2008</v>
      </c>
      <c r="F520" s="1" t="s">
        <v>360</v>
      </c>
      <c r="G520" s="1">
        <f>IF(ISNA(VLOOKUP(F520,Monster!B:E,4,FALSE)),0,VLOOKUP(F520,Monster!B:E,4,FALSE))</f>
        <v>55</v>
      </c>
      <c r="I520" s="1" t="s">
        <v>2135</v>
      </c>
      <c r="J520" s="1">
        <v>1979</v>
      </c>
      <c r="K520" s="1">
        <v>0</v>
      </c>
      <c r="L520" s="1">
        <v>0</v>
      </c>
      <c r="M520" s="1" t="s">
        <v>107</v>
      </c>
      <c r="N520" s="1">
        <f>((NOT(ISNA(VLOOKUP(M520,Monster!$H$2:$I$6,2,FALSE)))*L520)+J520)*(1+K520/100*0.25)</f>
        <v>1979</v>
      </c>
      <c r="O520" s="1" t="str">
        <f t="shared" si="6"/>
        <v>No Element - 1979</v>
      </c>
      <c r="P520" s="1" t="s">
        <v>515</v>
      </c>
      <c r="Q520" s="1">
        <v>1</v>
      </c>
      <c r="S520" s="1" t="s">
        <v>2030</v>
      </c>
      <c r="T520" s="1" t="s">
        <v>2011</v>
      </c>
      <c r="V520" s="1">
        <f t="shared" si="7"/>
        <v>519</v>
      </c>
      <c r="W520" s="1">
        <f t="shared" si="8"/>
        <v>0</v>
      </c>
    </row>
    <row r="521" spans="1:23" x14ac:dyDescent="0.2">
      <c r="A521" s="1">
        <v>520</v>
      </c>
      <c r="B521" s="1" t="s">
        <v>2136</v>
      </c>
      <c r="C521" s="1" t="s">
        <v>934</v>
      </c>
      <c r="D521" s="1" t="s">
        <v>596</v>
      </c>
      <c r="E521" s="1" t="s">
        <v>2008</v>
      </c>
      <c r="F521" s="1" t="s">
        <v>365</v>
      </c>
      <c r="G521" s="1">
        <f>IF(ISNA(VLOOKUP(F521,Monster!B:E,4,FALSE)),0,VLOOKUP(F521,Monster!B:E,4,FALSE))</f>
        <v>56</v>
      </c>
      <c r="I521" s="1" t="s">
        <v>2137</v>
      </c>
      <c r="J521" s="1">
        <v>1020</v>
      </c>
      <c r="K521" s="1">
        <v>0</v>
      </c>
      <c r="L521" s="1">
        <v>1173</v>
      </c>
      <c r="M521" s="1" t="s">
        <v>66</v>
      </c>
      <c r="N521" s="1">
        <f>((NOT(ISNA(VLOOKUP(M521,Monster!$H$2:$I$6,2,FALSE)))*L521)+J521)*(1+K521/100*0.25)</f>
        <v>2193</v>
      </c>
      <c r="O521" s="1" t="str">
        <f t="shared" si="6"/>
        <v>Ice - 2193</v>
      </c>
      <c r="P521" s="1" t="s">
        <v>659</v>
      </c>
      <c r="Q521" s="1">
        <v>1</v>
      </c>
      <c r="S521" s="1" t="s">
        <v>2138</v>
      </c>
      <c r="T521" s="1" t="s">
        <v>2061</v>
      </c>
      <c r="U521" s="1" t="s">
        <v>2064</v>
      </c>
      <c r="V521" s="1">
        <f t="shared" si="7"/>
        <v>520</v>
      </c>
      <c r="W521" s="1">
        <f t="shared" si="8"/>
        <v>0.53488372093023251</v>
      </c>
    </row>
    <row r="522" spans="1:23" x14ac:dyDescent="0.2">
      <c r="A522" s="1">
        <v>521</v>
      </c>
      <c r="B522" s="1" t="s">
        <v>2139</v>
      </c>
      <c r="C522" s="1" t="s">
        <v>939</v>
      </c>
      <c r="D522" s="1" t="s">
        <v>596</v>
      </c>
      <c r="E522" s="1" t="s">
        <v>2008</v>
      </c>
      <c r="F522" s="1" t="s">
        <v>370</v>
      </c>
      <c r="G522" s="1">
        <f>IF(ISNA(VLOOKUP(F522,Monster!B:E,4,FALSE)),0,VLOOKUP(F522,Monster!B:E,4,FALSE))</f>
        <v>57</v>
      </c>
      <c r="I522" s="1" t="s">
        <v>2140</v>
      </c>
      <c r="J522" s="1">
        <v>1197</v>
      </c>
      <c r="K522" s="1">
        <v>20</v>
      </c>
      <c r="L522" s="1">
        <v>1154</v>
      </c>
      <c r="M522" s="1" t="s">
        <v>41</v>
      </c>
      <c r="N522" s="1">
        <f>((NOT(ISNA(VLOOKUP(M522,Monster!$H$2:$I$6,2,FALSE)))*L522)+J522)*(1+K522/100*0.25)</f>
        <v>2468.5500000000002</v>
      </c>
      <c r="O522" s="1" t="str">
        <f t="shared" si="6"/>
        <v>Fire - 2468.55</v>
      </c>
      <c r="P522" s="1" t="s">
        <v>615</v>
      </c>
      <c r="Q522" s="1">
        <v>2</v>
      </c>
      <c r="S522" s="1" t="s">
        <v>2141</v>
      </c>
      <c r="T522" s="1" t="s">
        <v>2142</v>
      </c>
      <c r="U522" s="1" t="s">
        <v>2125</v>
      </c>
      <c r="V522" s="1">
        <f t="shared" si="7"/>
        <v>521</v>
      </c>
      <c r="W522" s="1">
        <f t="shared" si="8"/>
        <v>0.49085495533815399</v>
      </c>
    </row>
    <row r="523" spans="1:23" x14ac:dyDescent="0.2">
      <c r="A523" s="1">
        <v>522</v>
      </c>
      <c r="B523" s="1" t="s">
        <v>2143</v>
      </c>
      <c r="C523" s="1" t="s">
        <v>943</v>
      </c>
      <c r="D523" s="1" t="s">
        <v>596</v>
      </c>
      <c r="E523" s="1" t="s">
        <v>2008</v>
      </c>
      <c r="F523" s="1" t="s">
        <v>374</v>
      </c>
      <c r="G523" s="1">
        <f>IF(ISNA(VLOOKUP(F523,Monster!B:E,4,FALSE)),0,VLOOKUP(F523,Monster!B:E,4,FALSE))</f>
        <v>58</v>
      </c>
      <c r="I523" s="1" t="s">
        <v>2143</v>
      </c>
      <c r="J523" s="1">
        <v>1205</v>
      </c>
      <c r="K523" s="1">
        <v>0</v>
      </c>
      <c r="L523" s="1">
        <v>1305</v>
      </c>
      <c r="M523" s="1" t="s">
        <v>71</v>
      </c>
      <c r="N523" s="1">
        <f>((NOT(ISNA(VLOOKUP(M523,Monster!$H$2:$I$6,2,FALSE)))*L523)+J523)*(1+K523/100*0.25)</f>
        <v>2510</v>
      </c>
      <c r="O523" s="1" t="str">
        <f t="shared" si="6"/>
        <v>Dragon - 2510</v>
      </c>
      <c r="P523" s="1" t="s">
        <v>689</v>
      </c>
      <c r="Q523" s="1">
        <v>1</v>
      </c>
      <c r="R523" s="1" t="s">
        <v>372</v>
      </c>
      <c r="S523" s="1" t="s">
        <v>2144</v>
      </c>
      <c r="T523" s="1" t="s">
        <v>2076</v>
      </c>
      <c r="U523" s="1" t="s">
        <v>2145</v>
      </c>
      <c r="V523" s="1">
        <f t="shared" si="7"/>
        <v>522</v>
      </c>
      <c r="W523" s="1">
        <f t="shared" si="8"/>
        <v>0.51992031872509958</v>
      </c>
    </row>
    <row r="524" spans="1:23" x14ac:dyDescent="0.2">
      <c r="A524" s="1">
        <v>523</v>
      </c>
      <c r="B524" s="1" t="s">
        <v>2146</v>
      </c>
      <c r="C524" s="1" t="s">
        <v>949</v>
      </c>
      <c r="D524" s="1" t="s">
        <v>596</v>
      </c>
      <c r="E524" s="1" t="s">
        <v>2008</v>
      </c>
      <c r="F524" s="1"/>
      <c r="G524" s="1">
        <f>IF(ISNA(VLOOKUP(F524,Monster!B:E,4,FALSE)),0,VLOOKUP(F524,Monster!B:E,4,FALSE))</f>
        <v>0</v>
      </c>
      <c r="I524" s="1" t="s">
        <v>2147</v>
      </c>
      <c r="J524" s="1">
        <v>1596</v>
      </c>
      <c r="K524" s="1">
        <v>0</v>
      </c>
      <c r="L524" s="1">
        <v>0</v>
      </c>
      <c r="M524" s="1" t="s">
        <v>107</v>
      </c>
      <c r="N524" s="1">
        <f>((NOT(ISNA(VLOOKUP(M524,Monster!$H$2:$I$6,2,FALSE)))*L524)+J524)*(1+K524/100*0.25)</f>
        <v>1596</v>
      </c>
      <c r="O524" s="1" t="str">
        <f t="shared" si="6"/>
        <v>No Element - 1596</v>
      </c>
      <c r="P524" s="1" t="s">
        <v>158</v>
      </c>
      <c r="Q524" s="1">
        <v>1</v>
      </c>
      <c r="S524" s="1" t="s">
        <v>2148</v>
      </c>
      <c r="T524" s="1" t="s">
        <v>2122</v>
      </c>
      <c r="V524" s="1">
        <f t="shared" si="7"/>
        <v>523</v>
      </c>
      <c r="W524" s="1">
        <f t="shared" si="8"/>
        <v>0</v>
      </c>
    </row>
    <row r="525" spans="1:23" x14ac:dyDescent="0.2">
      <c r="A525" s="1">
        <v>524</v>
      </c>
      <c r="B525" s="1" t="s">
        <v>2149</v>
      </c>
      <c r="C525" s="1" t="s">
        <v>958</v>
      </c>
      <c r="D525" s="1" t="s">
        <v>596</v>
      </c>
      <c r="E525" s="1" t="s">
        <v>2008</v>
      </c>
      <c r="F525" s="1"/>
      <c r="G525" s="1">
        <f>IF(ISNA(VLOOKUP(F525,Monster!B:E,4,FALSE)),0,VLOOKUP(F525,Monster!B:E,4,FALSE))</f>
        <v>0</v>
      </c>
      <c r="I525" s="1" t="s">
        <v>2150</v>
      </c>
      <c r="J525" s="1">
        <v>1878</v>
      </c>
      <c r="K525" s="1">
        <v>0</v>
      </c>
      <c r="L525" s="1">
        <v>0</v>
      </c>
      <c r="M525" s="1" t="s">
        <v>107</v>
      </c>
      <c r="N525" s="1">
        <f>((NOT(ISNA(VLOOKUP(M525,Monster!$H$2:$I$6,2,FALSE)))*L525)+J525)*(1+K525/100*0.25)</f>
        <v>1878</v>
      </c>
      <c r="O525" s="1" t="str">
        <f t="shared" si="6"/>
        <v>No Element - 1878</v>
      </c>
      <c r="P525" s="1" t="s">
        <v>38</v>
      </c>
      <c r="Q525" s="1">
        <v>1</v>
      </c>
      <c r="S525" s="1" t="s">
        <v>2019</v>
      </c>
      <c r="T525" s="1" t="s">
        <v>2110</v>
      </c>
      <c r="U525" s="1" t="s">
        <v>2080</v>
      </c>
      <c r="V525" s="1">
        <f t="shared" si="7"/>
        <v>524</v>
      </c>
      <c r="W525" s="1">
        <f t="shared" si="8"/>
        <v>0</v>
      </c>
    </row>
    <row r="526" spans="1:23" x14ac:dyDescent="0.2">
      <c r="A526" s="1">
        <v>525</v>
      </c>
      <c r="B526" s="1" t="s">
        <v>2151</v>
      </c>
      <c r="C526" s="1" t="s">
        <v>1290</v>
      </c>
      <c r="D526" s="1" t="s">
        <v>596</v>
      </c>
      <c r="E526" s="1" t="s">
        <v>2008</v>
      </c>
      <c r="F526" s="1"/>
      <c r="G526" s="1">
        <f>IF(ISNA(VLOOKUP(F526,Monster!B:E,4,FALSE)),0,VLOOKUP(F526,Monster!B:E,4,FALSE))</f>
        <v>0</v>
      </c>
      <c r="I526" s="1" t="s">
        <v>2151</v>
      </c>
      <c r="J526" s="1">
        <v>1878</v>
      </c>
      <c r="K526" s="1">
        <v>0</v>
      </c>
      <c r="L526" s="1">
        <v>0</v>
      </c>
      <c r="M526" s="1" t="s">
        <v>107</v>
      </c>
      <c r="N526" s="1">
        <f>((NOT(ISNA(VLOOKUP(M526,Monster!$H$2:$I$6,2,FALSE)))*L526)+J526)*(1+K526/100*0.25)</f>
        <v>1878</v>
      </c>
      <c r="O526" s="1" t="str">
        <f t="shared" si="6"/>
        <v>No Element - 1878</v>
      </c>
      <c r="P526" s="1" t="s">
        <v>710</v>
      </c>
      <c r="Q526" s="1">
        <v>1</v>
      </c>
      <c r="S526" s="1" t="s">
        <v>2152</v>
      </c>
      <c r="T526" s="1" t="s">
        <v>2153</v>
      </c>
      <c r="U526" s="1" t="s">
        <v>2154</v>
      </c>
      <c r="V526" s="1">
        <f t="shared" si="7"/>
        <v>525</v>
      </c>
      <c r="W526" s="1">
        <f t="shared" si="8"/>
        <v>0</v>
      </c>
    </row>
    <row r="527" spans="1:23" x14ac:dyDescent="0.2">
      <c r="A527" s="1">
        <v>526</v>
      </c>
      <c r="B527" s="1" t="s">
        <v>2155</v>
      </c>
      <c r="C527" s="1" t="s">
        <v>34</v>
      </c>
      <c r="D527" s="1" t="s">
        <v>596</v>
      </c>
      <c r="E527" s="1" t="s">
        <v>2156</v>
      </c>
      <c r="F527" s="1"/>
      <c r="G527" s="1">
        <f>IF(ISNA(VLOOKUP(F527,Monster!B:E,4,FALSE)),0,VLOOKUP(F527,Monster!B:E,4,FALSE))</f>
        <v>0</v>
      </c>
      <c r="I527" s="1" t="s">
        <v>2157</v>
      </c>
      <c r="J527" s="1">
        <v>1596</v>
      </c>
      <c r="K527" s="1">
        <v>0</v>
      </c>
      <c r="L527" s="1">
        <v>0</v>
      </c>
      <c r="M527" s="1" t="s">
        <v>107</v>
      </c>
      <c r="N527" s="1">
        <f>((NOT(ISNA(VLOOKUP(M527,Monster!$H$2:$I$6,2,FALSE)))*L527)+J527)*(1+K527/100*0.25)</f>
        <v>1596</v>
      </c>
      <c r="O527" s="1" t="str">
        <f t="shared" si="6"/>
        <v>No Element - 1596</v>
      </c>
      <c r="P527" s="1" t="s">
        <v>410</v>
      </c>
      <c r="Q527" s="1">
        <v>2</v>
      </c>
      <c r="S527" s="1" t="s">
        <v>2158</v>
      </c>
      <c r="T527" s="1" t="s">
        <v>2159</v>
      </c>
      <c r="V527" s="1">
        <f t="shared" si="7"/>
        <v>526</v>
      </c>
      <c r="W527" s="1">
        <f t="shared" si="8"/>
        <v>0</v>
      </c>
    </row>
    <row r="528" spans="1:23" x14ac:dyDescent="0.2">
      <c r="A528" s="1">
        <v>527</v>
      </c>
      <c r="B528" s="1" t="s">
        <v>2160</v>
      </c>
      <c r="C528" s="1" t="s">
        <v>439</v>
      </c>
      <c r="D528" s="1" t="s">
        <v>596</v>
      </c>
      <c r="E528" s="1" t="s">
        <v>2156</v>
      </c>
      <c r="F528" s="1" t="s">
        <v>47</v>
      </c>
      <c r="G528" s="1">
        <f>IF(ISNA(VLOOKUP(F528,Monster!B:E,4,FALSE)),0,VLOOKUP(F528,Monster!B:E,4,FALSE))</f>
        <v>2</v>
      </c>
      <c r="I528" s="1" t="s">
        <v>2161</v>
      </c>
      <c r="J528" s="1">
        <v>1596</v>
      </c>
      <c r="K528" s="1">
        <v>30</v>
      </c>
      <c r="L528" s="1">
        <v>0</v>
      </c>
      <c r="M528" s="1" t="s">
        <v>107</v>
      </c>
      <c r="N528" s="1">
        <f>((NOT(ISNA(VLOOKUP(M528,Monster!$H$2:$I$6,2,FALSE)))*L528)+J528)*(1+K528/100*0.25)</f>
        <v>1715.6999999999998</v>
      </c>
      <c r="O528" s="1" t="str">
        <f t="shared" si="6"/>
        <v>No Element - 1715.7</v>
      </c>
      <c r="P528" s="1" t="s">
        <v>319</v>
      </c>
      <c r="Q528" s="1">
        <v>2</v>
      </c>
      <c r="S528" s="1" t="s">
        <v>2162</v>
      </c>
      <c r="T528" s="1" t="s">
        <v>2159</v>
      </c>
      <c r="V528" s="1">
        <f t="shared" si="7"/>
        <v>527</v>
      </c>
      <c r="W528" s="1">
        <f t="shared" si="8"/>
        <v>0</v>
      </c>
    </row>
    <row r="529" spans="1:23" x14ac:dyDescent="0.2">
      <c r="A529" s="1">
        <v>528</v>
      </c>
      <c r="B529" s="1" t="s">
        <v>2163</v>
      </c>
      <c r="C529" s="1" t="s">
        <v>541</v>
      </c>
      <c r="D529" s="1" t="s">
        <v>596</v>
      </c>
      <c r="E529" s="1" t="s">
        <v>2156</v>
      </c>
      <c r="F529" s="1" t="s">
        <v>52</v>
      </c>
      <c r="G529" s="1">
        <f>IF(ISNA(VLOOKUP(F529,Monster!B:E,4,FALSE)),0,VLOOKUP(F529,Monster!B:E,4,FALSE))</f>
        <v>3</v>
      </c>
      <c r="I529" s="1" t="s">
        <v>2164</v>
      </c>
      <c r="J529" s="1">
        <v>1596</v>
      </c>
      <c r="K529" s="1">
        <v>0</v>
      </c>
      <c r="L529" s="1">
        <v>400</v>
      </c>
      <c r="M529" s="1" t="s">
        <v>79</v>
      </c>
      <c r="N529" s="1">
        <f>((NOT(ISNA(VLOOKUP(M529,Monster!$H$2:$I$6,2,FALSE)))*L529)+J529)*(1+K529/100*0.25)</f>
        <v>1596</v>
      </c>
      <c r="O529" s="1" t="str">
        <f t="shared" si="6"/>
        <v>Poison - 1596</v>
      </c>
      <c r="P529" s="1" t="s">
        <v>590</v>
      </c>
      <c r="Q529" s="1">
        <v>1</v>
      </c>
      <c r="S529" s="1" t="s">
        <v>2165</v>
      </c>
      <c r="T529" s="1" t="s">
        <v>2159</v>
      </c>
      <c r="V529" s="1">
        <f t="shared" si="7"/>
        <v>528</v>
      </c>
      <c r="W529" s="1">
        <f t="shared" si="8"/>
        <v>0.20040080160320642</v>
      </c>
    </row>
    <row r="530" spans="1:23" x14ac:dyDescent="0.2">
      <c r="A530" s="1">
        <v>529</v>
      </c>
      <c r="B530" s="1" t="s">
        <v>2166</v>
      </c>
      <c r="C530" s="1" t="s">
        <v>617</v>
      </c>
      <c r="D530" s="1" t="s">
        <v>596</v>
      </c>
      <c r="E530" s="1" t="s">
        <v>2156</v>
      </c>
      <c r="F530" s="1" t="s">
        <v>60</v>
      </c>
      <c r="G530" s="1">
        <f>IF(ISNA(VLOOKUP(F530,Monster!B:E,4,FALSE)),0,VLOOKUP(F530,Monster!B:E,4,FALSE))</f>
        <v>4</v>
      </c>
      <c r="I530" s="1" t="s">
        <v>2166</v>
      </c>
      <c r="J530" s="1">
        <v>1221</v>
      </c>
      <c r="K530" s="1">
        <v>0</v>
      </c>
      <c r="L530" s="1">
        <v>1142</v>
      </c>
      <c r="M530" s="1" t="s">
        <v>50</v>
      </c>
      <c r="N530" s="1">
        <f>((NOT(ISNA(VLOOKUP(M530,Monster!$H$2:$I$6,2,FALSE)))*L530)+J530)*(1+K530/100*0.25)</f>
        <v>2363</v>
      </c>
      <c r="O530" s="1" t="str">
        <f t="shared" si="6"/>
        <v>Water - 2363</v>
      </c>
      <c r="P530" s="1" t="s">
        <v>244</v>
      </c>
      <c r="Q530" s="1">
        <v>1</v>
      </c>
      <c r="S530" s="1" t="s">
        <v>2167</v>
      </c>
      <c r="T530" s="1" t="s">
        <v>2168</v>
      </c>
      <c r="V530" s="1">
        <f t="shared" si="7"/>
        <v>529</v>
      </c>
      <c r="W530" s="1">
        <f t="shared" si="8"/>
        <v>0.48328396106644095</v>
      </c>
    </row>
    <row r="531" spans="1:23" x14ac:dyDescent="0.2">
      <c r="A531" s="1">
        <v>530</v>
      </c>
      <c r="B531" s="1" t="s">
        <v>2169</v>
      </c>
      <c r="C531" s="1" t="s">
        <v>729</v>
      </c>
      <c r="D531" s="1" t="s">
        <v>596</v>
      </c>
      <c r="E531" s="1" t="s">
        <v>2156</v>
      </c>
      <c r="F531" s="1" t="s">
        <v>81</v>
      </c>
      <c r="G531" s="1">
        <f>IF(ISNA(VLOOKUP(F531,Monster!B:E,4,FALSE)),0,VLOOKUP(F531,Monster!B:E,4,FALSE))</f>
        <v>7</v>
      </c>
      <c r="I531" s="1" t="s">
        <v>2170</v>
      </c>
      <c r="J531" s="1">
        <v>1293</v>
      </c>
      <c r="K531" s="1">
        <v>0</v>
      </c>
      <c r="L531" s="1">
        <v>910</v>
      </c>
      <c r="M531" s="1" t="s">
        <v>58</v>
      </c>
      <c r="N531" s="1">
        <f>((NOT(ISNA(VLOOKUP(M531,Monster!$H$2:$I$6,2,FALSE)))*L531)+J531)*(1+K531/100*0.25)</f>
        <v>2203</v>
      </c>
      <c r="O531" s="1" t="str">
        <f t="shared" si="6"/>
        <v>Thunder - 2203</v>
      </c>
      <c r="P531" s="1" t="s">
        <v>253</v>
      </c>
      <c r="Q531" s="1">
        <v>1</v>
      </c>
      <c r="S531" s="1" t="s">
        <v>2171</v>
      </c>
      <c r="T531" s="1" t="s">
        <v>2159</v>
      </c>
      <c r="V531" s="1">
        <f t="shared" si="7"/>
        <v>530</v>
      </c>
      <c r="W531" s="1">
        <f t="shared" si="8"/>
        <v>0.41307308216068994</v>
      </c>
    </row>
    <row r="532" spans="1:23" x14ac:dyDescent="0.2">
      <c r="A532" s="1">
        <v>531</v>
      </c>
      <c r="B532" s="1" t="s">
        <v>2172</v>
      </c>
      <c r="C532" s="1" t="s">
        <v>740</v>
      </c>
      <c r="D532" s="1" t="s">
        <v>596</v>
      </c>
      <c r="E532" s="1" t="s">
        <v>2156</v>
      </c>
      <c r="F532" s="1" t="s">
        <v>97</v>
      </c>
      <c r="G532" s="1">
        <f>IF(ISNA(VLOOKUP(F532,Monster!B:E,4,FALSE)),0,VLOOKUP(F532,Monster!B:E,4,FALSE))</f>
        <v>9</v>
      </c>
      <c r="I532" s="1" t="s">
        <v>2172</v>
      </c>
      <c r="J532" s="1">
        <v>1756</v>
      </c>
      <c r="K532" s="1">
        <v>0</v>
      </c>
      <c r="L532" s="1">
        <v>300</v>
      </c>
      <c r="M532" s="1" t="s">
        <v>95</v>
      </c>
      <c r="N532" s="1">
        <f>((NOT(ISNA(VLOOKUP(M532,Monster!$H$2:$I$6,2,FALSE)))*L532)+J532)*(1+K532/100*0.25)</f>
        <v>1756</v>
      </c>
      <c r="O532" s="1" t="str">
        <f t="shared" si="6"/>
        <v>Sleep - 1756</v>
      </c>
      <c r="P532" s="1" t="s">
        <v>590</v>
      </c>
      <c r="Q532" s="1">
        <v>1</v>
      </c>
      <c r="S532" s="1" t="s">
        <v>2173</v>
      </c>
      <c r="T532" s="1" t="s">
        <v>2168</v>
      </c>
      <c r="V532" s="1">
        <f t="shared" si="7"/>
        <v>531</v>
      </c>
      <c r="W532" s="1">
        <f t="shared" si="8"/>
        <v>0.14591439688715954</v>
      </c>
    </row>
    <row r="533" spans="1:23" x14ac:dyDescent="0.2">
      <c r="A533" s="1">
        <v>532</v>
      </c>
      <c r="B533" s="1" t="s">
        <v>2174</v>
      </c>
      <c r="C533" s="1" t="s">
        <v>745</v>
      </c>
      <c r="D533" s="1" t="s">
        <v>596</v>
      </c>
      <c r="E533" s="1" t="s">
        <v>2156</v>
      </c>
      <c r="F533" s="1" t="s">
        <v>102</v>
      </c>
      <c r="G533" s="1">
        <f>IF(ISNA(VLOOKUP(F533,Monster!B:E,4,FALSE)),0,VLOOKUP(F533,Monster!B:E,4,FALSE))</f>
        <v>10</v>
      </c>
      <c r="I533" s="1" t="s">
        <v>2175</v>
      </c>
      <c r="J533" s="1">
        <v>1293</v>
      </c>
      <c r="K533" s="1">
        <v>0</v>
      </c>
      <c r="L533" s="1">
        <v>910</v>
      </c>
      <c r="M533" s="1" t="s">
        <v>50</v>
      </c>
      <c r="N533" s="1">
        <f>((NOT(ISNA(VLOOKUP(M533,Monster!$H$2:$I$6,2,FALSE)))*L533)+J533)*(1+K533/100*0.25)</f>
        <v>2203</v>
      </c>
      <c r="O533" s="1" t="str">
        <f t="shared" si="6"/>
        <v>Water - 2203</v>
      </c>
      <c r="P533" s="1" t="s">
        <v>394</v>
      </c>
      <c r="Q533" s="1">
        <v>1</v>
      </c>
      <c r="S533" s="1" t="s">
        <v>2176</v>
      </c>
      <c r="T533" s="1" t="s">
        <v>2159</v>
      </c>
      <c r="V533" s="1">
        <f t="shared" si="7"/>
        <v>532</v>
      </c>
      <c r="W533" s="1">
        <f t="shared" si="8"/>
        <v>0.41307308216068994</v>
      </c>
    </row>
    <row r="534" spans="1:23" x14ac:dyDescent="0.2">
      <c r="A534" s="1">
        <v>533</v>
      </c>
      <c r="B534" s="1" t="s">
        <v>2177</v>
      </c>
      <c r="C534" s="1" t="s">
        <v>750</v>
      </c>
      <c r="D534" s="1" t="s">
        <v>596</v>
      </c>
      <c r="E534" s="1" t="s">
        <v>2156</v>
      </c>
      <c r="F534" s="1" t="s">
        <v>109</v>
      </c>
      <c r="G534" s="1">
        <f>IF(ISNA(VLOOKUP(F534,Monster!B:E,4,FALSE)),0,VLOOKUP(F534,Monster!B:E,4,FALSE))</f>
        <v>11</v>
      </c>
      <c r="I534" s="1" t="s">
        <v>2178</v>
      </c>
      <c r="J534" s="1">
        <v>1293</v>
      </c>
      <c r="K534" s="1">
        <v>0</v>
      </c>
      <c r="L534" s="1">
        <v>910</v>
      </c>
      <c r="M534" s="1" t="s">
        <v>41</v>
      </c>
      <c r="N534" s="1">
        <f>((NOT(ISNA(VLOOKUP(M534,Monster!$H$2:$I$6,2,FALSE)))*L534)+J534)*(1+K534/100*0.25)</f>
        <v>2203</v>
      </c>
      <c r="O534" s="1" t="str">
        <f t="shared" si="6"/>
        <v>Fire - 2203</v>
      </c>
      <c r="P534" s="1" t="s">
        <v>543</v>
      </c>
      <c r="Q534" s="1">
        <v>1</v>
      </c>
      <c r="S534" s="1" t="s">
        <v>2179</v>
      </c>
      <c r="T534" s="1" t="s">
        <v>2159</v>
      </c>
      <c r="V534" s="1">
        <f t="shared" si="7"/>
        <v>533</v>
      </c>
      <c r="W534" s="1">
        <f t="shared" si="8"/>
        <v>0.41307308216068994</v>
      </c>
    </row>
    <row r="535" spans="1:23" x14ac:dyDescent="0.2">
      <c r="A535" s="1">
        <v>534</v>
      </c>
      <c r="B535" s="1" t="s">
        <v>2180</v>
      </c>
      <c r="C535" s="1" t="s">
        <v>756</v>
      </c>
      <c r="D535" s="1" t="s">
        <v>596</v>
      </c>
      <c r="E535" s="1" t="s">
        <v>2156</v>
      </c>
      <c r="F535" s="1" t="s">
        <v>119</v>
      </c>
      <c r="G535" s="1">
        <f>IF(ISNA(VLOOKUP(F535,Monster!B:E,4,FALSE)),0,VLOOKUP(F535,Monster!B:E,4,FALSE))</f>
        <v>12</v>
      </c>
      <c r="I535" s="1" t="s">
        <v>2180</v>
      </c>
      <c r="J535" s="1">
        <v>1197</v>
      </c>
      <c r="K535" s="1">
        <v>20</v>
      </c>
      <c r="L535" s="1">
        <v>1154</v>
      </c>
      <c r="M535" s="1" t="s">
        <v>58</v>
      </c>
      <c r="N535" s="1">
        <f>((NOT(ISNA(VLOOKUP(M535,Monster!$H$2:$I$6,2,FALSE)))*L535)+J535)*(1+K535/100*0.25)</f>
        <v>2468.5500000000002</v>
      </c>
      <c r="O535" s="1" t="str">
        <f t="shared" si="6"/>
        <v>Thunder - 2468.55</v>
      </c>
      <c r="P535" s="1" t="s">
        <v>175</v>
      </c>
      <c r="Q535" s="1">
        <v>1</v>
      </c>
      <c r="S535" s="1" t="s">
        <v>2173</v>
      </c>
      <c r="T535" s="1" t="s">
        <v>2168</v>
      </c>
      <c r="V535" s="1">
        <f t="shared" si="7"/>
        <v>534</v>
      </c>
      <c r="W535" s="1">
        <f t="shared" si="8"/>
        <v>0.49085495533815399</v>
      </c>
    </row>
    <row r="536" spans="1:23" x14ac:dyDescent="0.2">
      <c r="A536" s="1">
        <v>535</v>
      </c>
      <c r="B536" s="1" t="s">
        <v>2181</v>
      </c>
      <c r="C536" s="1" t="s">
        <v>761</v>
      </c>
      <c r="D536" s="1" t="s">
        <v>596</v>
      </c>
      <c r="E536" s="1" t="s">
        <v>2156</v>
      </c>
      <c r="F536" s="1" t="s">
        <v>125</v>
      </c>
      <c r="G536" s="1">
        <f>IF(ISNA(VLOOKUP(F536,Monster!B:E,4,FALSE)),0,VLOOKUP(F536,Monster!B:E,4,FALSE))</f>
        <v>13</v>
      </c>
      <c r="I536" s="1" t="s">
        <v>2181</v>
      </c>
      <c r="J536" s="1">
        <v>1516</v>
      </c>
      <c r="K536" s="1">
        <v>0</v>
      </c>
      <c r="L536" s="1">
        <v>496</v>
      </c>
      <c r="M536" s="1" t="s">
        <v>79</v>
      </c>
      <c r="N536" s="1">
        <f>((NOT(ISNA(VLOOKUP(M536,Monster!$H$2:$I$6,2,FALSE)))*L536)+J536)*(1+K536/100*0.25)</f>
        <v>1516</v>
      </c>
      <c r="O536" s="1" t="str">
        <f t="shared" si="6"/>
        <v>Poison - 1516</v>
      </c>
      <c r="P536" s="1" t="s">
        <v>348</v>
      </c>
      <c r="Q536" s="1">
        <v>2</v>
      </c>
      <c r="S536" s="1" t="s">
        <v>2173</v>
      </c>
      <c r="T536" s="1" t="s">
        <v>2159</v>
      </c>
      <c r="V536" s="1">
        <f t="shared" si="7"/>
        <v>535</v>
      </c>
      <c r="W536" s="1">
        <f t="shared" si="8"/>
        <v>0.24652087475149106</v>
      </c>
    </row>
    <row r="537" spans="1:23" x14ac:dyDescent="0.2">
      <c r="A537" s="1">
        <v>536</v>
      </c>
      <c r="B537" s="1" t="s">
        <v>2182</v>
      </c>
      <c r="C537" s="1" t="s">
        <v>766</v>
      </c>
      <c r="D537" s="1" t="s">
        <v>596</v>
      </c>
      <c r="E537" s="1" t="s">
        <v>2156</v>
      </c>
      <c r="F537" s="1" t="s">
        <v>131</v>
      </c>
      <c r="G537" s="1">
        <f>IF(ISNA(VLOOKUP(F537,Monster!B:E,4,FALSE)),0,VLOOKUP(F537,Monster!B:E,4,FALSE))</f>
        <v>14</v>
      </c>
      <c r="I537" s="1" t="s">
        <v>2182</v>
      </c>
      <c r="J537" s="1">
        <v>1293</v>
      </c>
      <c r="K537" s="1">
        <v>0</v>
      </c>
      <c r="L537" s="1">
        <v>910</v>
      </c>
      <c r="M537" s="1" t="s">
        <v>71</v>
      </c>
      <c r="N537" s="1">
        <f>((NOT(ISNA(VLOOKUP(M537,Monster!$H$2:$I$6,2,FALSE)))*L537)+J537)*(1+K537/100*0.25)</f>
        <v>2203</v>
      </c>
      <c r="O537" s="1" t="str">
        <f t="shared" si="6"/>
        <v>Dragon - 2203</v>
      </c>
      <c r="P537" s="1" t="s">
        <v>253</v>
      </c>
      <c r="Q537" s="1">
        <v>1</v>
      </c>
      <c r="S537" s="1" t="s">
        <v>2183</v>
      </c>
      <c r="T537" s="1" t="s">
        <v>2168</v>
      </c>
      <c r="V537" s="1">
        <f t="shared" si="7"/>
        <v>536</v>
      </c>
      <c r="W537" s="1">
        <f t="shared" si="8"/>
        <v>0.41307308216068994</v>
      </c>
    </row>
    <row r="538" spans="1:23" x14ac:dyDescent="0.2">
      <c r="A538" s="1">
        <v>537</v>
      </c>
      <c r="B538" s="1" t="s">
        <v>2184</v>
      </c>
      <c r="C538" s="1" t="s">
        <v>771</v>
      </c>
      <c r="D538" s="1" t="s">
        <v>596</v>
      </c>
      <c r="E538" s="1" t="s">
        <v>2156</v>
      </c>
      <c r="F538" s="1" t="s">
        <v>137</v>
      </c>
      <c r="G538" s="1">
        <f>IF(ISNA(VLOOKUP(F538,Monster!B:E,4,FALSE)),0,VLOOKUP(F538,Monster!B:E,4,FALSE))</f>
        <v>15</v>
      </c>
      <c r="I538" s="1" t="s">
        <v>2184</v>
      </c>
      <c r="J538" s="1">
        <v>1258</v>
      </c>
      <c r="K538" s="1">
        <v>30</v>
      </c>
      <c r="L538" s="1">
        <v>1082</v>
      </c>
      <c r="M538" s="1" t="s">
        <v>71</v>
      </c>
      <c r="N538" s="1">
        <f>((NOT(ISNA(VLOOKUP(M538,Monster!$H$2:$I$6,2,FALSE)))*L538)+J538)*(1+K538/100*0.25)</f>
        <v>2515.5</v>
      </c>
      <c r="O538" s="1" t="str">
        <f t="shared" si="6"/>
        <v>Dragon - 2515.5</v>
      </c>
      <c r="P538" s="1" t="s">
        <v>483</v>
      </c>
      <c r="Q538" s="1">
        <v>2</v>
      </c>
      <c r="S538" s="1" t="s">
        <v>2185</v>
      </c>
      <c r="T538" s="1" t="s">
        <v>2186</v>
      </c>
      <c r="V538" s="1">
        <f t="shared" si="7"/>
        <v>537</v>
      </c>
      <c r="W538" s="1">
        <f t="shared" si="8"/>
        <v>0.46239316239316242</v>
      </c>
    </row>
    <row r="539" spans="1:23" x14ac:dyDescent="0.2">
      <c r="A539" s="1">
        <v>538</v>
      </c>
      <c r="B539" s="1" t="s">
        <v>2187</v>
      </c>
      <c r="C539" s="1" t="s">
        <v>775</v>
      </c>
      <c r="D539" s="1" t="s">
        <v>596</v>
      </c>
      <c r="E539" s="1" t="s">
        <v>2156</v>
      </c>
      <c r="F539" s="1" t="s">
        <v>146</v>
      </c>
      <c r="G539" s="1">
        <f>IF(ISNA(VLOOKUP(F539,Monster!B:E,4,FALSE)),0,VLOOKUP(F539,Monster!B:E,4,FALSE))</f>
        <v>16</v>
      </c>
      <c r="I539" s="1" t="s">
        <v>2188</v>
      </c>
      <c r="J539" s="1">
        <v>1221</v>
      </c>
      <c r="K539" s="1">
        <v>0</v>
      </c>
      <c r="L539" s="1">
        <v>1142</v>
      </c>
      <c r="M539" s="1" t="s">
        <v>66</v>
      </c>
      <c r="N539" s="1">
        <f>((NOT(ISNA(VLOOKUP(M539,Monster!$H$2:$I$6,2,FALSE)))*L539)+J539)*(1+K539/100*0.25)</f>
        <v>2363</v>
      </c>
      <c r="O539" s="1" t="str">
        <f t="shared" si="6"/>
        <v>Ice - 2363</v>
      </c>
      <c r="P539" s="1" t="s">
        <v>228</v>
      </c>
      <c r="Q539" s="1">
        <v>2</v>
      </c>
      <c r="S539" s="1" t="s">
        <v>2189</v>
      </c>
      <c r="T539" s="1" t="s">
        <v>2159</v>
      </c>
      <c r="V539" s="1">
        <f t="shared" si="7"/>
        <v>538</v>
      </c>
      <c r="W539" s="1">
        <f t="shared" si="8"/>
        <v>0.48328396106644095</v>
      </c>
    </row>
    <row r="540" spans="1:23" x14ac:dyDescent="0.2">
      <c r="A540" s="1">
        <v>539</v>
      </c>
      <c r="B540" s="1" t="s">
        <v>2190</v>
      </c>
      <c r="C540" s="1" t="s">
        <v>779</v>
      </c>
      <c r="D540" s="1" t="s">
        <v>596</v>
      </c>
      <c r="E540" s="1" t="s">
        <v>2156</v>
      </c>
      <c r="F540" s="1" t="s">
        <v>151</v>
      </c>
      <c r="G540" s="1">
        <f>IF(ISNA(VLOOKUP(F540,Monster!B:E,4,FALSE)),0,VLOOKUP(F540,Monster!B:E,4,FALSE))</f>
        <v>17</v>
      </c>
      <c r="I540" s="1" t="s">
        <v>2191</v>
      </c>
      <c r="J540" s="1">
        <v>1979</v>
      </c>
      <c r="K540" s="1">
        <v>0</v>
      </c>
      <c r="L540" s="1">
        <v>0</v>
      </c>
      <c r="M540" s="1" t="s">
        <v>107</v>
      </c>
      <c r="N540" s="1">
        <f>((NOT(ISNA(VLOOKUP(M540,Monster!$H$2:$I$6,2,FALSE)))*L540)+J540)*(1+K540/100*0.25)</f>
        <v>1979</v>
      </c>
      <c r="O540" s="1" t="str">
        <f t="shared" si="6"/>
        <v>No Element - 1979</v>
      </c>
      <c r="P540" s="1" t="s">
        <v>364</v>
      </c>
      <c r="Q540" s="1">
        <v>1</v>
      </c>
      <c r="S540" s="1" t="s">
        <v>2192</v>
      </c>
      <c r="T540" s="1" t="s">
        <v>2159</v>
      </c>
      <c r="V540" s="1">
        <f t="shared" si="7"/>
        <v>539</v>
      </c>
      <c r="W540" s="1">
        <f t="shared" si="8"/>
        <v>0</v>
      </c>
    </row>
    <row r="541" spans="1:23" x14ac:dyDescent="0.2">
      <c r="A541" s="1">
        <v>540</v>
      </c>
      <c r="B541" s="1" t="s">
        <v>2193</v>
      </c>
      <c r="C541" s="1" t="s">
        <v>782</v>
      </c>
      <c r="D541" s="1" t="s">
        <v>596</v>
      </c>
      <c r="E541" s="1" t="s">
        <v>2156</v>
      </c>
      <c r="F541" s="1" t="s">
        <v>155</v>
      </c>
      <c r="G541" s="1">
        <f>IF(ISNA(VLOOKUP(F541,Monster!B:E,4,FALSE)),0,VLOOKUP(F541,Monster!B:E,4,FALSE))</f>
        <v>18</v>
      </c>
      <c r="I541" s="1" t="s">
        <v>2194</v>
      </c>
      <c r="J541" s="1">
        <v>2218</v>
      </c>
      <c r="K541" s="1">
        <v>-30</v>
      </c>
      <c r="L541" s="1">
        <v>0</v>
      </c>
      <c r="M541" s="1" t="s">
        <v>107</v>
      </c>
      <c r="N541" s="1">
        <f>((NOT(ISNA(VLOOKUP(M541,Monster!$H$2:$I$6,2,FALSE)))*L541)+J541)*(1+K541/100*0.25)</f>
        <v>2051.65</v>
      </c>
      <c r="O541" s="1" t="str">
        <f t="shared" si="6"/>
        <v>No Element - 2051.65</v>
      </c>
      <c r="P541" s="1" t="s">
        <v>463</v>
      </c>
      <c r="Q541" s="1">
        <v>1</v>
      </c>
      <c r="S541" s="1" t="s">
        <v>2171</v>
      </c>
      <c r="T541" s="1" t="s">
        <v>2195</v>
      </c>
      <c r="V541" s="1">
        <f t="shared" si="7"/>
        <v>540</v>
      </c>
      <c r="W541" s="1">
        <f t="shared" si="8"/>
        <v>0</v>
      </c>
    </row>
    <row r="542" spans="1:23" x14ac:dyDescent="0.2">
      <c r="A542" s="1">
        <v>541</v>
      </c>
      <c r="B542" s="1" t="s">
        <v>2196</v>
      </c>
      <c r="C542" s="1" t="s">
        <v>786</v>
      </c>
      <c r="D542" s="1" t="s">
        <v>596</v>
      </c>
      <c r="E542" s="1" t="s">
        <v>2156</v>
      </c>
      <c r="F542" s="1" t="s">
        <v>160</v>
      </c>
      <c r="G542" s="1">
        <f>IF(ISNA(VLOOKUP(F542,Monster!B:E,4,FALSE)),0,VLOOKUP(F542,Monster!B:E,4,FALSE))</f>
        <v>19</v>
      </c>
      <c r="I542" s="1" t="s">
        <v>2196</v>
      </c>
      <c r="J542" s="1">
        <v>1221</v>
      </c>
      <c r="K542" s="1">
        <v>0</v>
      </c>
      <c r="L542" s="1">
        <v>1142</v>
      </c>
      <c r="M542" s="1" t="s">
        <v>41</v>
      </c>
      <c r="N542" s="1">
        <f>((NOT(ISNA(VLOOKUP(M542,Monster!$H$2:$I$6,2,FALSE)))*L542)+J542)*(1+K542/100*0.25)</f>
        <v>2363</v>
      </c>
      <c r="O542" s="1" t="str">
        <f t="shared" si="6"/>
        <v>Fire - 2363</v>
      </c>
      <c r="P542" s="1" t="s">
        <v>244</v>
      </c>
      <c r="Q542" s="1">
        <v>1</v>
      </c>
      <c r="S542" s="1" t="s">
        <v>2167</v>
      </c>
      <c r="T542" s="1" t="s">
        <v>2159</v>
      </c>
      <c r="V542" s="1">
        <f t="shared" si="7"/>
        <v>541</v>
      </c>
      <c r="W542" s="1">
        <f t="shared" si="8"/>
        <v>0.48328396106644095</v>
      </c>
    </row>
    <row r="543" spans="1:23" x14ac:dyDescent="0.2">
      <c r="A543" s="1">
        <v>542</v>
      </c>
      <c r="B543" s="1" t="s">
        <v>2197</v>
      </c>
      <c r="C543" s="1" t="s">
        <v>790</v>
      </c>
      <c r="D543" s="1" t="s">
        <v>596</v>
      </c>
      <c r="E543" s="1" t="s">
        <v>2156</v>
      </c>
      <c r="F543" s="1" t="s">
        <v>165</v>
      </c>
      <c r="G543" s="1">
        <f>IF(ISNA(VLOOKUP(F543,Monster!B:E,4,FALSE)),0,VLOOKUP(F543,Monster!B:E,4,FALSE))</f>
        <v>20</v>
      </c>
      <c r="I543" s="1" t="s">
        <v>2197</v>
      </c>
      <c r="J543" s="1">
        <v>1682</v>
      </c>
      <c r="K543" s="1">
        <v>0</v>
      </c>
      <c r="L543" s="1">
        <v>605</v>
      </c>
      <c r="M543" s="1" t="s">
        <v>41</v>
      </c>
      <c r="N543" s="1">
        <f>((NOT(ISNA(VLOOKUP(M543,Monster!$H$2:$I$6,2,FALSE)))*L543)+J543)*(1+K543/100*0.25)</f>
        <v>2287</v>
      </c>
      <c r="O543" s="1" t="str">
        <f t="shared" si="6"/>
        <v>Fire - 2287</v>
      </c>
      <c r="P543" s="1" t="s">
        <v>602</v>
      </c>
      <c r="Q543" s="1">
        <v>1</v>
      </c>
      <c r="S543" s="1" t="s">
        <v>2176</v>
      </c>
      <c r="T543" s="1" t="s">
        <v>2168</v>
      </c>
      <c r="V543" s="1">
        <f t="shared" si="7"/>
        <v>542</v>
      </c>
      <c r="W543" s="1">
        <f t="shared" si="8"/>
        <v>0.26453869698294707</v>
      </c>
    </row>
    <row r="544" spans="1:23" x14ac:dyDescent="0.2">
      <c r="A544" s="1">
        <v>543</v>
      </c>
      <c r="B544" s="1" t="s">
        <v>2198</v>
      </c>
      <c r="C544" s="1" t="s">
        <v>794</v>
      </c>
      <c r="D544" s="1" t="s">
        <v>596</v>
      </c>
      <c r="E544" s="1" t="s">
        <v>2156</v>
      </c>
      <c r="F544" s="1" t="s">
        <v>171</v>
      </c>
      <c r="G544" s="1">
        <f>IF(ISNA(VLOOKUP(F544,Monster!B:E,4,FALSE)),0,VLOOKUP(F544,Monster!B:E,4,FALSE))</f>
        <v>21</v>
      </c>
      <c r="I544" s="1" t="s">
        <v>2198</v>
      </c>
      <c r="J544" s="1">
        <v>1258</v>
      </c>
      <c r="K544" s="1">
        <v>30</v>
      </c>
      <c r="L544" s="1">
        <v>1082</v>
      </c>
      <c r="M544" s="1" t="s">
        <v>41</v>
      </c>
      <c r="N544" s="1">
        <f>((NOT(ISNA(VLOOKUP(M544,Monster!$H$2:$I$6,2,FALSE)))*L544)+J544)*(1+K544/100*0.25)</f>
        <v>2515.5</v>
      </c>
      <c r="O544" s="1" t="str">
        <f t="shared" si="6"/>
        <v>Fire - 2515.5</v>
      </c>
      <c r="P544" s="1" t="s">
        <v>175</v>
      </c>
      <c r="Q544" s="1">
        <v>2</v>
      </c>
      <c r="S544" s="1" t="s">
        <v>2185</v>
      </c>
      <c r="T544" s="1" t="s">
        <v>2186</v>
      </c>
      <c r="V544" s="1">
        <f t="shared" si="7"/>
        <v>543</v>
      </c>
      <c r="W544" s="1">
        <f t="shared" si="8"/>
        <v>0.46239316239316242</v>
      </c>
    </row>
    <row r="545" spans="1:23" x14ac:dyDescent="0.2">
      <c r="A545" s="1">
        <v>544</v>
      </c>
      <c r="B545" s="1" t="s">
        <v>2199</v>
      </c>
      <c r="C545" s="1" t="s">
        <v>800</v>
      </c>
      <c r="D545" s="1" t="s">
        <v>596</v>
      </c>
      <c r="E545" s="1" t="s">
        <v>2156</v>
      </c>
      <c r="F545" s="1" t="s">
        <v>184</v>
      </c>
      <c r="G545" s="1">
        <f>IF(ISNA(VLOOKUP(F545,Monster!B:E,4,FALSE)),0,VLOOKUP(F545,Monster!B:E,4,FALSE))</f>
        <v>23</v>
      </c>
      <c r="I545" s="1" t="s">
        <v>2199</v>
      </c>
      <c r="J545" s="1">
        <v>1764</v>
      </c>
      <c r="K545" s="1">
        <v>0</v>
      </c>
      <c r="L545" s="1">
        <v>0</v>
      </c>
      <c r="M545" s="1" t="s">
        <v>107</v>
      </c>
      <c r="N545" s="1">
        <f>((NOT(ISNA(VLOOKUP(M545,Monster!$H$2:$I$6,2,FALSE)))*L545)+J545)*(1+K545/100*0.25)</f>
        <v>1764</v>
      </c>
      <c r="O545" s="1" t="str">
        <f t="shared" si="6"/>
        <v>No Element - 1764</v>
      </c>
      <c r="P545" s="1" t="s">
        <v>306</v>
      </c>
      <c r="Q545" s="1">
        <v>2</v>
      </c>
      <c r="S545" s="1" t="s">
        <v>2200</v>
      </c>
      <c r="T545" s="1" t="s">
        <v>2159</v>
      </c>
      <c r="V545" s="1">
        <f t="shared" si="7"/>
        <v>544</v>
      </c>
      <c r="W545" s="1">
        <f t="shared" si="8"/>
        <v>0</v>
      </c>
    </row>
    <row r="546" spans="1:23" x14ac:dyDescent="0.2">
      <c r="A546" s="1">
        <v>545</v>
      </c>
      <c r="B546" s="1" t="s">
        <v>2201</v>
      </c>
      <c r="C546" s="1" t="s">
        <v>803</v>
      </c>
      <c r="D546" s="1" t="s">
        <v>596</v>
      </c>
      <c r="E546" s="1" t="s">
        <v>2156</v>
      </c>
      <c r="F546" s="1" t="s">
        <v>190</v>
      </c>
      <c r="G546" s="1">
        <f>IF(ISNA(VLOOKUP(F546,Monster!B:E,4,FALSE)),0,VLOOKUP(F546,Monster!B:E,4,FALSE))</f>
        <v>24</v>
      </c>
      <c r="I546" s="1" t="s">
        <v>2201</v>
      </c>
      <c r="J546" s="1">
        <v>1191</v>
      </c>
      <c r="K546" s="1">
        <v>20</v>
      </c>
      <c r="L546" s="1">
        <v>910</v>
      </c>
      <c r="M546" s="1" t="s">
        <v>66</v>
      </c>
      <c r="N546" s="1">
        <f>((NOT(ISNA(VLOOKUP(M546,Monster!$H$2:$I$6,2,FALSE)))*L546)+J546)*(1+K546/100*0.25)</f>
        <v>2206.0500000000002</v>
      </c>
      <c r="O546" s="1" t="str">
        <f t="shared" si="6"/>
        <v>Ice - 2206.05</v>
      </c>
      <c r="P546" s="1" t="s">
        <v>253</v>
      </c>
      <c r="Q546" s="1">
        <v>1</v>
      </c>
      <c r="S546" s="1" t="s">
        <v>2173</v>
      </c>
      <c r="T546" s="1" t="s">
        <v>2159</v>
      </c>
      <c r="V546" s="1">
        <f t="shared" si="7"/>
        <v>545</v>
      </c>
      <c r="W546" s="1">
        <f t="shared" si="8"/>
        <v>0.43312708234174202</v>
      </c>
    </row>
    <row r="547" spans="1:23" x14ac:dyDescent="0.2">
      <c r="A547" s="1">
        <v>546</v>
      </c>
      <c r="B547" s="1" t="s">
        <v>2202</v>
      </c>
      <c r="C547" s="1" t="s">
        <v>807</v>
      </c>
      <c r="D547" s="1" t="s">
        <v>596</v>
      </c>
      <c r="E547" s="1" t="s">
        <v>2156</v>
      </c>
      <c r="F547" s="1" t="s">
        <v>193</v>
      </c>
      <c r="G547" s="1">
        <f>IF(ISNA(VLOOKUP(F547,Monster!B:E,4,FALSE)),0,VLOOKUP(F547,Monster!B:E,4,FALSE))</f>
        <v>25</v>
      </c>
      <c r="I547" s="1" t="s">
        <v>2203</v>
      </c>
      <c r="J547" s="1">
        <v>1221</v>
      </c>
      <c r="K547" s="1">
        <v>0</v>
      </c>
      <c r="L547" s="1">
        <v>1142</v>
      </c>
      <c r="M547" s="1" t="s">
        <v>58</v>
      </c>
      <c r="N547" s="1">
        <f>((NOT(ISNA(VLOOKUP(M547,Monster!$H$2:$I$6,2,FALSE)))*L547)+J547)*(1+K547/100*0.25)</f>
        <v>2363</v>
      </c>
      <c r="O547" s="1" t="str">
        <f t="shared" si="6"/>
        <v>Thunder - 2363</v>
      </c>
      <c r="P547" s="1" t="s">
        <v>38</v>
      </c>
      <c r="Q547" s="1">
        <v>1</v>
      </c>
      <c r="S547" s="1" t="s">
        <v>2189</v>
      </c>
      <c r="T547" s="1" t="s">
        <v>2159</v>
      </c>
      <c r="V547" s="1">
        <f t="shared" si="7"/>
        <v>546</v>
      </c>
      <c r="W547" s="1">
        <f t="shared" si="8"/>
        <v>0.48328396106644095</v>
      </c>
    </row>
    <row r="548" spans="1:23" x14ac:dyDescent="0.2">
      <c r="A548" s="1">
        <v>547</v>
      </c>
      <c r="B548" s="1" t="s">
        <v>2204</v>
      </c>
      <c r="C548" s="1" t="s">
        <v>821</v>
      </c>
      <c r="D548" s="1" t="s">
        <v>596</v>
      </c>
      <c r="E548" s="1" t="s">
        <v>2156</v>
      </c>
      <c r="F548" s="1" t="s">
        <v>216</v>
      </c>
      <c r="G548" s="1">
        <f>IF(ISNA(VLOOKUP(F548,Monster!B:E,4,FALSE)),0,VLOOKUP(F548,Monster!B:E,4,FALSE))</f>
        <v>29</v>
      </c>
      <c r="I548" s="1" t="s">
        <v>2205</v>
      </c>
      <c r="J548" s="1">
        <v>1318</v>
      </c>
      <c r="K548" s="1">
        <v>-30</v>
      </c>
      <c r="L548" s="1">
        <v>1261</v>
      </c>
      <c r="M548" s="1" t="s">
        <v>71</v>
      </c>
      <c r="N548" s="1">
        <f>((NOT(ISNA(VLOOKUP(M548,Monster!$H$2:$I$6,2,FALSE)))*L548)+J548)*(1+K548/100*0.25)</f>
        <v>2385.5750000000003</v>
      </c>
      <c r="O548" s="1" t="str">
        <f t="shared" si="6"/>
        <v>Dragon - 2385.575</v>
      </c>
      <c r="P548" s="1" t="s">
        <v>470</v>
      </c>
      <c r="Q548" s="1">
        <v>2</v>
      </c>
      <c r="S548" s="1" t="s">
        <v>2206</v>
      </c>
      <c r="T548" s="1" t="s">
        <v>2168</v>
      </c>
      <c r="V548" s="1">
        <f t="shared" si="7"/>
        <v>547</v>
      </c>
      <c r="W548" s="1">
        <f t="shared" si="8"/>
        <v>0.4889492051182629</v>
      </c>
    </row>
    <row r="549" spans="1:23" x14ac:dyDescent="0.2">
      <c r="A549" s="1">
        <v>548</v>
      </c>
      <c r="B549" s="1" t="s">
        <v>2207</v>
      </c>
      <c r="C549" s="1" t="s">
        <v>829</v>
      </c>
      <c r="D549" s="1" t="s">
        <v>596</v>
      </c>
      <c r="E549" s="1" t="s">
        <v>2156</v>
      </c>
      <c r="F549" s="1" t="s">
        <v>229</v>
      </c>
      <c r="G549" s="1">
        <f>IF(ISNA(VLOOKUP(F549,Monster!B:E,4,FALSE)),0,VLOOKUP(F549,Monster!B:E,4,FALSE))</f>
        <v>31</v>
      </c>
      <c r="I549" s="1" t="s">
        <v>2207</v>
      </c>
      <c r="J549" s="1">
        <v>1194</v>
      </c>
      <c r="K549" s="1">
        <v>20</v>
      </c>
      <c r="L549" s="1">
        <v>913</v>
      </c>
      <c r="M549" s="1" t="s">
        <v>58</v>
      </c>
      <c r="N549" s="1">
        <f>((NOT(ISNA(VLOOKUP(M549,Monster!$H$2:$I$6,2,FALSE)))*L549)+J549)*(1+K549/100*0.25)</f>
        <v>2212.35</v>
      </c>
      <c r="O549" s="1" t="str">
        <f t="shared" si="6"/>
        <v>Thunder - 2212.35</v>
      </c>
      <c r="P549" s="1" t="s">
        <v>470</v>
      </c>
      <c r="Q549" s="1">
        <v>1</v>
      </c>
      <c r="S549" s="1" t="s">
        <v>2179</v>
      </c>
      <c r="T549" s="1" t="s">
        <v>2159</v>
      </c>
      <c r="V549" s="1">
        <f t="shared" si="7"/>
        <v>548</v>
      </c>
      <c r="W549" s="1">
        <f t="shared" si="8"/>
        <v>0.43331751305173233</v>
      </c>
    </row>
    <row r="550" spans="1:23" x14ac:dyDescent="0.2">
      <c r="A550" s="1">
        <v>549</v>
      </c>
      <c r="B550" s="1" t="s">
        <v>2208</v>
      </c>
      <c r="C550" s="1" t="s">
        <v>834</v>
      </c>
      <c r="D550" s="1" t="s">
        <v>596</v>
      </c>
      <c r="E550" s="1" t="s">
        <v>2156</v>
      </c>
      <c r="F550" s="1" t="s">
        <v>234</v>
      </c>
      <c r="G550" s="1">
        <f>IF(ISNA(VLOOKUP(F550,Monster!B:E,4,FALSE)),0,VLOOKUP(F550,Monster!B:E,4,FALSE))</f>
        <v>32</v>
      </c>
      <c r="I550" s="1" t="s">
        <v>2208</v>
      </c>
      <c r="J550" s="1">
        <v>1553</v>
      </c>
      <c r="K550" s="1">
        <v>0</v>
      </c>
      <c r="L550" s="1">
        <v>974</v>
      </c>
      <c r="M550" s="1" t="s">
        <v>66</v>
      </c>
      <c r="N550" s="1">
        <f>((NOT(ISNA(VLOOKUP(M550,Monster!$H$2:$I$6,2,FALSE)))*L550)+J550)*(1+K550/100*0.25)</f>
        <v>2527</v>
      </c>
      <c r="O550" s="1" t="str">
        <f t="shared" si="6"/>
        <v>Ice - 2527</v>
      </c>
      <c r="P550" s="1" t="s">
        <v>528</v>
      </c>
      <c r="Q550" s="1">
        <v>2</v>
      </c>
      <c r="R550" s="1" t="s">
        <v>372</v>
      </c>
      <c r="S550" s="1" t="s">
        <v>2209</v>
      </c>
      <c r="T550" s="1" t="s">
        <v>2210</v>
      </c>
      <c r="V550" s="1">
        <f t="shared" si="7"/>
        <v>549</v>
      </c>
      <c r="W550" s="1">
        <f t="shared" si="8"/>
        <v>0.38543727740403638</v>
      </c>
    </row>
    <row r="551" spans="1:23" x14ac:dyDescent="0.2">
      <c r="A551" s="1">
        <v>550</v>
      </c>
      <c r="B551" s="1" t="s">
        <v>2211</v>
      </c>
      <c r="C551" s="1" t="s">
        <v>839</v>
      </c>
      <c r="D551" s="1" t="s">
        <v>596</v>
      </c>
      <c r="E551" s="1" t="s">
        <v>2156</v>
      </c>
      <c r="F551" s="1" t="s">
        <v>239</v>
      </c>
      <c r="G551" s="1">
        <f>IF(ISNA(VLOOKUP(F551,Monster!B:E,4,FALSE)),0,VLOOKUP(F551,Monster!B:E,4,FALSE))</f>
        <v>33</v>
      </c>
      <c r="I551" s="1" t="s">
        <v>2212</v>
      </c>
      <c r="J551" s="1">
        <v>1138</v>
      </c>
      <c r="K551" s="1">
        <v>20</v>
      </c>
      <c r="L551" s="1">
        <v>1156</v>
      </c>
      <c r="M551" s="1" t="s">
        <v>50</v>
      </c>
      <c r="N551" s="1">
        <f>((NOT(ISNA(VLOOKUP(M551,Monster!$H$2:$I$6,2,FALSE)))*L551)+J551)*(1+K551/100*0.25)</f>
        <v>2408.7000000000003</v>
      </c>
      <c r="O551" s="1" t="str">
        <f t="shared" si="6"/>
        <v>Water - 2408.7</v>
      </c>
      <c r="P551" s="1" t="s">
        <v>38</v>
      </c>
      <c r="Q551" s="1">
        <v>1</v>
      </c>
      <c r="S551" s="1" t="s">
        <v>2173</v>
      </c>
      <c r="T551" s="1" t="s">
        <v>2159</v>
      </c>
      <c r="V551" s="1">
        <f t="shared" si="7"/>
        <v>550</v>
      </c>
      <c r="W551" s="1">
        <f t="shared" si="8"/>
        <v>0.50392327811682647</v>
      </c>
    </row>
    <row r="552" spans="1:23" x14ac:dyDescent="0.2">
      <c r="A552" s="1">
        <v>551</v>
      </c>
      <c r="B552" s="1" t="s">
        <v>2213</v>
      </c>
      <c r="C552" s="1" t="s">
        <v>845</v>
      </c>
      <c r="D552" s="1" t="s">
        <v>596</v>
      </c>
      <c r="E552" s="1" t="s">
        <v>2156</v>
      </c>
      <c r="F552" s="1" t="s">
        <v>245</v>
      </c>
      <c r="G552" s="1">
        <f>IF(ISNA(VLOOKUP(F552,Monster!B:E,4,FALSE)),0,VLOOKUP(F552,Monster!B:E,4,FALSE))</f>
        <v>34</v>
      </c>
      <c r="I552" s="1" t="s">
        <v>2213</v>
      </c>
      <c r="J552" s="1">
        <v>1684</v>
      </c>
      <c r="K552" s="1">
        <v>0</v>
      </c>
      <c r="L552" s="1">
        <v>502</v>
      </c>
      <c r="M552" s="1" t="s">
        <v>100</v>
      </c>
      <c r="N552" s="1">
        <f>((NOT(ISNA(VLOOKUP(M552,Monster!$H$2:$I$6,2,FALSE)))*L552)+J552)*(1+K552/100*0.25)</f>
        <v>1684</v>
      </c>
      <c r="O552" s="1" t="str">
        <f t="shared" si="6"/>
        <v>Blast - 1684</v>
      </c>
      <c r="P552" s="1" t="s">
        <v>364</v>
      </c>
      <c r="Q552" s="1">
        <v>2</v>
      </c>
      <c r="R552" s="1" t="s">
        <v>372</v>
      </c>
      <c r="S552" s="1" t="s">
        <v>2214</v>
      </c>
      <c r="T552" s="1" t="s">
        <v>2210</v>
      </c>
      <c r="V552" s="1">
        <f t="shared" si="7"/>
        <v>551</v>
      </c>
      <c r="W552" s="1">
        <f t="shared" si="8"/>
        <v>0.22964318389752975</v>
      </c>
    </row>
    <row r="553" spans="1:23" x14ac:dyDescent="0.2">
      <c r="A553" s="1">
        <v>552</v>
      </c>
      <c r="B553" s="1" t="s">
        <v>2215</v>
      </c>
      <c r="C553" s="1" t="s">
        <v>853</v>
      </c>
      <c r="D553" s="1" t="s">
        <v>596</v>
      </c>
      <c r="E553" s="1" t="s">
        <v>2156</v>
      </c>
      <c r="F553" s="1" t="s">
        <v>256</v>
      </c>
      <c r="G553" s="1">
        <f>IF(ISNA(VLOOKUP(F553,Monster!B:E,4,FALSE)),0,VLOOKUP(F553,Monster!B:E,4,FALSE))</f>
        <v>36</v>
      </c>
      <c r="I553" s="1" t="s">
        <v>2216</v>
      </c>
      <c r="J553" s="1">
        <v>1516</v>
      </c>
      <c r="K553" s="1">
        <v>0</v>
      </c>
      <c r="L553" s="1">
        <v>496</v>
      </c>
      <c r="M553" s="1" t="s">
        <v>100</v>
      </c>
      <c r="N553" s="1">
        <f>((NOT(ISNA(VLOOKUP(M553,Monster!$H$2:$I$6,2,FALSE)))*L553)+J553)*(1+K553/100*0.25)</f>
        <v>1516</v>
      </c>
      <c r="O553" s="1" t="str">
        <f t="shared" si="6"/>
        <v>Blast - 1516</v>
      </c>
      <c r="P553" s="1" t="s">
        <v>463</v>
      </c>
      <c r="Q553" s="1">
        <v>1</v>
      </c>
      <c r="S553" s="1" t="s">
        <v>2167</v>
      </c>
      <c r="T553" s="1" t="s">
        <v>2159</v>
      </c>
      <c r="V553" s="1">
        <f t="shared" si="7"/>
        <v>552</v>
      </c>
      <c r="W553" s="1">
        <f t="shared" si="8"/>
        <v>0.24652087475149106</v>
      </c>
    </row>
    <row r="554" spans="1:23" x14ac:dyDescent="0.2">
      <c r="A554" s="1">
        <v>553</v>
      </c>
      <c r="B554" s="1" t="s">
        <v>2217</v>
      </c>
      <c r="C554" s="1" t="s">
        <v>857</v>
      </c>
      <c r="D554" s="1" t="s">
        <v>596</v>
      </c>
      <c r="E554" s="1" t="s">
        <v>2156</v>
      </c>
      <c r="F554" s="1" t="s">
        <v>263</v>
      </c>
      <c r="G554" s="1">
        <f>IF(ISNA(VLOOKUP(F554,Monster!B:E,4,FALSE)),0,VLOOKUP(F554,Monster!B:E,4,FALSE))</f>
        <v>37</v>
      </c>
      <c r="I554" s="1" t="s">
        <v>2218</v>
      </c>
      <c r="J554" s="1">
        <v>1318</v>
      </c>
      <c r="K554" s="1">
        <v>-30</v>
      </c>
      <c r="L554" s="1">
        <v>1261</v>
      </c>
      <c r="M554" s="1" t="s">
        <v>58</v>
      </c>
      <c r="N554" s="1">
        <f>((NOT(ISNA(VLOOKUP(M554,Monster!$H$2:$I$6,2,FALSE)))*L554)+J554)*(1+K554/100*0.25)</f>
        <v>2385.5750000000003</v>
      </c>
      <c r="O554" s="1" t="str">
        <f t="shared" si="6"/>
        <v>Thunder - 2385.575</v>
      </c>
      <c r="P554" s="1" t="s">
        <v>543</v>
      </c>
      <c r="Q554" s="1">
        <v>2</v>
      </c>
      <c r="S554" s="1" t="s">
        <v>2167</v>
      </c>
      <c r="T554" s="1" t="s">
        <v>2159</v>
      </c>
      <c r="V554" s="1">
        <f t="shared" si="7"/>
        <v>553</v>
      </c>
      <c r="W554" s="1">
        <f t="shared" si="8"/>
        <v>0.4889492051182629</v>
      </c>
    </row>
    <row r="555" spans="1:23" x14ac:dyDescent="0.2">
      <c r="A555" s="1">
        <v>554</v>
      </c>
      <c r="B555" s="1" t="s">
        <v>2219</v>
      </c>
      <c r="C555" s="1" t="s">
        <v>863</v>
      </c>
      <c r="D555" s="1" t="s">
        <v>596</v>
      </c>
      <c r="E555" s="1" t="s">
        <v>2156</v>
      </c>
      <c r="F555" s="1" t="s">
        <v>268</v>
      </c>
      <c r="G555" s="1">
        <f>IF(ISNA(VLOOKUP(F555,Monster!B:E,4,FALSE)),0,VLOOKUP(F555,Monster!B:E,4,FALSE))</f>
        <v>38</v>
      </c>
      <c r="I555" s="1" t="s">
        <v>2219</v>
      </c>
      <c r="J555" s="1">
        <v>1553</v>
      </c>
      <c r="K555" s="1">
        <v>0</v>
      </c>
      <c r="L555" s="1">
        <v>974</v>
      </c>
      <c r="M555" s="1" t="s">
        <v>71</v>
      </c>
      <c r="N555" s="1">
        <f>((NOT(ISNA(VLOOKUP(M555,Monster!$H$2:$I$6,2,FALSE)))*L555)+J555)*(1+K555/100*0.25)</f>
        <v>2527</v>
      </c>
      <c r="O555" s="1" t="str">
        <f t="shared" si="6"/>
        <v>Dragon - 2527</v>
      </c>
      <c r="P555" s="1" t="s">
        <v>463</v>
      </c>
      <c r="Q555" s="1">
        <v>2</v>
      </c>
      <c r="R555" s="1" t="s">
        <v>372</v>
      </c>
      <c r="S555" s="1" t="s">
        <v>2220</v>
      </c>
      <c r="T555" s="1" t="s">
        <v>2210</v>
      </c>
      <c r="V555" s="1">
        <f t="shared" si="7"/>
        <v>554</v>
      </c>
      <c r="W555" s="1">
        <f t="shared" si="8"/>
        <v>0.38543727740403638</v>
      </c>
    </row>
    <row r="556" spans="1:23" x14ac:dyDescent="0.2">
      <c r="A556" s="1">
        <v>555</v>
      </c>
      <c r="B556" s="1" t="s">
        <v>2221</v>
      </c>
      <c r="C556" s="1" t="s">
        <v>875</v>
      </c>
      <c r="D556" s="1" t="s">
        <v>596</v>
      </c>
      <c r="E556" s="1" t="s">
        <v>2156</v>
      </c>
      <c r="F556" s="1" t="s">
        <v>293</v>
      </c>
      <c r="G556" s="1">
        <f>IF(ISNA(VLOOKUP(F556,Monster!B:E,4,FALSE)),0,VLOOKUP(F556,Monster!B:E,4,FALSE))</f>
        <v>42</v>
      </c>
      <c r="I556" s="1" t="s">
        <v>2221</v>
      </c>
      <c r="J556" s="1">
        <v>2198</v>
      </c>
      <c r="K556" s="1">
        <v>-40</v>
      </c>
      <c r="L556" s="1">
        <v>0</v>
      </c>
      <c r="M556" s="1" t="s">
        <v>107</v>
      </c>
      <c r="N556" s="1">
        <f>((NOT(ISNA(VLOOKUP(M556,Monster!$H$2:$I$6,2,FALSE)))*L556)+J556)*(1+K556/100*0.25)</f>
        <v>1978.2</v>
      </c>
      <c r="O556" s="1" t="str">
        <f t="shared" si="6"/>
        <v>No Element - 1978.2</v>
      </c>
      <c r="P556" s="1" t="s">
        <v>194</v>
      </c>
      <c r="Q556" s="1">
        <v>1</v>
      </c>
      <c r="S556" s="1" t="s">
        <v>2179</v>
      </c>
      <c r="T556" s="1" t="s">
        <v>2159</v>
      </c>
      <c r="V556" s="1">
        <f t="shared" si="7"/>
        <v>555</v>
      </c>
      <c r="W556" s="1">
        <f t="shared" si="8"/>
        <v>0</v>
      </c>
    </row>
    <row r="557" spans="1:23" x14ac:dyDescent="0.2">
      <c r="A557" s="1">
        <v>556</v>
      </c>
      <c r="B557" s="1" t="s">
        <v>2222</v>
      </c>
      <c r="C557" s="1" t="s">
        <v>880</v>
      </c>
      <c r="D557" s="1" t="s">
        <v>596</v>
      </c>
      <c r="E557" s="1" t="s">
        <v>2156</v>
      </c>
      <c r="F557" s="1" t="s">
        <v>298</v>
      </c>
      <c r="G557" s="1">
        <f>IF(ISNA(VLOOKUP(F557,Monster!B:E,4,FALSE)),0,VLOOKUP(F557,Monster!B:E,4,FALSE))</f>
        <v>43</v>
      </c>
      <c r="I557" s="1" t="s">
        <v>2222</v>
      </c>
      <c r="J557" s="1">
        <v>1734</v>
      </c>
      <c r="K557" s="1">
        <v>-10</v>
      </c>
      <c r="L557" s="1">
        <v>400</v>
      </c>
      <c r="M557" s="1" t="s">
        <v>100</v>
      </c>
      <c r="N557" s="1">
        <f>((NOT(ISNA(VLOOKUP(M557,Monster!$H$2:$I$6,2,FALSE)))*L557)+J557)*(1+K557/100*0.25)</f>
        <v>1690.6499999999999</v>
      </c>
      <c r="O557" s="1" t="str">
        <f t="shared" si="6"/>
        <v>Blast - 1690.65</v>
      </c>
      <c r="P557" s="1" t="s">
        <v>70</v>
      </c>
      <c r="Q557" s="1">
        <v>3</v>
      </c>
      <c r="S557" s="1" t="s">
        <v>2179</v>
      </c>
      <c r="T557" s="1" t="s">
        <v>2195</v>
      </c>
      <c r="V557" s="1">
        <f t="shared" si="7"/>
        <v>556</v>
      </c>
      <c r="W557" s="1">
        <f t="shared" si="8"/>
        <v>0.18744142455482662</v>
      </c>
    </row>
    <row r="558" spans="1:23" x14ac:dyDescent="0.2">
      <c r="A558" s="1">
        <v>557</v>
      </c>
      <c r="B558" s="1" t="s">
        <v>2223</v>
      </c>
      <c r="C558" s="1" t="s">
        <v>896</v>
      </c>
      <c r="D558" s="1" t="s">
        <v>596</v>
      </c>
      <c r="E558" s="1" t="s">
        <v>2156</v>
      </c>
      <c r="F558" s="1" t="s">
        <v>316</v>
      </c>
      <c r="G558" s="1">
        <f>IF(ISNA(VLOOKUP(F558,Monster!B:E,4,FALSE)),0,VLOOKUP(F558,Monster!B:E,4,FALSE))</f>
        <v>47</v>
      </c>
      <c r="I558" s="1" t="s">
        <v>2224</v>
      </c>
      <c r="J558" s="1">
        <v>1971</v>
      </c>
      <c r="K558" s="1">
        <v>-20</v>
      </c>
      <c r="L558" s="1">
        <v>0</v>
      </c>
      <c r="M558" s="1" t="s">
        <v>107</v>
      </c>
      <c r="N558" s="1">
        <f>((NOT(ISNA(VLOOKUP(M558,Monster!$H$2:$I$6,2,FALSE)))*L558)+J558)*(1+K558/100*0.25)</f>
        <v>1872.4499999999998</v>
      </c>
      <c r="O558" s="1" t="str">
        <f t="shared" si="6"/>
        <v>No Element - 1872.45</v>
      </c>
      <c r="P558" s="1" t="s">
        <v>602</v>
      </c>
      <c r="Q558" s="1">
        <v>2</v>
      </c>
      <c r="S558" s="1" t="s">
        <v>2225</v>
      </c>
      <c r="T558" s="1" t="s">
        <v>2159</v>
      </c>
      <c r="V558" s="1">
        <f t="shared" si="7"/>
        <v>557</v>
      </c>
      <c r="W558" s="1">
        <f t="shared" si="8"/>
        <v>0</v>
      </c>
    </row>
    <row r="559" spans="1:23" x14ac:dyDescent="0.2">
      <c r="A559" s="1">
        <v>558</v>
      </c>
      <c r="B559" s="1" t="s">
        <v>2226</v>
      </c>
      <c r="C559" s="1" t="s">
        <v>900</v>
      </c>
      <c r="D559" s="1" t="s">
        <v>596</v>
      </c>
      <c r="E559" s="1" t="s">
        <v>2156</v>
      </c>
      <c r="F559" s="1" t="s">
        <v>320</v>
      </c>
      <c r="G559" s="1">
        <f>IF(ISNA(VLOOKUP(F559,Monster!B:E,4,FALSE)),0,VLOOKUP(F559,Monster!B:E,4,FALSE))</f>
        <v>48</v>
      </c>
      <c r="I559" s="1" t="s">
        <v>2226</v>
      </c>
      <c r="J559" s="1">
        <v>1318</v>
      </c>
      <c r="K559" s="1">
        <v>-30</v>
      </c>
      <c r="L559" s="1">
        <v>1261</v>
      </c>
      <c r="M559" s="1" t="s">
        <v>41</v>
      </c>
      <c r="N559" s="1">
        <f>((NOT(ISNA(VLOOKUP(M559,Monster!$H$2:$I$6,2,FALSE)))*L559)+J559)*(1+K559/100*0.25)</f>
        <v>2385.5750000000003</v>
      </c>
      <c r="O559" s="1" t="str">
        <f t="shared" si="6"/>
        <v>Fire - 2385.575</v>
      </c>
      <c r="P559" s="1" t="s">
        <v>194</v>
      </c>
      <c r="Q559" s="1">
        <v>1</v>
      </c>
      <c r="S559" s="1" t="s">
        <v>2189</v>
      </c>
      <c r="T559" s="1" t="s">
        <v>2159</v>
      </c>
      <c r="V559" s="1">
        <f t="shared" si="7"/>
        <v>558</v>
      </c>
      <c r="W559" s="1">
        <f t="shared" si="8"/>
        <v>0.4889492051182629</v>
      </c>
    </row>
    <row r="560" spans="1:23" x14ac:dyDescent="0.2">
      <c r="A560" s="1">
        <v>559</v>
      </c>
      <c r="B560" s="1" t="s">
        <v>2227</v>
      </c>
      <c r="C560" s="1" t="s">
        <v>904</v>
      </c>
      <c r="D560" s="1" t="s">
        <v>596</v>
      </c>
      <c r="E560" s="1" t="s">
        <v>2156</v>
      </c>
      <c r="F560" s="1" t="s">
        <v>328</v>
      </c>
      <c r="G560" s="1">
        <f>IF(ISNA(VLOOKUP(F560,Monster!B:E,4,FALSE)),0,VLOOKUP(F560,Monster!B:E,4,FALSE))</f>
        <v>49</v>
      </c>
      <c r="I560" s="1" t="s">
        <v>2227</v>
      </c>
      <c r="J560" s="1">
        <v>1741</v>
      </c>
      <c r="K560" s="1">
        <v>0</v>
      </c>
      <c r="L560" s="1">
        <v>505</v>
      </c>
      <c r="M560" s="1" t="s">
        <v>79</v>
      </c>
      <c r="N560" s="1">
        <f>((NOT(ISNA(VLOOKUP(M560,Monster!$H$2:$I$6,2,FALSE)))*L560)+J560)*(1+K560/100*0.25)</f>
        <v>1741</v>
      </c>
      <c r="O560" s="1" t="str">
        <f t="shared" si="6"/>
        <v>Poison - 1741</v>
      </c>
      <c r="P560" s="1" t="s">
        <v>624</v>
      </c>
      <c r="Q560" s="1">
        <v>2</v>
      </c>
      <c r="R560" s="1" t="s">
        <v>372</v>
      </c>
      <c r="S560" s="1" t="s">
        <v>2228</v>
      </c>
      <c r="T560" s="1" t="s">
        <v>2210</v>
      </c>
      <c r="V560" s="1">
        <f t="shared" si="7"/>
        <v>559</v>
      </c>
      <c r="W560" s="1">
        <f t="shared" si="8"/>
        <v>0.22484416740872662</v>
      </c>
    </row>
    <row r="561" spans="1:23" x14ac:dyDescent="0.2">
      <c r="A561" s="1">
        <v>560</v>
      </c>
      <c r="B561" s="1" t="s">
        <v>2229</v>
      </c>
      <c r="C561" s="1" t="s">
        <v>908</v>
      </c>
      <c r="D561" s="1" t="s">
        <v>596</v>
      </c>
      <c r="E561" s="1" t="s">
        <v>2156</v>
      </c>
      <c r="F561" s="1" t="s">
        <v>334</v>
      </c>
      <c r="G561" s="1">
        <f>IF(ISNA(VLOOKUP(F561,Monster!B:E,4,FALSE)),0,VLOOKUP(F561,Monster!B:E,4,FALSE))</f>
        <v>50</v>
      </c>
      <c r="I561" s="1" t="s">
        <v>2230</v>
      </c>
      <c r="J561" s="1">
        <v>1647</v>
      </c>
      <c r="K561" s="1">
        <v>10</v>
      </c>
      <c r="L561" s="1">
        <v>307</v>
      </c>
      <c r="M561" s="1" t="s">
        <v>79</v>
      </c>
      <c r="N561" s="1">
        <f>((NOT(ISNA(VLOOKUP(M561,Monster!$H$2:$I$6,2,FALSE)))*L561)+J561)*(1+K561/100*0.25)</f>
        <v>1688.175</v>
      </c>
      <c r="O561" s="1" t="str">
        <f t="shared" si="6"/>
        <v>Poison - 1688.175</v>
      </c>
      <c r="P561" s="1" t="s">
        <v>311</v>
      </c>
      <c r="Q561" s="1">
        <v>1</v>
      </c>
      <c r="S561" s="1" t="s">
        <v>2231</v>
      </c>
      <c r="T561" s="1" t="s">
        <v>2159</v>
      </c>
      <c r="V561" s="1">
        <f t="shared" si="7"/>
        <v>560</v>
      </c>
      <c r="W561" s="1">
        <f t="shared" si="8"/>
        <v>0.1571136131013306</v>
      </c>
    </row>
    <row r="562" spans="1:23" x14ac:dyDescent="0.2">
      <c r="A562" s="1">
        <v>561</v>
      </c>
      <c r="B562" s="1" t="s">
        <v>2232</v>
      </c>
      <c r="C562" s="1" t="s">
        <v>913</v>
      </c>
      <c r="D562" s="1" t="s">
        <v>596</v>
      </c>
      <c r="E562" s="1" t="s">
        <v>2156</v>
      </c>
      <c r="F562" s="1" t="s">
        <v>339</v>
      </c>
      <c r="G562" s="1">
        <f>IF(ISNA(VLOOKUP(F562,Monster!B:E,4,FALSE)),0,VLOOKUP(F562,Monster!B:E,4,FALSE))</f>
        <v>51</v>
      </c>
      <c r="I562" s="1" t="s">
        <v>2233</v>
      </c>
      <c r="J562" s="1">
        <v>1516</v>
      </c>
      <c r="K562" s="1">
        <v>0</v>
      </c>
      <c r="L562" s="1">
        <v>496</v>
      </c>
      <c r="M562" s="1" t="s">
        <v>87</v>
      </c>
      <c r="N562" s="1">
        <f>((NOT(ISNA(VLOOKUP(M562,Monster!$H$2:$I$6,2,FALSE)))*L562)+J562)*(1+K562/100*0.25)</f>
        <v>1516</v>
      </c>
      <c r="O562" s="1" t="str">
        <f t="shared" si="6"/>
        <v>Paralysis - 1516</v>
      </c>
      <c r="P562" s="1" t="s">
        <v>560</v>
      </c>
      <c r="Q562" s="1">
        <v>2</v>
      </c>
      <c r="S562" s="1" t="s">
        <v>2234</v>
      </c>
      <c r="T562" s="1" t="s">
        <v>2159</v>
      </c>
      <c r="V562" s="1">
        <f t="shared" si="7"/>
        <v>561</v>
      </c>
      <c r="W562" s="1">
        <f t="shared" si="8"/>
        <v>0.24652087475149106</v>
      </c>
    </row>
    <row r="563" spans="1:23" x14ac:dyDescent="0.2">
      <c r="A563" s="1">
        <v>562</v>
      </c>
      <c r="B563" s="1" t="s">
        <v>2235</v>
      </c>
      <c r="C563" s="1" t="s">
        <v>922</v>
      </c>
      <c r="D563" s="1" t="s">
        <v>596</v>
      </c>
      <c r="E563" s="1" t="s">
        <v>2156</v>
      </c>
      <c r="F563" s="1" t="s">
        <v>349</v>
      </c>
      <c r="G563" s="1">
        <f>IF(ISNA(VLOOKUP(F563,Monster!B:E,4,FALSE)),0,VLOOKUP(F563,Monster!B:E,4,FALSE))</f>
        <v>53</v>
      </c>
      <c r="I563" s="1" t="s">
        <v>2236</v>
      </c>
      <c r="J563" s="1">
        <v>1738</v>
      </c>
      <c r="K563" s="1">
        <v>40</v>
      </c>
      <c r="L563" s="1">
        <v>0</v>
      </c>
      <c r="M563" s="1" t="s">
        <v>107</v>
      </c>
      <c r="N563" s="1">
        <f>((NOT(ISNA(VLOOKUP(M563,Monster!$H$2:$I$6,2,FALSE)))*L563)+J563)*(1+K563/100*0.25)</f>
        <v>1911.8000000000002</v>
      </c>
      <c r="O563" s="1" t="str">
        <f t="shared" si="6"/>
        <v>No Element - 1911.8</v>
      </c>
      <c r="P563" s="1" t="s">
        <v>535</v>
      </c>
      <c r="Q563" s="1">
        <v>2</v>
      </c>
      <c r="S563" s="1" t="s">
        <v>2167</v>
      </c>
      <c r="T563" s="1" t="s">
        <v>2159</v>
      </c>
      <c r="V563" s="1">
        <f t="shared" si="7"/>
        <v>562</v>
      </c>
      <c r="W563" s="1">
        <f t="shared" si="8"/>
        <v>0</v>
      </c>
    </row>
    <row r="564" spans="1:23" x14ac:dyDescent="0.2">
      <c r="A564" s="1">
        <v>563</v>
      </c>
      <c r="B564" s="1" t="s">
        <v>2237</v>
      </c>
      <c r="C564" s="1" t="s">
        <v>926</v>
      </c>
      <c r="D564" s="1" t="s">
        <v>596</v>
      </c>
      <c r="E564" s="1" t="s">
        <v>2156</v>
      </c>
      <c r="F564" s="1" t="s">
        <v>354</v>
      </c>
      <c r="G564" s="1">
        <f>IF(ISNA(VLOOKUP(F564,Monster!B:E,4,FALSE)),0,VLOOKUP(F564,Monster!B:E,4,FALSE))</f>
        <v>54</v>
      </c>
      <c r="I564" s="1" t="s">
        <v>2237</v>
      </c>
      <c r="J564" s="1">
        <v>1328</v>
      </c>
      <c r="K564" s="1">
        <v>20</v>
      </c>
      <c r="L564" s="1">
        <v>1074</v>
      </c>
      <c r="M564" s="1" t="s">
        <v>50</v>
      </c>
      <c r="N564" s="1">
        <f>((NOT(ISNA(VLOOKUP(M564,Monster!$H$2:$I$6,2,FALSE)))*L564)+J564)*(1+K564/100*0.25)</f>
        <v>2522.1</v>
      </c>
      <c r="O564" s="1" t="str">
        <f t="shared" si="6"/>
        <v>Water - 2522.1</v>
      </c>
      <c r="P564" s="1" t="s">
        <v>677</v>
      </c>
      <c r="Q564" s="1">
        <v>1</v>
      </c>
      <c r="R564" s="1" t="s">
        <v>372</v>
      </c>
      <c r="S564" s="1" t="s">
        <v>2228</v>
      </c>
      <c r="T564" s="1" t="s">
        <v>2210</v>
      </c>
      <c r="V564" s="1">
        <f t="shared" si="7"/>
        <v>563</v>
      </c>
      <c r="W564" s="1">
        <f t="shared" si="8"/>
        <v>0.44712739383846795</v>
      </c>
    </row>
    <row r="565" spans="1:23" x14ac:dyDescent="0.2">
      <c r="A565" s="1">
        <v>564</v>
      </c>
      <c r="B565" s="1" t="s">
        <v>2238</v>
      </c>
      <c r="C565" s="1" t="s">
        <v>930</v>
      </c>
      <c r="D565" s="1" t="s">
        <v>596</v>
      </c>
      <c r="E565" s="1" t="s">
        <v>2156</v>
      </c>
      <c r="F565" s="1" t="s">
        <v>360</v>
      </c>
      <c r="G565" s="1">
        <f>IF(ISNA(VLOOKUP(F565,Monster!B:E,4,FALSE)),0,VLOOKUP(F565,Monster!B:E,4,FALSE))</f>
        <v>55</v>
      </c>
      <c r="I565" s="1" t="s">
        <v>2239</v>
      </c>
      <c r="J565" s="1">
        <v>1979</v>
      </c>
      <c r="K565" s="1">
        <v>0</v>
      </c>
      <c r="L565" s="1">
        <v>0</v>
      </c>
      <c r="M565" s="1" t="s">
        <v>107</v>
      </c>
      <c r="N565" s="1">
        <f>((NOT(ISNA(VLOOKUP(M565,Monster!$H$2:$I$6,2,FALSE)))*L565)+J565)*(1+K565/100*0.25)</f>
        <v>1979</v>
      </c>
      <c r="O565" s="1" t="str">
        <f t="shared" si="6"/>
        <v>No Element - 1979</v>
      </c>
      <c r="P565" s="1" t="s">
        <v>515</v>
      </c>
      <c r="Q565" s="1">
        <v>1</v>
      </c>
      <c r="S565" s="1" t="s">
        <v>2240</v>
      </c>
      <c r="T565" s="1" t="s">
        <v>2159</v>
      </c>
      <c r="V565" s="1">
        <f t="shared" si="7"/>
        <v>564</v>
      </c>
      <c r="W565" s="1">
        <f t="shared" si="8"/>
        <v>0</v>
      </c>
    </row>
    <row r="566" spans="1:23" x14ac:dyDescent="0.2">
      <c r="A566" s="1">
        <v>565</v>
      </c>
      <c r="B566" s="1" t="s">
        <v>2241</v>
      </c>
      <c r="C566" s="1" t="s">
        <v>934</v>
      </c>
      <c r="D566" s="1" t="s">
        <v>596</v>
      </c>
      <c r="E566" s="1" t="s">
        <v>2156</v>
      </c>
      <c r="F566" s="1" t="s">
        <v>365</v>
      </c>
      <c r="G566" s="1">
        <f>IF(ISNA(VLOOKUP(F566,Monster!B:E,4,FALSE)),0,VLOOKUP(F566,Monster!B:E,4,FALSE))</f>
        <v>56</v>
      </c>
      <c r="I566" s="1" t="s">
        <v>2242</v>
      </c>
      <c r="J566" s="1">
        <v>1020</v>
      </c>
      <c r="K566" s="1">
        <v>0</v>
      </c>
      <c r="L566" s="1">
        <v>1173</v>
      </c>
      <c r="M566" s="1" t="s">
        <v>66</v>
      </c>
      <c r="N566" s="1">
        <f>((NOT(ISNA(VLOOKUP(M566,Monster!$H$2:$I$6,2,FALSE)))*L566)+J566)*(1+K566/100*0.25)</f>
        <v>2193</v>
      </c>
      <c r="O566" s="1" t="str">
        <f t="shared" si="6"/>
        <v>Ice - 2193</v>
      </c>
      <c r="P566" s="1" t="s">
        <v>659</v>
      </c>
      <c r="Q566" s="1">
        <v>1</v>
      </c>
      <c r="S566" s="1" t="s">
        <v>2234</v>
      </c>
      <c r="T566" s="1" t="s">
        <v>2159</v>
      </c>
      <c r="V566" s="1">
        <f t="shared" si="7"/>
        <v>565</v>
      </c>
      <c r="W566" s="1">
        <f t="shared" si="8"/>
        <v>0.53488372093023251</v>
      </c>
    </row>
    <row r="567" spans="1:23" x14ac:dyDescent="0.2">
      <c r="A567" s="1">
        <v>566</v>
      </c>
      <c r="B567" s="1" t="s">
        <v>2243</v>
      </c>
      <c r="C567" s="1" t="s">
        <v>939</v>
      </c>
      <c r="D567" s="1" t="s">
        <v>596</v>
      </c>
      <c r="E567" s="1" t="s">
        <v>2156</v>
      </c>
      <c r="F567" s="1" t="s">
        <v>370</v>
      </c>
      <c r="G567" s="1">
        <f>IF(ISNA(VLOOKUP(F567,Monster!B:E,4,FALSE)),0,VLOOKUP(F567,Monster!B:E,4,FALSE))</f>
        <v>57</v>
      </c>
      <c r="I567" s="1" t="s">
        <v>2244</v>
      </c>
      <c r="J567" s="1">
        <v>1197</v>
      </c>
      <c r="K567" s="1">
        <v>20</v>
      </c>
      <c r="L567" s="1">
        <v>1154</v>
      </c>
      <c r="M567" s="1" t="s">
        <v>41</v>
      </c>
      <c r="N567" s="1">
        <f>((NOT(ISNA(VLOOKUP(M567,Monster!$H$2:$I$6,2,FALSE)))*L567)+J567)*(1+K567/100*0.25)</f>
        <v>2468.5500000000002</v>
      </c>
      <c r="O567" s="1" t="str">
        <f t="shared" si="6"/>
        <v>Fire - 2468.55</v>
      </c>
      <c r="P567" s="1" t="s">
        <v>615</v>
      </c>
      <c r="Q567" s="1">
        <v>2</v>
      </c>
      <c r="S567" s="1" t="s">
        <v>2171</v>
      </c>
      <c r="T567" s="1" t="s">
        <v>2159</v>
      </c>
      <c r="V567" s="1">
        <f t="shared" si="7"/>
        <v>566</v>
      </c>
      <c r="W567" s="1">
        <f t="shared" si="8"/>
        <v>0.49085495533815399</v>
      </c>
    </row>
    <row r="568" spans="1:23" x14ac:dyDescent="0.2">
      <c r="A568" s="1">
        <v>567</v>
      </c>
      <c r="B568" s="1" t="s">
        <v>2245</v>
      </c>
      <c r="C568" s="1" t="s">
        <v>943</v>
      </c>
      <c r="D568" s="1" t="s">
        <v>596</v>
      </c>
      <c r="E568" s="1" t="s">
        <v>2156</v>
      </c>
      <c r="F568" s="1" t="s">
        <v>374</v>
      </c>
      <c r="G568" s="1">
        <f>IF(ISNA(VLOOKUP(F568,Monster!B:E,4,FALSE)),0,VLOOKUP(F568,Monster!B:E,4,FALSE))</f>
        <v>58</v>
      </c>
      <c r="I568" s="1" t="s">
        <v>2245</v>
      </c>
      <c r="J568" s="1">
        <v>1205</v>
      </c>
      <c r="K568" s="1">
        <v>0</v>
      </c>
      <c r="L568" s="1">
        <v>1305</v>
      </c>
      <c r="M568" s="1" t="s">
        <v>71</v>
      </c>
      <c r="N568" s="1">
        <f>((NOT(ISNA(VLOOKUP(M568,Monster!$H$2:$I$6,2,FALSE)))*L568)+J568)*(1+K568/100*0.25)</f>
        <v>2510</v>
      </c>
      <c r="O568" s="1" t="str">
        <f t="shared" si="6"/>
        <v>Dragon - 2510</v>
      </c>
      <c r="P568" s="1" t="s">
        <v>689</v>
      </c>
      <c r="Q568" s="1">
        <v>1</v>
      </c>
      <c r="R568" s="1" t="s">
        <v>372</v>
      </c>
      <c r="S568" s="1" t="s">
        <v>2171</v>
      </c>
      <c r="T568" s="1" t="s">
        <v>2210</v>
      </c>
      <c r="V568" s="1">
        <f t="shared" si="7"/>
        <v>567</v>
      </c>
      <c r="W568" s="1">
        <f t="shared" si="8"/>
        <v>0.51992031872509958</v>
      </c>
    </row>
    <row r="569" spans="1:23" x14ac:dyDescent="0.2">
      <c r="A569" s="1">
        <v>568</v>
      </c>
      <c r="B569" s="1" t="s">
        <v>2246</v>
      </c>
      <c r="C569" s="1" t="s">
        <v>949</v>
      </c>
      <c r="D569" s="1" t="s">
        <v>596</v>
      </c>
      <c r="E569" s="1" t="s">
        <v>2156</v>
      </c>
      <c r="F569" s="1"/>
      <c r="G569" s="1">
        <f>IF(ISNA(VLOOKUP(F569,Monster!B:E,4,FALSE)),0,VLOOKUP(F569,Monster!B:E,4,FALSE))</f>
        <v>0</v>
      </c>
      <c r="I569" s="1" t="s">
        <v>2247</v>
      </c>
      <c r="J569" s="1">
        <v>1596</v>
      </c>
      <c r="K569" s="1">
        <v>0</v>
      </c>
      <c r="L569" s="1">
        <v>0</v>
      </c>
      <c r="M569" s="1" t="s">
        <v>107</v>
      </c>
      <c r="N569" s="1">
        <f>((NOT(ISNA(VLOOKUP(M569,Monster!$H$2:$I$6,2,FALSE)))*L569)+J569)*(1+K569/100*0.25)</f>
        <v>1596</v>
      </c>
      <c r="O569" s="1" t="str">
        <f t="shared" si="6"/>
        <v>No Element - 1596</v>
      </c>
      <c r="P569" s="1" t="s">
        <v>158</v>
      </c>
      <c r="Q569" s="1">
        <v>1</v>
      </c>
      <c r="S569" s="1" t="s">
        <v>2176</v>
      </c>
      <c r="T569" s="1" t="s">
        <v>2159</v>
      </c>
      <c r="V569" s="1">
        <f t="shared" si="7"/>
        <v>568</v>
      </c>
      <c r="W569" s="1">
        <f t="shared" si="8"/>
        <v>0</v>
      </c>
    </row>
    <row r="570" spans="1:23" x14ac:dyDescent="0.2">
      <c r="A570" s="1">
        <v>569</v>
      </c>
      <c r="B570" s="1" t="s">
        <v>2248</v>
      </c>
      <c r="C570" s="1" t="s">
        <v>958</v>
      </c>
      <c r="D570" s="1" t="s">
        <v>596</v>
      </c>
      <c r="E570" s="1" t="s">
        <v>2156</v>
      </c>
      <c r="F570" s="1"/>
      <c r="G570" s="1">
        <f>IF(ISNA(VLOOKUP(F570,Monster!B:E,4,FALSE)),0,VLOOKUP(F570,Monster!B:E,4,FALSE))</f>
        <v>0</v>
      </c>
      <c r="I570" s="1" t="s">
        <v>2249</v>
      </c>
      <c r="J570" s="1">
        <v>1878</v>
      </c>
      <c r="K570" s="1">
        <v>0</v>
      </c>
      <c r="L570" s="1">
        <v>0</v>
      </c>
      <c r="M570" s="1" t="s">
        <v>107</v>
      </c>
      <c r="N570" s="1">
        <f>((NOT(ISNA(VLOOKUP(M570,Monster!$H$2:$I$6,2,FALSE)))*L570)+J570)*(1+K570/100*0.25)</f>
        <v>1878</v>
      </c>
      <c r="O570" s="1" t="str">
        <f t="shared" si="6"/>
        <v>No Element - 1878</v>
      </c>
      <c r="P570" s="1" t="s">
        <v>412</v>
      </c>
      <c r="Q570" s="1">
        <v>1</v>
      </c>
      <c r="S570" s="1" t="s">
        <v>2250</v>
      </c>
      <c r="T570" s="1" t="s">
        <v>2159</v>
      </c>
      <c r="V570" s="1">
        <f t="shared" si="7"/>
        <v>569</v>
      </c>
      <c r="W570" s="1">
        <f t="shared" si="8"/>
        <v>0</v>
      </c>
    </row>
  </sheetData>
  <autoFilter ref="A1:V833" xr:uid="{00000000-0009-0000-0000-000005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500-000000000000}">
          <x14:formula1>
            <xm:f>Monster!$B:$B</xm:f>
          </x14:formula1>
          <xm:sqref>F2:F570</xm:sqref>
        </x14:dataValidation>
        <x14:dataValidation type="list" allowBlank="1" showErrorMessage="1" xr:uid="{00000000-0002-0000-0500-000001000000}">
          <x14:formula1>
            <xm:f>Monster!$H:$H</xm:f>
          </x14:formula1>
          <xm:sqref>M2:M570</xm:sqref>
        </x14:dataValidation>
        <x14:dataValidation type="list" allowBlank="1" showErrorMessage="1" xr:uid="{00000000-0002-0000-0500-000002000000}">
          <x14:formula1>
            <xm:f>Skill!$B$2:$B$1000</xm:f>
          </x14:formula1>
          <xm:sqref>P2:P570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Monster</vt:lpstr>
      <vt:lpstr>Equipment</vt:lpstr>
      <vt:lpstr>Skill</vt:lpstr>
      <vt:lpstr>Equipment_Skill</vt:lpstr>
      <vt:lpstr>Weapon</vt:lpstr>
      <vt:lpstr>Weapon_Filtered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allen.wu</cp:lastModifiedBy>
  <dcterms:modified xsi:type="dcterms:W3CDTF">2026-08-07T04:39:30Z</dcterms:modified>
</cp:coreProperties>
</file>